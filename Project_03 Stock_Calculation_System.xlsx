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31088f556e2b2f/Documents/Excel project 1/"/>
    </mc:Choice>
  </mc:AlternateContent>
  <xr:revisionPtr revIDLastSave="0" documentId="8_{8B0AFA23-FE17-46B9-B77D-9B79ABE187FB}" xr6:coauthVersionLast="47" xr6:coauthVersionMax="47" xr10:uidLastSave="{00000000-0000-0000-0000-000000000000}"/>
  <bookViews>
    <workbookView xWindow="-108" yWindow="-108" windowWidth="23256" windowHeight="12456" xr2:uid="{3072D14D-35A0-4A7E-99B8-9B6AE6D5A287}"/>
  </bookViews>
  <sheets>
    <sheet name="stock" sheetId="1" r:id="rId1"/>
  </sheets>
  <definedNames>
    <definedName name="_xlnm._FilterDatabase" localSheetId="0" hidden="1">stock!$B$3:$G$270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 a="1"/>
  <c r="K5" i="1" s="1"/>
  <c r="M5" i="1" s="1"/>
  <c r="K32" i="1" a="1"/>
  <c r="K32" i="1" s="1"/>
  <c r="L32" i="1" s="1" a="1"/>
  <c r="L32" i="1" s="1"/>
  <c r="L37" i="1" l="1" a="1"/>
  <c r="L37" i="1" s="1"/>
  <c r="M38" i="1" a="1"/>
  <c r="M38" i="1" s="1"/>
  <c r="M37" i="1" a="1"/>
  <c r="M37" i="1" s="1"/>
  <c r="L40" i="1" a="1"/>
  <c r="L40" i="1" s="1"/>
  <c r="M36" i="1" a="1"/>
  <c r="M36" i="1" s="1"/>
  <c r="L39" i="1" a="1"/>
  <c r="L39" i="1" s="1"/>
  <c r="M35" i="1" a="1"/>
  <c r="M35" i="1" s="1"/>
  <c r="M34" i="1" a="1"/>
  <c r="M34" i="1" s="1"/>
  <c r="M33" i="1" a="1"/>
  <c r="M33" i="1" s="1"/>
  <c r="L36" i="1" a="1"/>
  <c r="L36" i="1" s="1"/>
  <c r="L35" i="1" a="1"/>
  <c r="L35" i="1" s="1"/>
  <c r="M32" i="1" a="1"/>
  <c r="M32" i="1" s="1"/>
  <c r="N33" i="1" s="1"/>
  <c r="L34" i="1" a="1"/>
  <c r="L34" i="1" s="1"/>
  <c r="L33" i="1" a="1"/>
  <c r="L33" i="1" s="1"/>
  <c r="M40" i="1" a="1"/>
  <c r="M40" i="1" s="1"/>
  <c r="L38" i="1" a="1"/>
  <c r="L38" i="1" s="1"/>
  <c r="M39" i="1" a="1"/>
  <c r="M39" i="1" s="1"/>
  <c r="L17" i="1"/>
  <c r="L5" i="1"/>
  <c r="N5" i="1" s="1"/>
  <c r="M17" i="1"/>
  <c r="L27" i="1"/>
  <c r="L15" i="1"/>
  <c r="M27" i="1"/>
  <c r="M15" i="1"/>
  <c r="L24" i="1"/>
  <c r="L12" i="1"/>
  <c r="M24" i="1"/>
  <c r="M12" i="1"/>
  <c r="L21" i="1"/>
  <c r="L9" i="1"/>
  <c r="M21" i="1"/>
  <c r="M9" i="1"/>
  <c r="N9" i="1" s="1"/>
  <c r="L20" i="1"/>
  <c r="L8" i="1"/>
  <c r="M20" i="1"/>
  <c r="M8" i="1"/>
  <c r="L19" i="1"/>
  <c r="L7" i="1"/>
  <c r="M19" i="1"/>
  <c r="M7" i="1"/>
  <c r="L18" i="1"/>
  <c r="L6" i="1"/>
  <c r="M18" i="1"/>
  <c r="M6" i="1"/>
  <c r="N6" i="1" s="1"/>
  <c r="L16" i="1"/>
  <c r="M16" i="1"/>
  <c r="L26" i="1"/>
  <c r="L14" i="1"/>
  <c r="M26" i="1"/>
  <c r="M14" i="1"/>
  <c r="L25" i="1"/>
  <c r="L13" i="1"/>
  <c r="M25" i="1"/>
  <c r="M13" i="1"/>
  <c r="N13" i="1" s="1"/>
  <c r="L23" i="1"/>
  <c r="L11" i="1"/>
  <c r="M23" i="1"/>
  <c r="M11" i="1"/>
  <c r="L22" i="1"/>
  <c r="L10" i="1"/>
  <c r="M22" i="1"/>
  <c r="M10" i="1"/>
  <c r="N27" i="1" l="1"/>
  <c r="N34" i="1"/>
  <c r="N35" i="1" s="1"/>
  <c r="N36" i="1" s="1"/>
  <c r="N37" i="1" s="1"/>
  <c r="N38" i="1" s="1"/>
  <c r="N39" i="1" s="1"/>
  <c r="N40" i="1" s="1"/>
  <c r="N41" i="1" s="1"/>
  <c r="O31" i="1" s="1"/>
  <c r="N8" i="1"/>
  <c r="N11" i="1"/>
  <c r="N23" i="1"/>
  <c r="N25" i="1"/>
  <c r="N18" i="1"/>
  <c r="N21" i="1"/>
  <c r="N17" i="1"/>
  <c r="N22" i="1"/>
  <c r="N20" i="1"/>
  <c r="N16" i="1"/>
  <c r="N15" i="1"/>
  <c r="N10" i="1"/>
  <c r="N7" i="1"/>
  <c r="N14" i="1"/>
  <c r="N19" i="1"/>
  <c r="N12" i="1"/>
  <c r="N26" i="1"/>
  <c r="N2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<sst xmlns="http://schemas.openxmlformats.org/spreadsheetml/2006/main" count="549" uniqueCount="66">
  <si>
    <t>Intel Core i9-14900K</t>
  </si>
  <si>
    <t>AMD Ryzen 9 7950X</t>
  </si>
  <si>
    <t>Apple M2 Ultra</t>
  </si>
  <si>
    <t>ASUS ROG Strix Z790-E</t>
  </si>
  <si>
    <t>MSI MPG B650 Carbon WiFi</t>
  </si>
  <si>
    <t>Gigabyte AORUS X670E Master</t>
  </si>
  <si>
    <t>Corsair Vengeance DDR5</t>
  </si>
  <si>
    <t>G.Skill Trident Z5 RGB</t>
  </si>
  <si>
    <t>Kingston Fury Beast</t>
  </si>
  <si>
    <t>Samsung 990 Pro</t>
  </si>
  <si>
    <t>Western Digital Black SN850X</t>
  </si>
  <si>
    <t>Seagate Barracuda</t>
  </si>
  <si>
    <t>NVIDIA GeForce RTX 4090</t>
  </si>
  <si>
    <t>AMD Radeon RX 7900 XTX</t>
  </si>
  <si>
    <t>Intel Arc A770</t>
  </si>
  <si>
    <t>Corsair RM850x</t>
  </si>
  <si>
    <t>EVGA SuperNOVA 1000 G6</t>
  </si>
  <si>
    <t>Seasonic Focus GX-750</t>
  </si>
  <si>
    <t>Noctua NH-D15</t>
  </si>
  <si>
    <t>Cooler Master Hyper 212 Black Edition</t>
  </si>
  <si>
    <t>NZXT Kraken X73</t>
  </si>
  <si>
    <t>NZXT H510</t>
  </si>
  <si>
    <t>Lian Li PC-O</t>
  </si>
  <si>
    <t>Md. Hazrat Ali</t>
  </si>
  <si>
    <t>Md. Shohel Rana</t>
  </si>
  <si>
    <t>Md. Ibrahim</t>
  </si>
  <si>
    <t>Md Soliman Hossain</t>
  </si>
  <si>
    <t>Md. Mostafijur</t>
  </si>
  <si>
    <t>Tonay Chandra Dash</t>
  </si>
  <si>
    <t>Gulap Hosshen</t>
  </si>
  <si>
    <t>Md. Arshad Ali</t>
  </si>
  <si>
    <t>Md. Rafiqul Islam</t>
  </si>
  <si>
    <t>Md. Motiur Rahman</t>
  </si>
  <si>
    <t>Md Aslam Uddin</t>
  </si>
  <si>
    <t>Md. Aoynal Hok</t>
  </si>
  <si>
    <t>Md. Yasin Ali</t>
  </si>
  <si>
    <t>Md. Najmul Islam</t>
  </si>
  <si>
    <t>Sakil Ahmed</t>
  </si>
  <si>
    <t>Md. Rayhan</t>
  </si>
  <si>
    <t>Md. Merajul Islam</t>
  </si>
  <si>
    <t>Md. Rana Mia</t>
  </si>
  <si>
    <t>Md. Noyon Ali</t>
  </si>
  <si>
    <t>Md. Foysal Ahmad</t>
  </si>
  <si>
    <t>Md. Afjal Miah</t>
  </si>
  <si>
    <t>Mafia Begum</t>
  </si>
  <si>
    <t>Mst. Raziya Akter</t>
  </si>
  <si>
    <t>Mst. Popy Akter</t>
  </si>
  <si>
    <t>Mst. Suma Akter</t>
  </si>
  <si>
    <t>Mst. Doly Akter</t>
  </si>
  <si>
    <t>Rashida Begum</t>
  </si>
  <si>
    <t>Shilpi Akter</t>
  </si>
  <si>
    <t>Md. Farhad Hossain</t>
  </si>
  <si>
    <t>Date</t>
  </si>
  <si>
    <t>ID</t>
  </si>
  <si>
    <t>Sales Person Name</t>
  </si>
  <si>
    <t>Item</t>
  </si>
  <si>
    <t>Sale QTY</t>
  </si>
  <si>
    <t>Purchase QTY</t>
  </si>
  <si>
    <t>Month Name</t>
  </si>
  <si>
    <t>Purchase</t>
  </si>
  <si>
    <t>Sales</t>
  </si>
  <si>
    <t>Opening Stock</t>
  </si>
  <si>
    <t>Last month opening stock</t>
  </si>
  <si>
    <t>Item Name</t>
  </si>
  <si>
    <t>sales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</si>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</sst>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left" vertical="center" indent="1"/>
    </xf>
    <xf numFmtId="0" fontId="0" fillId="0" borderId="1" xfId="1" applyFont="1" applyBorder="1"/>
    <xf numFmtId="0" fontId="0" fillId="0" borderId="1" xfId="0" applyBorder="1" applyAlignment="1">
      <alignment horizontal="left" vertical="center" indent="1"/>
    </xf>
    <xf numFmtId="0" fontId="0" fillId="0" borderId="1" xfId="0" applyBorder="1"/>
    <xf numFmtId="14" fontId="0" fillId="0" borderId="3" xfId="0" applyNumberFormat="1" applyBorder="1" applyAlignment="1">
      <alignment horizontal="left" vertical="center" indent="1"/>
    </xf>
    <xf numFmtId="0" fontId="0" fillId="0" borderId="3" xfId="1" applyFont="1" applyBorder="1"/>
    <xf numFmtId="0" fontId="0" fillId="0" borderId="3" xfId="0" applyBorder="1" applyAlignment="1">
      <alignment horizontal="left" vertical="center" indent="1"/>
    </xf>
    <xf numFmtId="0" fontId="0" fillId="0" borderId="3" xfId="0" applyBorder="1"/>
    <xf numFmtId="0" fontId="2" fillId="2" borderId="2" xfId="0" applyFont="1" applyFill="1" applyBorder="1" applyAlignment="1">
      <alignment horizontal="center" vertical="center"/>
    </xf>
    <xf numFmtId="15" fontId="0" fillId="0" borderId="0" xfId="0" applyNumberFormat="1"/>
    <xf numFmtId="0" fontId="2" fillId="0" borderId="4" xfId="0" applyFont="1" applyBorder="1" applyAlignment="1">
      <alignment horizontal="center" vertical="center"/>
    </xf>
    <xf numFmtId="0" fontId="0" fillId="0" borderId="4" xfId="0" applyBorder="1"/>
  </cellXfs>
  <cellStyles count="2">
    <cellStyle name="Normal" xfId="0" builtinId="0"/>
    <cellStyle name="Normal 2" xfId="1" xr:uid="{AD68BB3F-5516-40E3-98F3-5D3691FC3B85}"/>
  </cellStyles>
  <dxfs count="0"/>
  <tableStyles count="1" defaultTableStyle="TableStyleMedium2" defaultPivotStyle="PivotStyleLight16">
    <tableStyle name="Invisible" pivot="0" table="0" count="0" xr9:uid="{DBA15263-6727-48D4-8576-07F8C3DB009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554182</xdr:colOff>
      <xdr:row>1</xdr:row>
      <xdr:rowOff>173181</xdr:rowOff>
    </xdr:from>
    <xdr:to>
      <xdr:col>28</xdr:col>
      <xdr:colOff>290946</xdr:colOff>
      <xdr:row>26</xdr:row>
      <xdr:rowOff>51088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01533-00D2-1C23-D142-DC1CBA22B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28227" y="363681"/>
          <a:ext cx="5798128" cy="465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519545</xdr:colOff>
      <xdr:row>27</xdr:row>
      <xdr:rowOff>155864</xdr:rowOff>
    </xdr:from>
    <xdr:to>
      <xdr:col>32</xdr:col>
      <xdr:colOff>122958</xdr:colOff>
      <xdr:row>40</xdr:row>
      <xdr:rowOff>12989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5AB66D-DCAA-1104-0150-B00C9C28A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87454" y="5316682"/>
          <a:ext cx="8695459" cy="233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224118</xdr:colOff>
      <xdr:row>39</xdr:row>
      <xdr:rowOff>179293</xdr:rowOff>
    </xdr:from>
    <xdr:to>
      <xdr:col>14</xdr:col>
      <xdr:colOff>242047</xdr:colOff>
      <xdr:row>40</xdr:row>
      <xdr:rowOff>8964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871B24F-CAF5-9A65-0A15-5B9FAFAD8161}"/>
            </a:ext>
          </a:extLst>
        </xdr:cNvPr>
        <xdr:cNvCxnSpPr/>
      </xdr:nvCxnSpPr>
      <xdr:spPr>
        <a:xfrm>
          <a:off x="10802471" y="7180728"/>
          <a:ext cx="5862917" cy="8965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7E7F-209C-46AE-B61D-2C3DDAB36719}">
  <sheetPr codeName="Sheet1"/>
  <dimension ref="B3:P270"/>
  <sheetViews>
    <sheetView showGridLines="0" tabSelected="1" topLeftCell="D6" zoomScale="85" zoomScaleNormal="85" workbookViewId="0">
      <selection activeCell="K5" sqref="K5"/>
    </sheetView>
  </sheetViews>
  <sheetFormatPr defaultRowHeight="14.4" x14ac:dyDescent="0.3"/>
  <cols>
    <col min="2" max="2" width="11.6640625" bestFit="1" customWidth="1"/>
    <col min="3" max="3" width="12.109375" customWidth="1"/>
    <col min="4" max="4" width="25.109375" customWidth="1"/>
    <col min="5" max="5" width="33.88671875" bestFit="1" customWidth="1"/>
    <col min="7" max="7" width="16.88671875" customWidth="1"/>
    <col min="8" max="8" width="32.77734375" customWidth="1"/>
    <col min="9" max="10" width="4.109375" customWidth="1"/>
    <col min="11" max="11" width="32.5546875" bestFit="1" customWidth="1"/>
    <col min="12" max="12" width="16.44140625" customWidth="1"/>
    <col min="13" max="13" width="18" customWidth="1"/>
    <col min="14" max="14" width="14.109375" bestFit="1" customWidth="1"/>
    <col min="15" max="15" width="22.44140625" bestFit="1" customWidth="1"/>
  </cols>
  <sheetData>
    <row r="3" spans="2:14" s="2" customFormat="1" ht="15" thickBot="1" x14ac:dyDescent="0.35">
      <c r="B3" s="11" t="s">
        <v>52</v>
      </c>
      <c r="C3" s="11" t="s">
        <v>53</v>
      </c>
      <c r="D3" s="11" t="s">
        <v>54</v>
      </c>
      <c r="E3" s="11" t="s">
        <v>55</v>
      </c>
      <c r="F3" s="11" t="s">
        <v>56</v>
      </c>
      <c r="G3" s="11" t="s">
        <v>57</v>
      </c>
      <c r="K3" s="12"/>
      <c r="L3"/>
      <c r="M3"/>
      <c r="N3"/>
    </row>
    <row r="4" spans="2:14" x14ac:dyDescent="0.3">
      <c r="B4" s="7">
        <v>45809</v>
      </c>
      <c r="C4" s="8">
        <v>70030</v>
      </c>
      <c r="D4" s="8" t="s">
        <v>23</v>
      </c>
      <c r="E4" s="9" t="s">
        <v>0</v>
      </c>
      <c r="F4" s="10">
        <v>76</v>
      </c>
      <c r="G4" s="10">
        <v>78</v>
      </c>
      <c r="K4" s="13" t="s">
        <v>63</v>
      </c>
      <c r="L4" s="13" t="s">
        <v>64</v>
      </c>
      <c r="M4" s="13" t="s">
        <v>59</v>
      </c>
      <c r="N4" s="13" t="s">
        <v>65</v>
      </c>
    </row>
    <row r="5" spans="2:14" x14ac:dyDescent="0.3">
      <c r="B5" s="3">
        <v>45810</v>
      </c>
      <c r="C5" s="4">
        <v>70183</v>
      </c>
      <c r="D5" s="4" t="s">
        <v>24</v>
      </c>
      <c r="E5" s="5" t="s">
        <v>1</v>
      </c>
      <c r="F5" s="6">
        <v>43</v>
      </c>
      <c r="G5" s="6">
        <v>52</v>
      </c>
      <c r="K5" t="str" cm="1">
        <f t="array" ref="K5:K27">_xlfn._xlws.SORT(_xlfn.UNIQUE(E4:E270),,1)</f>
        <v>AMD Radeon RX 7900 XTX</v>
      </c>
      <c r="L5">
        <f>SUMIFS($F$4:$F$270,$E$4:$E$270,K5)</f>
        <v>629</v>
      </c>
      <c r="M5">
        <f>SUMIFS($G$4:$G$270,$E$4:$E$270,K5)</f>
        <v>687</v>
      </c>
      <c r="N5">
        <f>M5-L5</f>
        <v>58</v>
      </c>
    </row>
    <row r="6" spans="2:14" x14ac:dyDescent="0.3">
      <c r="B6" s="3">
        <v>45811</v>
      </c>
      <c r="C6" s="4">
        <v>70133</v>
      </c>
      <c r="D6" s="4" t="s">
        <v>25</v>
      </c>
      <c r="E6" s="5" t="s">
        <v>2</v>
      </c>
      <c r="F6" s="6">
        <v>30</v>
      </c>
      <c r="G6" s="6">
        <v>35</v>
      </c>
      <c r="K6" t="str">
        <v>AMD Ryzen 9 7950X</v>
      </c>
      <c r="L6">
        <f t="shared" ref="L6:L27" si="0">SUMIFS($F$4:$F$270,$E$4:$E$270,K6)</f>
        <v>310</v>
      </c>
      <c r="M6">
        <f t="shared" ref="M6:M27" si="1">SUMIFS($G$4:$G$270,$E$4:$E$270,K6)</f>
        <v>365</v>
      </c>
      <c r="N6">
        <f t="shared" ref="N6:N27" si="2">M6-L6</f>
        <v>55</v>
      </c>
    </row>
    <row r="7" spans="2:14" x14ac:dyDescent="0.3">
      <c r="B7" s="3">
        <v>45812</v>
      </c>
      <c r="C7" s="4">
        <v>70504</v>
      </c>
      <c r="D7" s="4" t="s">
        <v>26</v>
      </c>
      <c r="E7" s="5" t="s">
        <v>3</v>
      </c>
      <c r="F7" s="6">
        <v>32</v>
      </c>
      <c r="G7" s="6">
        <v>38</v>
      </c>
      <c r="K7" t="str">
        <v>Apple M2 Ultra</v>
      </c>
      <c r="L7">
        <f t="shared" si="0"/>
        <v>399</v>
      </c>
      <c r="M7">
        <f t="shared" si="1"/>
        <v>454</v>
      </c>
      <c r="N7">
        <f t="shared" si="2"/>
        <v>55</v>
      </c>
    </row>
    <row r="8" spans="2:14" x14ac:dyDescent="0.3">
      <c r="B8" s="3">
        <v>45813</v>
      </c>
      <c r="C8" s="4">
        <v>70786</v>
      </c>
      <c r="D8" s="4" t="s">
        <v>27</v>
      </c>
      <c r="E8" s="5" t="s">
        <v>4</v>
      </c>
      <c r="F8" s="6">
        <v>95</v>
      </c>
      <c r="G8" s="6">
        <v>102</v>
      </c>
      <c r="K8" t="str">
        <v>ASUS ROG Strix Z790-E</v>
      </c>
      <c r="L8">
        <f t="shared" si="0"/>
        <v>456</v>
      </c>
      <c r="M8">
        <f t="shared" si="1"/>
        <v>511</v>
      </c>
      <c r="N8">
        <f t="shared" si="2"/>
        <v>55</v>
      </c>
    </row>
    <row r="9" spans="2:14" x14ac:dyDescent="0.3">
      <c r="B9" s="3">
        <v>45814</v>
      </c>
      <c r="C9" s="4">
        <v>70833</v>
      </c>
      <c r="D9" s="4" t="s">
        <v>28</v>
      </c>
      <c r="E9" s="5" t="s">
        <v>5</v>
      </c>
      <c r="F9" s="6">
        <v>37</v>
      </c>
      <c r="G9" s="6">
        <v>41</v>
      </c>
      <c r="K9" t="str">
        <v>Cooler Master Hyper 212 Black Edition</v>
      </c>
      <c r="L9">
        <f t="shared" si="0"/>
        <v>287</v>
      </c>
      <c r="M9">
        <f t="shared" si="1"/>
        <v>330</v>
      </c>
      <c r="N9">
        <f t="shared" si="2"/>
        <v>43</v>
      </c>
    </row>
    <row r="10" spans="2:14" x14ac:dyDescent="0.3">
      <c r="B10" s="3">
        <v>45815</v>
      </c>
      <c r="C10" s="4">
        <v>70835</v>
      </c>
      <c r="D10" s="4" t="s">
        <v>29</v>
      </c>
      <c r="E10" s="5" t="s">
        <v>6</v>
      </c>
      <c r="F10" s="6">
        <v>48</v>
      </c>
      <c r="G10" s="6">
        <v>54</v>
      </c>
      <c r="K10" t="str">
        <v>Corsair RM850x</v>
      </c>
      <c r="L10">
        <f t="shared" si="0"/>
        <v>537</v>
      </c>
      <c r="M10">
        <f t="shared" si="1"/>
        <v>583</v>
      </c>
      <c r="N10">
        <f t="shared" si="2"/>
        <v>46</v>
      </c>
    </row>
    <row r="11" spans="2:14" x14ac:dyDescent="0.3">
      <c r="B11" s="3">
        <v>45816</v>
      </c>
      <c r="C11" s="4">
        <v>70839</v>
      </c>
      <c r="D11" s="4" t="s">
        <v>30</v>
      </c>
      <c r="E11" s="5" t="s">
        <v>7</v>
      </c>
      <c r="F11" s="6">
        <v>61</v>
      </c>
      <c r="G11" s="6">
        <v>67</v>
      </c>
      <c r="K11" t="str">
        <v>Corsair Vengeance DDR5</v>
      </c>
      <c r="L11">
        <f t="shared" si="0"/>
        <v>391</v>
      </c>
      <c r="M11">
        <f t="shared" si="1"/>
        <v>430</v>
      </c>
      <c r="N11">
        <f t="shared" si="2"/>
        <v>39</v>
      </c>
    </row>
    <row r="12" spans="2:14" x14ac:dyDescent="0.3">
      <c r="B12" s="3">
        <v>45817</v>
      </c>
      <c r="C12" s="4">
        <v>70837</v>
      </c>
      <c r="D12" s="4" t="s">
        <v>31</v>
      </c>
      <c r="E12" s="5" t="s">
        <v>8</v>
      </c>
      <c r="F12" s="6">
        <v>8</v>
      </c>
      <c r="G12" s="6">
        <v>12</v>
      </c>
      <c r="K12" t="str">
        <v>EVGA SuperNOVA 1000 G6</v>
      </c>
      <c r="L12">
        <f t="shared" si="0"/>
        <v>371</v>
      </c>
      <c r="M12">
        <f t="shared" si="1"/>
        <v>419</v>
      </c>
      <c r="N12">
        <f t="shared" si="2"/>
        <v>48</v>
      </c>
    </row>
    <row r="13" spans="2:14" x14ac:dyDescent="0.3">
      <c r="B13" s="3">
        <v>45818</v>
      </c>
      <c r="C13" s="4">
        <v>70894</v>
      </c>
      <c r="D13" s="4" t="s">
        <v>32</v>
      </c>
      <c r="E13" s="5" t="s">
        <v>9</v>
      </c>
      <c r="F13" s="6">
        <v>4</v>
      </c>
      <c r="G13" s="6">
        <v>9</v>
      </c>
      <c r="K13" t="str">
        <v>G.Skill Trident Z5 RGB</v>
      </c>
      <c r="L13">
        <f t="shared" si="0"/>
        <v>1034</v>
      </c>
      <c r="M13">
        <f t="shared" si="1"/>
        <v>1175</v>
      </c>
      <c r="N13">
        <f t="shared" si="2"/>
        <v>141</v>
      </c>
    </row>
    <row r="14" spans="2:14" x14ac:dyDescent="0.3">
      <c r="B14" s="3">
        <v>45819</v>
      </c>
      <c r="C14" s="4">
        <v>70793</v>
      </c>
      <c r="D14" s="4" t="s">
        <v>33</v>
      </c>
      <c r="E14" s="5" t="s">
        <v>10</v>
      </c>
      <c r="F14" s="6">
        <v>67</v>
      </c>
      <c r="G14" s="6">
        <v>75</v>
      </c>
      <c r="K14" t="str">
        <v>Gigabyte AORUS X670E Master</v>
      </c>
      <c r="L14">
        <f t="shared" si="0"/>
        <v>356</v>
      </c>
      <c r="M14">
        <f t="shared" si="1"/>
        <v>407</v>
      </c>
      <c r="N14">
        <f t="shared" si="2"/>
        <v>51</v>
      </c>
    </row>
    <row r="15" spans="2:14" x14ac:dyDescent="0.3">
      <c r="B15" s="3">
        <v>45820</v>
      </c>
      <c r="C15" s="4">
        <v>70791</v>
      </c>
      <c r="D15" s="4" t="s">
        <v>34</v>
      </c>
      <c r="E15" s="5" t="s">
        <v>11</v>
      </c>
      <c r="F15" s="6">
        <v>17</v>
      </c>
      <c r="G15" s="6">
        <v>19</v>
      </c>
      <c r="K15" t="str">
        <v>Intel Arc A770</v>
      </c>
      <c r="L15">
        <f t="shared" si="0"/>
        <v>525</v>
      </c>
      <c r="M15">
        <f t="shared" si="1"/>
        <v>570</v>
      </c>
      <c r="N15">
        <f t="shared" si="2"/>
        <v>45</v>
      </c>
    </row>
    <row r="16" spans="2:14" x14ac:dyDescent="0.3">
      <c r="B16" s="3">
        <v>45821</v>
      </c>
      <c r="C16" s="4">
        <v>70963</v>
      </c>
      <c r="D16" s="4" t="s">
        <v>35</v>
      </c>
      <c r="E16" s="5" t="s">
        <v>12</v>
      </c>
      <c r="F16" s="6">
        <v>47</v>
      </c>
      <c r="G16" s="6">
        <v>54</v>
      </c>
      <c r="K16" t="str">
        <v>Intel Core i9-14900K</v>
      </c>
      <c r="L16">
        <f t="shared" si="0"/>
        <v>544</v>
      </c>
      <c r="M16">
        <f t="shared" si="1"/>
        <v>591</v>
      </c>
      <c r="N16">
        <f t="shared" si="2"/>
        <v>47</v>
      </c>
    </row>
    <row r="17" spans="2:15" x14ac:dyDescent="0.3">
      <c r="B17" s="3">
        <v>45822</v>
      </c>
      <c r="C17" s="4">
        <v>70968</v>
      </c>
      <c r="D17" s="4" t="s">
        <v>36</v>
      </c>
      <c r="E17" s="5" t="s">
        <v>13</v>
      </c>
      <c r="F17" s="6">
        <v>91</v>
      </c>
      <c r="G17" s="6">
        <v>93</v>
      </c>
      <c r="K17" t="str">
        <v>Kingston Fury Beast</v>
      </c>
      <c r="L17">
        <f t="shared" si="0"/>
        <v>1321</v>
      </c>
      <c r="M17">
        <f t="shared" si="1"/>
        <v>1443</v>
      </c>
      <c r="N17">
        <f t="shared" si="2"/>
        <v>122</v>
      </c>
    </row>
    <row r="18" spans="2:15" x14ac:dyDescent="0.3">
      <c r="B18" s="3">
        <v>45823</v>
      </c>
      <c r="C18" s="4">
        <v>70961</v>
      </c>
      <c r="D18" s="4" t="s">
        <v>37</v>
      </c>
      <c r="E18" s="5" t="s">
        <v>14</v>
      </c>
      <c r="F18" s="6">
        <v>65</v>
      </c>
      <c r="G18" s="6">
        <v>75</v>
      </c>
      <c r="K18" t="str">
        <v>Lian Li PC-O</v>
      </c>
      <c r="L18">
        <f t="shared" si="0"/>
        <v>442</v>
      </c>
      <c r="M18">
        <f t="shared" si="1"/>
        <v>481</v>
      </c>
      <c r="N18">
        <f t="shared" si="2"/>
        <v>39</v>
      </c>
    </row>
    <row r="19" spans="2:15" x14ac:dyDescent="0.3">
      <c r="B19" s="3">
        <v>45824</v>
      </c>
      <c r="C19" s="4">
        <v>70983</v>
      </c>
      <c r="D19" s="4" t="s">
        <v>38</v>
      </c>
      <c r="E19" s="5" t="s">
        <v>15</v>
      </c>
      <c r="F19" s="6">
        <v>94</v>
      </c>
      <c r="G19" s="6">
        <v>103</v>
      </c>
      <c r="K19" t="str">
        <v>MSI MPG B650 Carbon WiFi</v>
      </c>
      <c r="L19">
        <f t="shared" si="0"/>
        <v>499</v>
      </c>
      <c r="M19">
        <f t="shared" si="1"/>
        <v>554</v>
      </c>
      <c r="N19">
        <f t="shared" si="2"/>
        <v>55</v>
      </c>
    </row>
    <row r="20" spans="2:15" x14ac:dyDescent="0.3">
      <c r="B20" s="3">
        <v>45825</v>
      </c>
      <c r="C20" s="4">
        <v>70981</v>
      </c>
      <c r="D20" s="4" t="s">
        <v>39</v>
      </c>
      <c r="E20" s="5" t="s">
        <v>16</v>
      </c>
      <c r="F20" s="6">
        <v>51</v>
      </c>
      <c r="G20" s="6">
        <v>59</v>
      </c>
      <c r="K20" t="str">
        <v>Noctua NH-D15</v>
      </c>
      <c r="L20">
        <f t="shared" si="0"/>
        <v>463</v>
      </c>
      <c r="M20">
        <f t="shared" si="1"/>
        <v>510</v>
      </c>
      <c r="N20">
        <f t="shared" si="2"/>
        <v>47</v>
      </c>
    </row>
    <row r="21" spans="2:15" x14ac:dyDescent="0.3">
      <c r="B21" s="3">
        <v>45826</v>
      </c>
      <c r="C21" s="4">
        <v>70980</v>
      </c>
      <c r="D21" s="4" t="s">
        <v>40</v>
      </c>
      <c r="E21" s="5" t="s">
        <v>17</v>
      </c>
      <c r="F21" s="6">
        <v>88</v>
      </c>
      <c r="G21" s="6">
        <v>93</v>
      </c>
      <c r="K21" t="str">
        <v>NVIDIA GeForce RTX 4090</v>
      </c>
      <c r="L21">
        <f t="shared" si="0"/>
        <v>416</v>
      </c>
      <c r="M21">
        <f t="shared" si="1"/>
        <v>474</v>
      </c>
      <c r="N21">
        <f t="shared" si="2"/>
        <v>58</v>
      </c>
    </row>
    <row r="22" spans="2:15" x14ac:dyDescent="0.3">
      <c r="B22" s="3">
        <v>45827</v>
      </c>
      <c r="C22" s="4">
        <v>70979</v>
      </c>
      <c r="D22" s="4" t="s">
        <v>41</v>
      </c>
      <c r="E22" s="5" t="s">
        <v>18</v>
      </c>
      <c r="F22" s="6">
        <v>20</v>
      </c>
      <c r="G22" s="6">
        <v>25</v>
      </c>
      <c r="K22" t="str">
        <v>NZXT H510</v>
      </c>
      <c r="L22">
        <f t="shared" si="0"/>
        <v>423</v>
      </c>
      <c r="M22">
        <f t="shared" si="1"/>
        <v>469</v>
      </c>
      <c r="N22">
        <f t="shared" si="2"/>
        <v>46</v>
      </c>
    </row>
    <row r="23" spans="2:15" x14ac:dyDescent="0.3">
      <c r="B23" s="3">
        <v>45828</v>
      </c>
      <c r="C23" s="4">
        <v>70985</v>
      </c>
      <c r="D23" s="4" t="s">
        <v>42</v>
      </c>
      <c r="E23" s="5" t="s">
        <v>19</v>
      </c>
      <c r="F23" s="6">
        <v>2</v>
      </c>
      <c r="G23" s="6">
        <v>4</v>
      </c>
      <c r="K23" t="str">
        <v>NZXT Kraken X73</v>
      </c>
      <c r="L23">
        <f t="shared" si="0"/>
        <v>487</v>
      </c>
      <c r="M23">
        <f t="shared" si="1"/>
        <v>542</v>
      </c>
      <c r="N23">
        <f t="shared" si="2"/>
        <v>55</v>
      </c>
    </row>
    <row r="24" spans="2:15" x14ac:dyDescent="0.3">
      <c r="B24" s="3">
        <v>45829</v>
      </c>
      <c r="C24" s="4">
        <v>70986</v>
      </c>
      <c r="D24" s="4" t="s">
        <v>43</v>
      </c>
      <c r="E24" s="5" t="s">
        <v>20</v>
      </c>
      <c r="F24" s="6">
        <v>78</v>
      </c>
      <c r="G24" s="6">
        <v>87</v>
      </c>
      <c r="K24" t="str">
        <v>Samsung 990 Pro</v>
      </c>
      <c r="L24">
        <f t="shared" si="0"/>
        <v>1119</v>
      </c>
      <c r="M24">
        <f t="shared" si="1"/>
        <v>1278</v>
      </c>
      <c r="N24">
        <f t="shared" si="2"/>
        <v>159</v>
      </c>
    </row>
    <row r="25" spans="2:15" x14ac:dyDescent="0.3">
      <c r="B25" s="3">
        <v>45830</v>
      </c>
      <c r="C25" s="4">
        <v>70958</v>
      </c>
      <c r="D25" s="4" t="s">
        <v>44</v>
      </c>
      <c r="E25" s="5" t="s">
        <v>21</v>
      </c>
      <c r="F25" s="6">
        <v>82</v>
      </c>
      <c r="G25" s="6">
        <v>83</v>
      </c>
      <c r="K25" t="str">
        <v>Seagate Barracuda</v>
      </c>
      <c r="L25">
        <f t="shared" si="0"/>
        <v>347</v>
      </c>
      <c r="M25">
        <f t="shared" si="1"/>
        <v>393</v>
      </c>
      <c r="N25">
        <f t="shared" si="2"/>
        <v>46</v>
      </c>
    </row>
    <row r="26" spans="2:15" x14ac:dyDescent="0.3">
      <c r="B26" s="3">
        <v>45831</v>
      </c>
      <c r="C26" s="4">
        <v>70950</v>
      </c>
      <c r="D26" s="4" t="s">
        <v>45</v>
      </c>
      <c r="E26" s="5" t="s">
        <v>22</v>
      </c>
      <c r="F26" s="6">
        <v>26</v>
      </c>
      <c r="G26" s="6">
        <v>31</v>
      </c>
      <c r="K26" t="str">
        <v>Seasonic Focus GX-750</v>
      </c>
      <c r="L26">
        <f t="shared" si="0"/>
        <v>606</v>
      </c>
      <c r="M26">
        <f t="shared" si="1"/>
        <v>662</v>
      </c>
      <c r="N26">
        <f t="shared" si="2"/>
        <v>56</v>
      </c>
    </row>
    <row r="27" spans="2:15" x14ac:dyDescent="0.3">
      <c r="B27" s="3">
        <v>45832</v>
      </c>
      <c r="C27" s="4">
        <v>70951</v>
      </c>
      <c r="D27" s="4" t="s">
        <v>46</v>
      </c>
      <c r="E27" s="5" t="s">
        <v>7</v>
      </c>
      <c r="F27" s="6">
        <v>31</v>
      </c>
      <c r="G27" s="6">
        <v>35</v>
      </c>
      <c r="K27" s="14" t="str">
        <v>Western Digital Black SN850X</v>
      </c>
      <c r="L27">
        <f t="shared" si="0"/>
        <v>946</v>
      </c>
      <c r="M27">
        <f t="shared" si="1"/>
        <v>1055</v>
      </c>
      <c r="N27">
        <f t="shared" si="2"/>
        <v>109</v>
      </c>
    </row>
    <row r="28" spans="2:15" x14ac:dyDescent="0.3">
      <c r="B28" s="3">
        <v>45833</v>
      </c>
      <c r="C28" s="4">
        <v>70952</v>
      </c>
      <c r="D28" s="4" t="s">
        <v>47</v>
      </c>
      <c r="E28" s="5" t="s">
        <v>8</v>
      </c>
      <c r="F28" s="6">
        <v>72</v>
      </c>
      <c r="G28" s="6">
        <v>74</v>
      </c>
      <c r="K28" s="12"/>
    </row>
    <row r="29" spans="2:15" x14ac:dyDescent="0.3">
      <c r="B29" s="3">
        <v>45834</v>
      </c>
      <c r="C29" s="4">
        <v>70954</v>
      </c>
      <c r="D29" s="4" t="s">
        <v>48</v>
      </c>
      <c r="E29" s="5" t="s">
        <v>9</v>
      </c>
      <c r="F29" s="6">
        <v>18</v>
      </c>
      <c r="G29" s="6">
        <v>28</v>
      </c>
    </row>
    <row r="30" spans="2:15" x14ac:dyDescent="0.3">
      <c r="B30" s="3">
        <v>45835</v>
      </c>
      <c r="C30" s="4">
        <v>70955</v>
      </c>
      <c r="D30" s="4" t="s">
        <v>49</v>
      </c>
      <c r="E30" s="5" t="s">
        <v>7</v>
      </c>
      <c r="F30" s="6">
        <v>47</v>
      </c>
      <c r="G30" s="6">
        <v>53</v>
      </c>
      <c r="O30" s="1" t="s">
        <v>62</v>
      </c>
    </row>
    <row r="31" spans="2:15" x14ac:dyDescent="0.3">
      <c r="B31" s="3">
        <v>45836</v>
      </c>
      <c r="C31" s="4">
        <v>70956</v>
      </c>
      <c r="D31" s="4" t="s">
        <v>50</v>
      </c>
      <c r="E31" s="5" t="s">
        <v>8</v>
      </c>
      <c r="F31" s="6">
        <v>24</v>
      </c>
      <c r="G31" s="6">
        <v>32</v>
      </c>
      <c r="K31" s="13" t="s">
        <v>58</v>
      </c>
      <c r="L31" s="13" t="s">
        <v>59</v>
      </c>
      <c r="M31" s="13" t="s">
        <v>60</v>
      </c>
      <c r="N31" s="13" t="s">
        <v>61</v>
      </c>
      <c r="O31">
        <f>N41</f>
        <v>1475</v>
      </c>
    </row>
    <row r="32" spans="2:15" x14ac:dyDescent="0.3">
      <c r="B32" s="3">
        <v>45837</v>
      </c>
      <c r="C32" s="4">
        <v>70798</v>
      </c>
      <c r="D32" s="4" t="s">
        <v>51</v>
      </c>
      <c r="E32" s="5" t="s">
        <v>9</v>
      </c>
      <c r="F32" s="6">
        <v>49</v>
      </c>
      <c r="G32" s="6">
        <v>56</v>
      </c>
      <c r="K32" s="12" t="str" cm="1">
        <f t="array" ref="K32:K40">_xlfn.UNIQUE(TEXT(B4:B270,"YY mmm"))</f>
        <v>25 Jun</v>
      </c>
      <c r="L32" cm="1">
        <f t="array" ref="L32">SUMPRODUCT((TEXT($B$4:$B$270,"YY mmm")=K32)*$G$4:$G$270)</f>
        <v>1647</v>
      </c>
      <c r="M32" cm="1">
        <f t="array" ref="M32">SUMPRODUCT((TEXT($B$4:$B$270,"YY MMM")=K32)*$F$4:$F$270)</f>
        <v>1474</v>
      </c>
    </row>
    <row r="33" spans="2:16" x14ac:dyDescent="0.3">
      <c r="B33" s="3">
        <v>45838</v>
      </c>
      <c r="C33" s="4">
        <v>70958</v>
      </c>
      <c r="D33" s="4" t="s">
        <v>44</v>
      </c>
      <c r="E33" s="5" t="s">
        <v>10</v>
      </c>
      <c r="F33" s="6">
        <v>71</v>
      </c>
      <c r="G33" s="6">
        <v>80</v>
      </c>
      <c r="K33" s="12" t="str">
        <v>25 Jul</v>
      </c>
      <c r="L33" cm="1">
        <f t="array" ref="L33">SUMPRODUCT((TEXT($B$4:$B$270,"YY mmm")=K33)*$G$4:$G$270)</f>
        <v>1678</v>
      </c>
      <c r="M33" cm="1">
        <f t="array" ref="M33">SUMPRODUCT((TEXT($B$4:$B$270,"YY MMM")=K33)*$F$4:$F$270)</f>
        <v>1501</v>
      </c>
      <c r="N33">
        <f>L32-M32</f>
        <v>173</v>
      </c>
    </row>
    <row r="34" spans="2:16" x14ac:dyDescent="0.3">
      <c r="B34" s="3">
        <v>45839</v>
      </c>
      <c r="C34" s="4">
        <v>70030</v>
      </c>
      <c r="D34" s="4" t="s">
        <v>23</v>
      </c>
      <c r="E34" s="5" t="s">
        <v>0</v>
      </c>
      <c r="F34" s="6">
        <v>60</v>
      </c>
      <c r="G34" s="6">
        <v>62</v>
      </c>
      <c r="K34" s="12" t="str">
        <v>25 Aug</v>
      </c>
      <c r="L34" cm="1">
        <f t="array" ref="L34">SUMPRODUCT((TEXT($B$4:$B$270,"YY mmm")=K34)*$G$4:$G$270)</f>
        <v>1689</v>
      </c>
      <c r="M34" cm="1">
        <f t="array" ref="M34">SUMPRODUCT((TEXT($B$4:$B$270,"YY MMM")=K34)*$F$4:$F$270)</f>
        <v>1498</v>
      </c>
      <c r="N34">
        <f>L33-M33+N33</f>
        <v>350</v>
      </c>
    </row>
    <row r="35" spans="2:16" x14ac:dyDescent="0.3">
      <c r="B35" s="3">
        <v>45840</v>
      </c>
      <c r="C35" s="4">
        <v>70183</v>
      </c>
      <c r="D35" s="4" t="s">
        <v>24</v>
      </c>
      <c r="E35" s="5" t="s">
        <v>1</v>
      </c>
      <c r="F35" s="6">
        <v>2</v>
      </c>
      <c r="G35" s="6">
        <v>9</v>
      </c>
      <c r="K35" s="12" t="str">
        <v>25 Sep</v>
      </c>
      <c r="L35" cm="1">
        <f t="array" ref="L35">SUMPRODUCT((TEXT($B$4:$B$270,"YY mmm")=K35)*$G$4:$G$270)</f>
        <v>1658</v>
      </c>
      <c r="M35" cm="1">
        <f t="array" ref="M35">SUMPRODUCT((TEXT($B$4:$B$270,"YY MMM")=K35)*$F$4:$F$270)</f>
        <v>1509</v>
      </c>
      <c r="N35">
        <f t="shared" ref="N35:N41" si="3">L34-M34+N34</f>
        <v>541</v>
      </c>
    </row>
    <row r="36" spans="2:16" x14ac:dyDescent="0.3">
      <c r="B36" s="3">
        <v>45841</v>
      </c>
      <c r="C36" s="4">
        <v>70133</v>
      </c>
      <c r="D36" s="4" t="s">
        <v>25</v>
      </c>
      <c r="E36" s="5" t="s">
        <v>2</v>
      </c>
      <c r="F36" s="6">
        <v>19</v>
      </c>
      <c r="G36" s="6">
        <v>23</v>
      </c>
      <c r="K36" s="12" t="str">
        <v>25 Oct</v>
      </c>
      <c r="L36" cm="1">
        <f t="array" ref="L36">SUMPRODUCT((TEXT($B$4:$B$270,"YY mmm")=K36)*$G$4:$G$270)</f>
        <v>1820</v>
      </c>
      <c r="M36" cm="1">
        <f t="array" ref="M36">SUMPRODUCT((TEXT($B$4:$B$270,"YY MMM")=K36)*$F$4:$F$270)</f>
        <v>1651</v>
      </c>
      <c r="N36">
        <f t="shared" si="3"/>
        <v>690</v>
      </c>
    </row>
    <row r="37" spans="2:16" x14ac:dyDescent="0.3">
      <c r="B37" s="3">
        <v>45842</v>
      </c>
      <c r="C37" s="4">
        <v>70504</v>
      </c>
      <c r="D37" s="4" t="s">
        <v>26</v>
      </c>
      <c r="E37" s="5" t="s">
        <v>3</v>
      </c>
      <c r="F37" s="6">
        <v>78</v>
      </c>
      <c r="G37" s="6">
        <v>81</v>
      </c>
      <c r="K37" s="12" t="str">
        <v>25 Nov</v>
      </c>
      <c r="L37" cm="1">
        <f t="array" ref="L37">SUMPRODUCT((TEXT($B$4:$B$270,"YY mmm")=K37)*$G$4:$G$270)</f>
        <v>1560</v>
      </c>
      <c r="M37" cm="1">
        <f t="array" ref="M37">SUMPRODUCT((TEXT($B$4:$B$270,"YY MMM")=K37)*$F$4:$F$270)</f>
        <v>1378</v>
      </c>
      <c r="N37">
        <f t="shared" si="3"/>
        <v>859</v>
      </c>
    </row>
    <row r="38" spans="2:16" x14ac:dyDescent="0.3">
      <c r="B38" s="3">
        <v>45843</v>
      </c>
      <c r="C38" s="4">
        <v>70786</v>
      </c>
      <c r="D38" s="4" t="s">
        <v>27</v>
      </c>
      <c r="E38" s="5" t="s">
        <v>4</v>
      </c>
      <c r="F38" s="6">
        <v>54</v>
      </c>
      <c r="G38" s="6">
        <v>60</v>
      </c>
      <c r="K38" s="12" t="str">
        <v>25 Dec</v>
      </c>
      <c r="L38" cm="1">
        <f t="array" ref="L38">SUMPRODUCT((TEXT($B$4:$B$270,"YY mmm")=K38)*$G$4:$G$270)</f>
        <v>1330</v>
      </c>
      <c r="M38" cm="1">
        <f t="array" ref="M38">SUMPRODUCT((TEXT($B$4:$B$270,"YY MMM")=K38)*$F$4:$F$270)</f>
        <v>1184</v>
      </c>
      <c r="N38">
        <f t="shared" si="3"/>
        <v>1041</v>
      </c>
    </row>
    <row r="39" spans="2:16" x14ac:dyDescent="0.3">
      <c r="B39" s="3">
        <v>45844</v>
      </c>
      <c r="C39" s="4">
        <v>70833</v>
      </c>
      <c r="D39" s="4" t="s">
        <v>28</v>
      </c>
      <c r="E39" s="5" t="s">
        <v>5</v>
      </c>
      <c r="F39" s="6">
        <v>59</v>
      </c>
      <c r="G39" s="6">
        <v>68</v>
      </c>
      <c r="K39" s="12" t="str">
        <v>26 Jan</v>
      </c>
      <c r="L39" cm="1">
        <f t="array" ref="L39">SUMPRODUCT((TEXT($B$4:$B$270,"YY mmm")=K39)*$G$4:$G$270)</f>
        <v>1453</v>
      </c>
      <c r="M39" cm="1">
        <f t="array" ref="M39">SUMPRODUCT((TEXT($B$4:$B$270,"YY MMM")=K39)*$F$4:$F$270)</f>
        <v>1314</v>
      </c>
      <c r="N39">
        <f t="shared" si="3"/>
        <v>1187</v>
      </c>
    </row>
    <row r="40" spans="2:16" x14ac:dyDescent="0.3">
      <c r="B40" s="3">
        <v>45845</v>
      </c>
      <c r="C40" s="4">
        <v>70835</v>
      </c>
      <c r="D40" s="4" t="s">
        <v>29</v>
      </c>
      <c r="E40" s="5" t="s">
        <v>6</v>
      </c>
      <c r="F40" s="6">
        <v>24</v>
      </c>
      <c r="G40" s="6">
        <v>27</v>
      </c>
      <c r="K40" s="12" t="str">
        <v>26 Feb</v>
      </c>
      <c r="L40" cm="1">
        <f t="array" ref="L40">SUMPRODUCT((TEXT($B$4:$B$270,"YY mmm")=K40)*$G$4:$G$270)</f>
        <v>1548</v>
      </c>
      <c r="M40" cm="1">
        <f t="array" ref="M40">SUMPRODUCT((TEXT($B$4:$B$270,"YY MMM")=K40)*$F$4:$F$270)</f>
        <v>1399</v>
      </c>
      <c r="N40">
        <f t="shared" si="3"/>
        <v>1326</v>
      </c>
    </row>
    <row r="41" spans="2:16" x14ac:dyDescent="0.3">
      <c r="B41" s="3">
        <v>45846</v>
      </c>
      <c r="C41" s="4">
        <v>70839</v>
      </c>
      <c r="D41" s="4" t="s">
        <v>30</v>
      </c>
      <c r="E41" s="5" t="s">
        <v>7</v>
      </c>
      <c r="F41" s="6">
        <v>2</v>
      </c>
      <c r="G41" s="6">
        <v>5</v>
      </c>
      <c r="K41" s="12"/>
      <c r="N41">
        <f t="shared" si="3"/>
        <v>1475</v>
      </c>
    </row>
    <row r="42" spans="2:16" x14ac:dyDescent="0.3">
      <c r="B42" s="3">
        <v>45847</v>
      </c>
      <c r="C42" s="4">
        <v>70837</v>
      </c>
      <c r="D42" s="4" t="s">
        <v>31</v>
      </c>
      <c r="E42" s="5" t="s">
        <v>8</v>
      </c>
      <c r="F42" s="6">
        <v>80</v>
      </c>
      <c r="G42" s="6">
        <v>83</v>
      </c>
      <c r="K42" s="12"/>
      <c r="O42" s="2"/>
      <c r="P42" s="2"/>
    </row>
    <row r="43" spans="2:16" x14ac:dyDescent="0.3">
      <c r="B43" s="3">
        <v>45848</v>
      </c>
      <c r="C43" s="4">
        <v>70894</v>
      </c>
      <c r="D43" s="4" t="s">
        <v>32</v>
      </c>
      <c r="E43" s="5" t="s">
        <v>9</v>
      </c>
      <c r="F43" s="6">
        <v>87</v>
      </c>
      <c r="G43" s="6">
        <v>96</v>
      </c>
      <c r="K43" s="12"/>
    </row>
    <row r="44" spans="2:16" x14ac:dyDescent="0.3">
      <c r="B44" s="3">
        <v>45849</v>
      </c>
      <c r="C44" s="4">
        <v>70793</v>
      </c>
      <c r="D44" s="4" t="s">
        <v>33</v>
      </c>
      <c r="E44" s="5" t="s">
        <v>10</v>
      </c>
      <c r="F44" s="6">
        <v>46</v>
      </c>
      <c r="G44" s="6">
        <v>47</v>
      </c>
      <c r="K44" s="12"/>
    </row>
    <row r="45" spans="2:16" x14ac:dyDescent="0.3">
      <c r="B45" s="3">
        <v>45850</v>
      </c>
      <c r="C45" s="4">
        <v>70791</v>
      </c>
      <c r="D45" s="4" t="s">
        <v>34</v>
      </c>
      <c r="E45" s="5" t="s">
        <v>11</v>
      </c>
      <c r="F45" s="6">
        <v>1</v>
      </c>
      <c r="G45" s="6">
        <v>11</v>
      </c>
      <c r="K45" s="12"/>
    </row>
    <row r="46" spans="2:16" x14ac:dyDescent="0.3">
      <c r="B46" s="3">
        <v>45851</v>
      </c>
      <c r="C46" s="4">
        <v>70963</v>
      </c>
      <c r="D46" s="4" t="s">
        <v>35</v>
      </c>
      <c r="E46" s="5" t="s">
        <v>12</v>
      </c>
      <c r="F46" s="6">
        <v>91</v>
      </c>
      <c r="G46" s="6">
        <v>99</v>
      </c>
      <c r="K46" s="12"/>
    </row>
    <row r="47" spans="2:16" x14ac:dyDescent="0.3">
      <c r="B47" s="3">
        <v>45852</v>
      </c>
      <c r="C47" s="4">
        <v>70968</v>
      </c>
      <c r="D47" s="4" t="s">
        <v>36</v>
      </c>
      <c r="E47" s="5" t="s">
        <v>13</v>
      </c>
      <c r="F47" s="6">
        <v>43</v>
      </c>
      <c r="G47" s="6">
        <v>48</v>
      </c>
      <c r="K47" s="12"/>
    </row>
    <row r="48" spans="2:16" x14ac:dyDescent="0.3">
      <c r="B48" s="3">
        <v>45853</v>
      </c>
      <c r="C48" s="4">
        <v>70961</v>
      </c>
      <c r="D48" s="4" t="s">
        <v>37</v>
      </c>
      <c r="E48" s="5" t="s">
        <v>14</v>
      </c>
      <c r="F48" s="6">
        <v>93</v>
      </c>
      <c r="G48" s="6">
        <v>96</v>
      </c>
      <c r="K48" s="12"/>
    </row>
    <row r="49" spans="2:11" x14ac:dyDescent="0.3">
      <c r="B49" s="3">
        <v>45854</v>
      </c>
      <c r="C49" s="4">
        <v>70983</v>
      </c>
      <c r="D49" s="4" t="s">
        <v>38</v>
      </c>
      <c r="E49" s="5" t="s">
        <v>15</v>
      </c>
      <c r="F49" s="6">
        <v>51</v>
      </c>
      <c r="G49" s="6">
        <v>58</v>
      </c>
      <c r="K49" s="12"/>
    </row>
    <row r="50" spans="2:11" x14ac:dyDescent="0.3">
      <c r="B50" s="3">
        <v>45855</v>
      </c>
      <c r="C50" s="4">
        <v>70981</v>
      </c>
      <c r="D50" s="4" t="s">
        <v>39</v>
      </c>
      <c r="E50" s="5" t="s">
        <v>16</v>
      </c>
      <c r="F50" s="6">
        <v>48</v>
      </c>
      <c r="G50" s="6">
        <v>54</v>
      </c>
      <c r="K50" s="12"/>
    </row>
    <row r="51" spans="2:11" x14ac:dyDescent="0.3">
      <c r="B51" s="3">
        <v>45856</v>
      </c>
      <c r="C51" s="4">
        <v>70980</v>
      </c>
      <c r="D51" s="4" t="s">
        <v>40</v>
      </c>
      <c r="E51" s="5" t="s">
        <v>17</v>
      </c>
      <c r="F51" s="6">
        <v>67</v>
      </c>
      <c r="G51" s="6">
        <v>77</v>
      </c>
      <c r="K51" s="12"/>
    </row>
    <row r="52" spans="2:11" x14ac:dyDescent="0.3">
      <c r="B52" s="3">
        <v>45857</v>
      </c>
      <c r="C52" s="4">
        <v>70979</v>
      </c>
      <c r="D52" s="4" t="s">
        <v>41</v>
      </c>
      <c r="E52" s="5" t="s">
        <v>18</v>
      </c>
      <c r="F52" s="6">
        <v>26</v>
      </c>
      <c r="G52" s="6">
        <v>33</v>
      </c>
      <c r="K52" s="12"/>
    </row>
    <row r="53" spans="2:11" x14ac:dyDescent="0.3">
      <c r="B53" s="3">
        <v>45858</v>
      </c>
      <c r="C53" s="4">
        <v>70985</v>
      </c>
      <c r="D53" s="4" t="s">
        <v>42</v>
      </c>
      <c r="E53" s="5" t="s">
        <v>19</v>
      </c>
      <c r="F53" s="6">
        <v>54</v>
      </c>
      <c r="G53" s="6">
        <v>62</v>
      </c>
      <c r="K53" s="12"/>
    </row>
    <row r="54" spans="2:11" x14ac:dyDescent="0.3">
      <c r="B54" s="3">
        <v>45859</v>
      </c>
      <c r="C54" s="4">
        <v>70986</v>
      </c>
      <c r="D54" s="4" t="s">
        <v>43</v>
      </c>
      <c r="E54" s="5" t="s">
        <v>20</v>
      </c>
      <c r="F54" s="6">
        <v>1</v>
      </c>
      <c r="G54" s="6">
        <v>5</v>
      </c>
      <c r="K54" s="12"/>
    </row>
    <row r="55" spans="2:11" x14ac:dyDescent="0.3">
      <c r="B55" s="3">
        <v>45860</v>
      </c>
      <c r="C55" s="4">
        <v>70958</v>
      </c>
      <c r="D55" s="4" t="s">
        <v>44</v>
      </c>
      <c r="E55" s="5" t="s">
        <v>21</v>
      </c>
      <c r="F55" s="6">
        <v>2</v>
      </c>
      <c r="G55" s="6">
        <v>8</v>
      </c>
      <c r="K55" s="12"/>
    </row>
    <row r="56" spans="2:11" x14ac:dyDescent="0.3">
      <c r="B56" s="3">
        <v>45861</v>
      </c>
      <c r="C56" s="4">
        <v>70950</v>
      </c>
      <c r="D56" s="4" t="s">
        <v>45</v>
      </c>
      <c r="E56" s="5" t="s">
        <v>22</v>
      </c>
      <c r="F56" s="6">
        <v>43</v>
      </c>
      <c r="G56" s="6">
        <v>48</v>
      </c>
      <c r="K56" s="12"/>
    </row>
    <row r="57" spans="2:11" x14ac:dyDescent="0.3">
      <c r="B57" s="3">
        <v>45862</v>
      </c>
      <c r="C57" s="4">
        <v>70951</v>
      </c>
      <c r="D57" s="4" t="s">
        <v>46</v>
      </c>
      <c r="E57" s="5" t="s">
        <v>7</v>
      </c>
      <c r="F57" s="6">
        <v>73</v>
      </c>
      <c r="G57" s="6">
        <v>81</v>
      </c>
      <c r="K57" s="12"/>
    </row>
    <row r="58" spans="2:11" x14ac:dyDescent="0.3">
      <c r="B58" s="3">
        <v>45863</v>
      </c>
      <c r="C58" s="4">
        <v>70952</v>
      </c>
      <c r="D58" s="4" t="s">
        <v>47</v>
      </c>
      <c r="E58" s="5" t="s">
        <v>8</v>
      </c>
      <c r="F58" s="6">
        <v>72</v>
      </c>
      <c r="G58" s="6">
        <v>78</v>
      </c>
      <c r="K58" s="12"/>
    </row>
    <row r="59" spans="2:11" x14ac:dyDescent="0.3">
      <c r="B59" s="3">
        <v>45864</v>
      </c>
      <c r="C59" s="4">
        <v>70954</v>
      </c>
      <c r="D59" s="4" t="s">
        <v>48</v>
      </c>
      <c r="E59" s="5" t="s">
        <v>9</v>
      </c>
      <c r="F59" s="6">
        <v>71</v>
      </c>
      <c r="G59" s="6">
        <v>79</v>
      </c>
      <c r="K59" s="12"/>
    </row>
    <row r="60" spans="2:11" x14ac:dyDescent="0.3">
      <c r="B60" s="3">
        <v>45865</v>
      </c>
      <c r="C60" s="4">
        <v>70955</v>
      </c>
      <c r="D60" s="4" t="s">
        <v>49</v>
      </c>
      <c r="E60" s="5" t="s">
        <v>7</v>
      </c>
      <c r="F60" s="6">
        <v>20</v>
      </c>
      <c r="G60" s="6">
        <v>23</v>
      </c>
      <c r="K60" s="12"/>
    </row>
    <row r="61" spans="2:11" x14ac:dyDescent="0.3">
      <c r="B61" s="3">
        <v>45866</v>
      </c>
      <c r="C61" s="4">
        <v>70956</v>
      </c>
      <c r="D61" s="4" t="s">
        <v>50</v>
      </c>
      <c r="E61" s="5" t="s">
        <v>8</v>
      </c>
      <c r="F61" s="6">
        <v>90</v>
      </c>
      <c r="G61" s="6">
        <v>91</v>
      </c>
      <c r="K61" s="12"/>
    </row>
    <row r="62" spans="2:11" x14ac:dyDescent="0.3">
      <c r="B62" s="3">
        <v>45867</v>
      </c>
      <c r="C62" s="4">
        <v>70798</v>
      </c>
      <c r="D62" s="4" t="s">
        <v>51</v>
      </c>
      <c r="E62" s="5" t="s">
        <v>9</v>
      </c>
      <c r="F62" s="6">
        <v>34</v>
      </c>
      <c r="G62" s="6">
        <v>41</v>
      </c>
      <c r="K62" s="12"/>
    </row>
    <row r="63" spans="2:11" x14ac:dyDescent="0.3">
      <c r="B63" s="3">
        <v>45868</v>
      </c>
      <c r="C63" s="4">
        <v>70958</v>
      </c>
      <c r="D63" s="4" t="s">
        <v>44</v>
      </c>
      <c r="E63" s="5" t="s">
        <v>10</v>
      </c>
      <c r="F63" s="6">
        <v>99</v>
      </c>
      <c r="G63" s="6">
        <v>108</v>
      </c>
      <c r="K63" s="12"/>
    </row>
    <row r="64" spans="2:11" x14ac:dyDescent="0.3">
      <c r="B64" s="3">
        <v>45869</v>
      </c>
      <c r="C64" s="4">
        <v>70030</v>
      </c>
      <c r="D64" s="4" t="s">
        <v>23</v>
      </c>
      <c r="E64" s="5" t="s">
        <v>0</v>
      </c>
      <c r="F64" s="6">
        <v>11</v>
      </c>
      <c r="G64" s="6">
        <v>17</v>
      </c>
      <c r="K64" s="12"/>
    </row>
    <row r="65" spans="2:11" x14ac:dyDescent="0.3">
      <c r="B65" s="3">
        <v>45870</v>
      </c>
      <c r="C65" s="4">
        <v>70183</v>
      </c>
      <c r="D65" s="4" t="s">
        <v>24</v>
      </c>
      <c r="E65" s="5" t="s">
        <v>1</v>
      </c>
      <c r="F65" s="6">
        <v>26</v>
      </c>
      <c r="G65" s="6">
        <v>28</v>
      </c>
      <c r="K65" s="12"/>
    </row>
    <row r="66" spans="2:11" x14ac:dyDescent="0.3">
      <c r="B66" s="3">
        <v>45871</v>
      </c>
      <c r="C66" s="4">
        <v>70133</v>
      </c>
      <c r="D66" s="4" t="s">
        <v>25</v>
      </c>
      <c r="E66" s="5" t="s">
        <v>2</v>
      </c>
      <c r="F66" s="6">
        <v>75</v>
      </c>
      <c r="G66" s="6">
        <v>84</v>
      </c>
      <c r="K66" s="12"/>
    </row>
    <row r="67" spans="2:11" x14ac:dyDescent="0.3">
      <c r="B67" s="3">
        <v>45872</v>
      </c>
      <c r="C67" s="4">
        <v>70504</v>
      </c>
      <c r="D67" s="4" t="s">
        <v>26</v>
      </c>
      <c r="E67" s="5" t="s">
        <v>3</v>
      </c>
      <c r="F67" s="6">
        <v>10</v>
      </c>
      <c r="G67" s="6">
        <v>18</v>
      </c>
      <c r="K67" s="12"/>
    </row>
    <row r="68" spans="2:11" x14ac:dyDescent="0.3">
      <c r="B68" s="3">
        <v>45873</v>
      </c>
      <c r="C68" s="4">
        <v>70786</v>
      </c>
      <c r="D68" s="4" t="s">
        <v>27</v>
      </c>
      <c r="E68" s="5" t="s">
        <v>4</v>
      </c>
      <c r="F68" s="6">
        <v>43</v>
      </c>
      <c r="G68" s="6">
        <v>53</v>
      </c>
      <c r="K68" s="12"/>
    </row>
    <row r="69" spans="2:11" x14ac:dyDescent="0.3">
      <c r="B69" s="3">
        <v>45874</v>
      </c>
      <c r="C69" s="4">
        <v>70833</v>
      </c>
      <c r="D69" s="4" t="s">
        <v>28</v>
      </c>
      <c r="E69" s="5" t="s">
        <v>5</v>
      </c>
      <c r="F69" s="6">
        <v>73</v>
      </c>
      <c r="G69" s="6">
        <v>82</v>
      </c>
      <c r="K69" s="12"/>
    </row>
    <row r="70" spans="2:11" x14ac:dyDescent="0.3">
      <c r="B70" s="3">
        <v>45875</v>
      </c>
      <c r="C70" s="4">
        <v>70835</v>
      </c>
      <c r="D70" s="4" t="s">
        <v>29</v>
      </c>
      <c r="E70" s="5" t="s">
        <v>6</v>
      </c>
      <c r="F70" s="6">
        <v>75</v>
      </c>
      <c r="G70" s="6">
        <v>81</v>
      </c>
      <c r="K70" s="12"/>
    </row>
    <row r="71" spans="2:11" x14ac:dyDescent="0.3">
      <c r="B71" s="3">
        <v>45876</v>
      </c>
      <c r="C71" s="4">
        <v>70839</v>
      </c>
      <c r="D71" s="4" t="s">
        <v>30</v>
      </c>
      <c r="E71" s="5" t="s">
        <v>7</v>
      </c>
      <c r="F71" s="6">
        <v>53</v>
      </c>
      <c r="G71" s="6">
        <v>60</v>
      </c>
      <c r="K71" s="12"/>
    </row>
    <row r="72" spans="2:11" x14ac:dyDescent="0.3">
      <c r="B72" s="3">
        <v>45877</v>
      </c>
      <c r="C72" s="4">
        <v>70837</v>
      </c>
      <c r="D72" s="4" t="s">
        <v>31</v>
      </c>
      <c r="E72" s="5" t="s">
        <v>8</v>
      </c>
      <c r="F72" s="6">
        <v>39</v>
      </c>
      <c r="G72" s="6">
        <v>47</v>
      </c>
      <c r="K72" s="12"/>
    </row>
    <row r="73" spans="2:11" x14ac:dyDescent="0.3">
      <c r="B73" s="3">
        <v>45878</v>
      </c>
      <c r="C73" s="4">
        <v>70894</v>
      </c>
      <c r="D73" s="4" t="s">
        <v>32</v>
      </c>
      <c r="E73" s="5" t="s">
        <v>9</v>
      </c>
      <c r="F73" s="6">
        <v>31</v>
      </c>
      <c r="G73" s="6">
        <v>41</v>
      </c>
      <c r="K73" s="12"/>
    </row>
    <row r="74" spans="2:11" x14ac:dyDescent="0.3">
      <c r="B74" s="3">
        <v>45879</v>
      </c>
      <c r="C74" s="4">
        <v>70793</v>
      </c>
      <c r="D74" s="4" t="s">
        <v>33</v>
      </c>
      <c r="E74" s="5" t="s">
        <v>10</v>
      </c>
      <c r="F74" s="6">
        <v>42</v>
      </c>
      <c r="G74" s="6">
        <v>50</v>
      </c>
      <c r="K74" s="12"/>
    </row>
    <row r="75" spans="2:11" x14ac:dyDescent="0.3">
      <c r="B75" s="3">
        <v>45880</v>
      </c>
      <c r="C75" s="4">
        <v>70791</v>
      </c>
      <c r="D75" s="4" t="s">
        <v>34</v>
      </c>
      <c r="E75" s="5" t="s">
        <v>11</v>
      </c>
      <c r="F75" s="6">
        <v>65</v>
      </c>
      <c r="G75" s="6">
        <v>68</v>
      </c>
      <c r="K75" s="12"/>
    </row>
    <row r="76" spans="2:11" x14ac:dyDescent="0.3">
      <c r="B76" s="3">
        <v>45881</v>
      </c>
      <c r="C76" s="4">
        <v>70963</v>
      </c>
      <c r="D76" s="4" t="s">
        <v>35</v>
      </c>
      <c r="E76" s="5" t="s">
        <v>12</v>
      </c>
      <c r="F76" s="6">
        <v>65</v>
      </c>
      <c r="G76" s="6">
        <v>68</v>
      </c>
      <c r="K76" s="12"/>
    </row>
    <row r="77" spans="2:11" x14ac:dyDescent="0.3">
      <c r="B77" s="3">
        <v>45882</v>
      </c>
      <c r="C77" s="4">
        <v>70968</v>
      </c>
      <c r="D77" s="4" t="s">
        <v>36</v>
      </c>
      <c r="E77" s="5" t="s">
        <v>13</v>
      </c>
      <c r="F77" s="6">
        <v>23</v>
      </c>
      <c r="G77" s="6">
        <v>24</v>
      </c>
      <c r="K77" s="12"/>
    </row>
    <row r="78" spans="2:11" x14ac:dyDescent="0.3">
      <c r="B78" s="3">
        <v>45883</v>
      </c>
      <c r="C78" s="4">
        <v>70961</v>
      </c>
      <c r="D78" s="4" t="s">
        <v>37</v>
      </c>
      <c r="E78" s="5" t="s">
        <v>14</v>
      </c>
      <c r="F78" s="6">
        <v>75</v>
      </c>
      <c r="G78" s="6">
        <v>84</v>
      </c>
      <c r="K78" s="12"/>
    </row>
    <row r="79" spans="2:11" x14ac:dyDescent="0.3">
      <c r="B79" s="3">
        <v>45884</v>
      </c>
      <c r="C79" s="4">
        <v>70983</v>
      </c>
      <c r="D79" s="4" t="s">
        <v>38</v>
      </c>
      <c r="E79" s="5" t="s">
        <v>15</v>
      </c>
      <c r="F79" s="6">
        <v>52</v>
      </c>
      <c r="G79" s="6">
        <v>54</v>
      </c>
      <c r="K79" s="12"/>
    </row>
    <row r="80" spans="2:11" x14ac:dyDescent="0.3">
      <c r="B80" s="3">
        <v>45885</v>
      </c>
      <c r="C80" s="4">
        <v>70981</v>
      </c>
      <c r="D80" s="4" t="s">
        <v>39</v>
      </c>
      <c r="E80" s="5" t="s">
        <v>16</v>
      </c>
      <c r="F80" s="6">
        <v>43</v>
      </c>
      <c r="G80" s="6">
        <v>52</v>
      </c>
      <c r="K80" s="12"/>
    </row>
    <row r="81" spans="2:11" x14ac:dyDescent="0.3">
      <c r="B81" s="3">
        <v>45886</v>
      </c>
      <c r="C81" s="4">
        <v>70980</v>
      </c>
      <c r="D81" s="4" t="s">
        <v>40</v>
      </c>
      <c r="E81" s="5" t="s">
        <v>17</v>
      </c>
      <c r="F81" s="6">
        <v>6</v>
      </c>
      <c r="G81" s="6">
        <v>16</v>
      </c>
      <c r="K81" s="12"/>
    </row>
    <row r="82" spans="2:11" x14ac:dyDescent="0.3">
      <c r="B82" s="3">
        <v>45887</v>
      </c>
      <c r="C82" s="4">
        <v>70979</v>
      </c>
      <c r="D82" s="4" t="s">
        <v>41</v>
      </c>
      <c r="E82" s="5" t="s">
        <v>18</v>
      </c>
      <c r="F82" s="6">
        <v>88</v>
      </c>
      <c r="G82" s="6">
        <v>93</v>
      </c>
      <c r="K82" s="12"/>
    </row>
    <row r="83" spans="2:11" x14ac:dyDescent="0.3">
      <c r="B83" s="3">
        <v>45888</v>
      </c>
      <c r="C83" s="4">
        <v>70985</v>
      </c>
      <c r="D83" s="4" t="s">
        <v>42</v>
      </c>
      <c r="E83" s="5" t="s">
        <v>19</v>
      </c>
      <c r="F83" s="6">
        <v>17</v>
      </c>
      <c r="G83" s="6">
        <v>26</v>
      </c>
      <c r="K83" s="12"/>
    </row>
    <row r="84" spans="2:11" x14ac:dyDescent="0.3">
      <c r="B84" s="3">
        <v>45889</v>
      </c>
      <c r="C84" s="4">
        <v>70986</v>
      </c>
      <c r="D84" s="4" t="s">
        <v>43</v>
      </c>
      <c r="E84" s="5" t="s">
        <v>20</v>
      </c>
      <c r="F84" s="6">
        <v>72</v>
      </c>
      <c r="G84" s="6">
        <v>76</v>
      </c>
      <c r="K84" s="12"/>
    </row>
    <row r="85" spans="2:11" x14ac:dyDescent="0.3">
      <c r="B85" s="3">
        <v>45890</v>
      </c>
      <c r="C85" s="4">
        <v>70958</v>
      </c>
      <c r="D85" s="4" t="s">
        <v>44</v>
      </c>
      <c r="E85" s="5" t="s">
        <v>21</v>
      </c>
      <c r="F85" s="6">
        <v>7</v>
      </c>
      <c r="G85" s="6">
        <v>11</v>
      </c>
      <c r="K85" s="12"/>
    </row>
    <row r="86" spans="2:11" x14ac:dyDescent="0.3">
      <c r="B86" s="3">
        <v>45891</v>
      </c>
      <c r="C86" s="4">
        <v>70950</v>
      </c>
      <c r="D86" s="4" t="s">
        <v>45</v>
      </c>
      <c r="E86" s="5" t="s">
        <v>22</v>
      </c>
      <c r="F86" s="6">
        <v>74</v>
      </c>
      <c r="G86" s="6">
        <v>78</v>
      </c>
      <c r="K86" s="12"/>
    </row>
    <row r="87" spans="2:11" x14ac:dyDescent="0.3">
      <c r="B87" s="3">
        <v>45892</v>
      </c>
      <c r="C87" s="4">
        <v>70951</v>
      </c>
      <c r="D87" s="4" t="s">
        <v>46</v>
      </c>
      <c r="E87" s="5" t="s">
        <v>7</v>
      </c>
      <c r="F87" s="6">
        <v>30</v>
      </c>
      <c r="G87" s="6">
        <v>35</v>
      </c>
      <c r="K87" s="12"/>
    </row>
    <row r="88" spans="2:11" x14ac:dyDescent="0.3">
      <c r="B88" s="3">
        <v>45893</v>
      </c>
      <c r="C88" s="4">
        <v>70952</v>
      </c>
      <c r="D88" s="4" t="s">
        <v>47</v>
      </c>
      <c r="E88" s="5" t="s">
        <v>8</v>
      </c>
      <c r="F88" s="6">
        <v>3</v>
      </c>
      <c r="G88" s="6">
        <v>5</v>
      </c>
      <c r="K88" s="12"/>
    </row>
    <row r="89" spans="2:11" x14ac:dyDescent="0.3">
      <c r="B89" s="3">
        <v>45894</v>
      </c>
      <c r="C89" s="4">
        <v>70954</v>
      </c>
      <c r="D89" s="4" t="s">
        <v>48</v>
      </c>
      <c r="E89" s="5" t="s">
        <v>9</v>
      </c>
      <c r="F89" s="6">
        <v>42</v>
      </c>
      <c r="G89" s="6">
        <v>50</v>
      </c>
      <c r="K89" s="12"/>
    </row>
    <row r="90" spans="2:11" x14ac:dyDescent="0.3">
      <c r="B90" s="3">
        <v>45895</v>
      </c>
      <c r="C90" s="4">
        <v>70955</v>
      </c>
      <c r="D90" s="4" t="s">
        <v>49</v>
      </c>
      <c r="E90" s="5" t="s">
        <v>7</v>
      </c>
      <c r="F90" s="6">
        <v>87</v>
      </c>
      <c r="G90" s="6">
        <v>96</v>
      </c>
      <c r="K90" s="12"/>
    </row>
    <row r="91" spans="2:11" x14ac:dyDescent="0.3">
      <c r="B91" s="3">
        <v>45896</v>
      </c>
      <c r="C91" s="4">
        <v>70956</v>
      </c>
      <c r="D91" s="4" t="s">
        <v>50</v>
      </c>
      <c r="E91" s="5" t="s">
        <v>8</v>
      </c>
      <c r="F91" s="6">
        <v>48</v>
      </c>
      <c r="G91" s="6">
        <v>55</v>
      </c>
      <c r="K91" s="12"/>
    </row>
    <row r="92" spans="2:11" x14ac:dyDescent="0.3">
      <c r="B92" s="3">
        <v>45897</v>
      </c>
      <c r="C92" s="4">
        <v>70798</v>
      </c>
      <c r="D92" s="4" t="s">
        <v>51</v>
      </c>
      <c r="E92" s="5" t="s">
        <v>9</v>
      </c>
      <c r="F92" s="6">
        <v>81</v>
      </c>
      <c r="G92" s="6">
        <v>87</v>
      </c>
      <c r="K92" s="12"/>
    </row>
    <row r="93" spans="2:11" x14ac:dyDescent="0.3">
      <c r="B93" s="3">
        <v>45898</v>
      </c>
      <c r="C93" s="4">
        <v>70958</v>
      </c>
      <c r="D93" s="4" t="s">
        <v>44</v>
      </c>
      <c r="E93" s="5" t="s">
        <v>10</v>
      </c>
      <c r="F93" s="6">
        <v>61</v>
      </c>
      <c r="G93" s="6">
        <v>67</v>
      </c>
      <c r="K93" s="12"/>
    </row>
    <row r="94" spans="2:11" x14ac:dyDescent="0.3">
      <c r="B94" s="3">
        <v>45899</v>
      </c>
      <c r="C94" s="4">
        <v>70030</v>
      </c>
      <c r="D94" s="4" t="s">
        <v>23</v>
      </c>
      <c r="E94" s="5" t="s">
        <v>0</v>
      </c>
      <c r="F94" s="6">
        <v>89</v>
      </c>
      <c r="G94" s="6">
        <v>91</v>
      </c>
      <c r="K94" s="12"/>
    </row>
    <row r="95" spans="2:11" x14ac:dyDescent="0.3">
      <c r="B95" s="3">
        <v>45900</v>
      </c>
      <c r="C95" s="4">
        <v>70183</v>
      </c>
      <c r="D95" s="4" t="s">
        <v>24</v>
      </c>
      <c r="E95" s="5" t="s">
        <v>1</v>
      </c>
      <c r="F95" s="6">
        <v>3</v>
      </c>
      <c r="G95" s="6">
        <v>9</v>
      </c>
      <c r="K95" s="12"/>
    </row>
    <row r="96" spans="2:11" x14ac:dyDescent="0.3">
      <c r="B96" s="3">
        <v>45901</v>
      </c>
      <c r="C96" s="4">
        <v>70133</v>
      </c>
      <c r="D96" s="4" t="s">
        <v>25</v>
      </c>
      <c r="E96" s="5" t="s">
        <v>2</v>
      </c>
      <c r="F96" s="6">
        <v>37</v>
      </c>
      <c r="G96" s="6">
        <v>39</v>
      </c>
      <c r="K96" s="12"/>
    </row>
    <row r="97" spans="2:11" x14ac:dyDescent="0.3">
      <c r="B97" s="3">
        <v>45902</v>
      </c>
      <c r="C97" s="4">
        <v>70504</v>
      </c>
      <c r="D97" s="4" t="s">
        <v>26</v>
      </c>
      <c r="E97" s="5" t="s">
        <v>3</v>
      </c>
      <c r="F97" s="6">
        <v>74</v>
      </c>
      <c r="G97" s="6">
        <v>82</v>
      </c>
      <c r="K97" s="12"/>
    </row>
    <row r="98" spans="2:11" x14ac:dyDescent="0.3">
      <c r="B98" s="3">
        <v>45903</v>
      </c>
      <c r="C98" s="4">
        <v>70786</v>
      </c>
      <c r="D98" s="4" t="s">
        <v>27</v>
      </c>
      <c r="E98" s="5" t="s">
        <v>4</v>
      </c>
      <c r="F98" s="6">
        <v>32</v>
      </c>
      <c r="G98" s="6">
        <v>33</v>
      </c>
      <c r="K98" s="12"/>
    </row>
    <row r="99" spans="2:11" x14ac:dyDescent="0.3">
      <c r="B99" s="3">
        <v>45904</v>
      </c>
      <c r="C99" s="4">
        <v>70833</v>
      </c>
      <c r="D99" s="4" t="s">
        <v>28</v>
      </c>
      <c r="E99" s="5" t="s">
        <v>5</v>
      </c>
      <c r="F99" s="6">
        <v>41</v>
      </c>
      <c r="G99" s="6">
        <v>48</v>
      </c>
      <c r="K99" s="12"/>
    </row>
    <row r="100" spans="2:11" x14ac:dyDescent="0.3">
      <c r="B100" s="3">
        <v>45905</v>
      </c>
      <c r="C100" s="4">
        <v>70835</v>
      </c>
      <c r="D100" s="4" t="s">
        <v>29</v>
      </c>
      <c r="E100" s="5" t="s">
        <v>6</v>
      </c>
      <c r="F100" s="6">
        <v>53</v>
      </c>
      <c r="G100" s="6">
        <v>56</v>
      </c>
      <c r="K100" s="12"/>
    </row>
    <row r="101" spans="2:11" x14ac:dyDescent="0.3">
      <c r="B101" s="3">
        <v>45906</v>
      </c>
      <c r="C101" s="4">
        <v>70839</v>
      </c>
      <c r="D101" s="4" t="s">
        <v>30</v>
      </c>
      <c r="E101" s="5" t="s">
        <v>7</v>
      </c>
      <c r="F101" s="6">
        <v>84</v>
      </c>
      <c r="G101" s="6">
        <v>86</v>
      </c>
      <c r="K101" s="12"/>
    </row>
    <row r="102" spans="2:11" x14ac:dyDescent="0.3">
      <c r="B102" s="3">
        <v>45907</v>
      </c>
      <c r="C102" s="4">
        <v>70837</v>
      </c>
      <c r="D102" s="4" t="s">
        <v>31</v>
      </c>
      <c r="E102" s="5" t="s">
        <v>8</v>
      </c>
      <c r="F102" s="6">
        <v>76</v>
      </c>
      <c r="G102" s="6">
        <v>80</v>
      </c>
      <c r="K102" s="12"/>
    </row>
    <row r="103" spans="2:11" x14ac:dyDescent="0.3">
      <c r="B103" s="3">
        <v>45908</v>
      </c>
      <c r="C103" s="4">
        <v>70894</v>
      </c>
      <c r="D103" s="4" t="s">
        <v>32</v>
      </c>
      <c r="E103" s="5" t="s">
        <v>9</v>
      </c>
      <c r="F103" s="6">
        <v>31</v>
      </c>
      <c r="G103" s="6">
        <v>39</v>
      </c>
      <c r="K103" s="12"/>
    </row>
    <row r="104" spans="2:11" x14ac:dyDescent="0.3">
      <c r="B104" s="3">
        <v>45909</v>
      </c>
      <c r="C104" s="4">
        <v>70793</v>
      </c>
      <c r="D104" s="4" t="s">
        <v>33</v>
      </c>
      <c r="E104" s="5" t="s">
        <v>10</v>
      </c>
      <c r="F104" s="6">
        <v>54</v>
      </c>
      <c r="G104" s="6">
        <v>59</v>
      </c>
      <c r="K104" s="12"/>
    </row>
    <row r="105" spans="2:11" x14ac:dyDescent="0.3">
      <c r="B105" s="3">
        <v>45910</v>
      </c>
      <c r="C105" s="4">
        <v>70791</v>
      </c>
      <c r="D105" s="4" t="s">
        <v>34</v>
      </c>
      <c r="E105" s="5" t="s">
        <v>11</v>
      </c>
      <c r="F105" s="6">
        <v>42</v>
      </c>
      <c r="G105" s="6">
        <v>50</v>
      </c>
      <c r="K105" s="12"/>
    </row>
    <row r="106" spans="2:11" x14ac:dyDescent="0.3">
      <c r="B106" s="3">
        <v>45911</v>
      </c>
      <c r="C106" s="4">
        <v>70963</v>
      </c>
      <c r="D106" s="4" t="s">
        <v>35</v>
      </c>
      <c r="E106" s="5" t="s">
        <v>12</v>
      </c>
      <c r="F106" s="6">
        <v>18</v>
      </c>
      <c r="G106" s="6">
        <v>22</v>
      </c>
      <c r="K106" s="12"/>
    </row>
    <row r="107" spans="2:11" x14ac:dyDescent="0.3">
      <c r="B107" s="3">
        <v>45912</v>
      </c>
      <c r="C107" s="4">
        <v>70968</v>
      </c>
      <c r="D107" s="4" t="s">
        <v>36</v>
      </c>
      <c r="E107" s="5" t="s">
        <v>13</v>
      </c>
      <c r="F107" s="6">
        <v>61</v>
      </c>
      <c r="G107" s="6">
        <v>70</v>
      </c>
      <c r="K107" s="12"/>
    </row>
    <row r="108" spans="2:11" x14ac:dyDescent="0.3">
      <c r="B108" s="3">
        <v>45913</v>
      </c>
      <c r="C108" s="4">
        <v>70961</v>
      </c>
      <c r="D108" s="4" t="s">
        <v>37</v>
      </c>
      <c r="E108" s="5" t="s">
        <v>14</v>
      </c>
      <c r="F108" s="6">
        <v>35</v>
      </c>
      <c r="G108" s="6">
        <v>39</v>
      </c>
      <c r="K108" s="12"/>
    </row>
    <row r="109" spans="2:11" x14ac:dyDescent="0.3">
      <c r="B109" s="3">
        <v>45914</v>
      </c>
      <c r="C109" s="4">
        <v>70983</v>
      </c>
      <c r="D109" s="4" t="s">
        <v>38</v>
      </c>
      <c r="E109" s="5" t="s">
        <v>15</v>
      </c>
      <c r="F109" s="6">
        <v>7</v>
      </c>
      <c r="G109" s="6">
        <v>11</v>
      </c>
      <c r="K109" s="12"/>
    </row>
    <row r="110" spans="2:11" x14ac:dyDescent="0.3">
      <c r="B110" s="3">
        <v>45915</v>
      </c>
      <c r="C110" s="4">
        <v>70981</v>
      </c>
      <c r="D110" s="4" t="s">
        <v>39</v>
      </c>
      <c r="E110" s="5" t="s">
        <v>16</v>
      </c>
      <c r="F110" s="6">
        <v>28</v>
      </c>
      <c r="G110" s="6">
        <v>30</v>
      </c>
      <c r="K110" s="12"/>
    </row>
    <row r="111" spans="2:11" x14ac:dyDescent="0.3">
      <c r="B111" s="3">
        <v>45916</v>
      </c>
      <c r="C111" s="4">
        <v>70980</v>
      </c>
      <c r="D111" s="4" t="s">
        <v>40</v>
      </c>
      <c r="E111" s="5" t="s">
        <v>17</v>
      </c>
      <c r="F111" s="6">
        <v>98</v>
      </c>
      <c r="G111" s="6">
        <v>108</v>
      </c>
      <c r="K111" s="12"/>
    </row>
    <row r="112" spans="2:11" x14ac:dyDescent="0.3">
      <c r="B112" s="3">
        <v>45917</v>
      </c>
      <c r="C112" s="4">
        <v>70979</v>
      </c>
      <c r="D112" s="4" t="s">
        <v>41</v>
      </c>
      <c r="E112" s="5" t="s">
        <v>18</v>
      </c>
      <c r="F112" s="6">
        <v>46</v>
      </c>
      <c r="G112" s="6">
        <v>53</v>
      </c>
      <c r="K112" s="12"/>
    </row>
    <row r="113" spans="2:11" x14ac:dyDescent="0.3">
      <c r="B113" s="3">
        <v>45918</v>
      </c>
      <c r="C113" s="4">
        <v>70985</v>
      </c>
      <c r="D113" s="4" t="s">
        <v>42</v>
      </c>
      <c r="E113" s="5" t="s">
        <v>19</v>
      </c>
      <c r="F113" s="6">
        <v>14</v>
      </c>
      <c r="G113" s="6">
        <v>16</v>
      </c>
      <c r="K113" s="12"/>
    </row>
    <row r="114" spans="2:11" x14ac:dyDescent="0.3">
      <c r="B114" s="3">
        <v>45919</v>
      </c>
      <c r="C114" s="4">
        <v>70986</v>
      </c>
      <c r="D114" s="4" t="s">
        <v>43</v>
      </c>
      <c r="E114" s="5" t="s">
        <v>20</v>
      </c>
      <c r="F114" s="6">
        <v>41</v>
      </c>
      <c r="G114" s="6">
        <v>43</v>
      </c>
      <c r="K114" s="12"/>
    </row>
    <row r="115" spans="2:11" x14ac:dyDescent="0.3">
      <c r="B115" s="3">
        <v>45920</v>
      </c>
      <c r="C115" s="4">
        <v>70958</v>
      </c>
      <c r="D115" s="4" t="s">
        <v>44</v>
      </c>
      <c r="E115" s="5" t="s">
        <v>21</v>
      </c>
      <c r="F115" s="6">
        <v>94</v>
      </c>
      <c r="G115" s="6">
        <v>104</v>
      </c>
      <c r="K115" s="12"/>
    </row>
    <row r="116" spans="2:11" x14ac:dyDescent="0.3">
      <c r="B116" s="3">
        <v>45921</v>
      </c>
      <c r="C116" s="4">
        <v>70950</v>
      </c>
      <c r="D116" s="4" t="s">
        <v>45</v>
      </c>
      <c r="E116" s="5" t="s">
        <v>22</v>
      </c>
      <c r="F116" s="6">
        <v>34</v>
      </c>
      <c r="G116" s="6">
        <v>44</v>
      </c>
      <c r="K116" s="12"/>
    </row>
    <row r="117" spans="2:11" x14ac:dyDescent="0.3">
      <c r="B117" s="3">
        <v>45922</v>
      </c>
      <c r="C117" s="4">
        <v>70951</v>
      </c>
      <c r="D117" s="4" t="s">
        <v>46</v>
      </c>
      <c r="E117" s="5" t="s">
        <v>7</v>
      </c>
      <c r="F117" s="6">
        <v>41</v>
      </c>
      <c r="G117" s="6">
        <v>48</v>
      </c>
      <c r="K117" s="12"/>
    </row>
    <row r="118" spans="2:11" x14ac:dyDescent="0.3">
      <c r="B118" s="3">
        <v>45923</v>
      </c>
      <c r="C118" s="4">
        <v>70952</v>
      </c>
      <c r="D118" s="4" t="s">
        <v>47</v>
      </c>
      <c r="E118" s="5" t="s">
        <v>8</v>
      </c>
      <c r="F118" s="6">
        <v>67</v>
      </c>
      <c r="G118" s="6">
        <v>72</v>
      </c>
      <c r="K118" s="12"/>
    </row>
    <row r="119" spans="2:11" x14ac:dyDescent="0.3">
      <c r="B119" s="3">
        <v>45924</v>
      </c>
      <c r="C119" s="4">
        <v>70954</v>
      </c>
      <c r="D119" s="4" t="s">
        <v>48</v>
      </c>
      <c r="E119" s="5" t="s">
        <v>9</v>
      </c>
      <c r="F119" s="6">
        <v>63</v>
      </c>
      <c r="G119" s="6">
        <v>64</v>
      </c>
      <c r="K119" s="12"/>
    </row>
    <row r="120" spans="2:11" x14ac:dyDescent="0.3">
      <c r="B120" s="3">
        <v>45925</v>
      </c>
      <c r="C120" s="4">
        <v>70955</v>
      </c>
      <c r="D120" s="4" t="s">
        <v>49</v>
      </c>
      <c r="E120" s="5" t="s">
        <v>7</v>
      </c>
      <c r="F120" s="6">
        <v>6</v>
      </c>
      <c r="G120" s="6">
        <v>9</v>
      </c>
      <c r="K120" s="12"/>
    </row>
    <row r="121" spans="2:11" x14ac:dyDescent="0.3">
      <c r="B121" s="3">
        <v>45926</v>
      </c>
      <c r="C121" s="4">
        <v>70956</v>
      </c>
      <c r="D121" s="4" t="s">
        <v>50</v>
      </c>
      <c r="E121" s="5" t="s">
        <v>8</v>
      </c>
      <c r="F121" s="6">
        <v>43</v>
      </c>
      <c r="G121" s="6">
        <v>47</v>
      </c>
      <c r="K121" s="12"/>
    </row>
    <row r="122" spans="2:11" x14ac:dyDescent="0.3">
      <c r="B122" s="3">
        <v>45927</v>
      </c>
      <c r="C122" s="4">
        <v>70798</v>
      </c>
      <c r="D122" s="4" t="s">
        <v>51</v>
      </c>
      <c r="E122" s="5" t="s">
        <v>9</v>
      </c>
      <c r="F122" s="6">
        <v>93</v>
      </c>
      <c r="G122" s="6">
        <v>95</v>
      </c>
      <c r="K122" s="12"/>
    </row>
    <row r="123" spans="2:11" x14ac:dyDescent="0.3">
      <c r="B123" s="3">
        <v>45928</v>
      </c>
      <c r="C123" s="4">
        <v>70958</v>
      </c>
      <c r="D123" s="4" t="s">
        <v>44</v>
      </c>
      <c r="E123" s="5" t="s">
        <v>10</v>
      </c>
      <c r="F123" s="6">
        <v>71</v>
      </c>
      <c r="G123" s="6">
        <v>75</v>
      </c>
      <c r="K123" s="12"/>
    </row>
    <row r="124" spans="2:11" x14ac:dyDescent="0.3">
      <c r="B124" s="3">
        <v>45929</v>
      </c>
      <c r="C124" s="4">
        <v>70030</v>
      </c>
      <c r="D124" s="4" t="s">
        <v>23</v>
      </c>
      <c r="E124" s="5" t="s">
        <v>0</v>
      </c>
      <c r="F124" s="6">
        <v>51</v>
      </c>
      <c r="G124" s="6">
        <v>59</v>
      </c>
      <c r="K124" s="12"/>
    </row>
    <row r="125" spans="2:11" x14ac:dyDescent="0.3">
      <c r="B125" s="3">
        <v>45930</v>
      </c>
      <c r="C125" s="4">
        <v>70183</v>
      </c>
      <c r="D125" s="4" t="s">
        <v>24</v>
      </c>
      <c r="E125" s="5" t="s">
        <v>1</v>
      </c>
      <c r="F125" s="6">
        <v>74</v>
      </c>
      <c r="G125" s="6">
        <v>77</v>
      </c>
      <c r="K125" s="12"/>
    </row>
    <row r="126" spans="2:11" x14ac:dyDescent="0.3">
      <c r="B126" s="3">
        <v>45931</v>
      </c>
      <c r="C126" s="4">
        <v>70133</v>
      </c>
      <c r="D126" s="4" t="s">
        <v>25</v>
      </c>
      <c r="E126" s="5" t="s">
        <v>2</v>
      </c>
      <c r="F126" s="6">
        <v>79</v>
      </c>
      <c r="G126" s="6">
        <v>85</v>
      </c>
      <c r="K126" s="12"/>
    </row>
    <row r="127" spans="2:11" x14ac:dyDescent="0.3">
      <c r="B127" s="3">
        <v>45932</v>
      </c>
      <c r="C127" s="4">
        <v>70504</v>
      </c>
      <c r="D127" s="4" t="s">
        <v>26</v>
      </c>
      <c r="E127" s="5" t="s">
        <v>3</v>
      </c>
      <c r="F127" s="6">
        <v>32</v>
      </c>
      <c r="G127" s="6">
        <v>41</v>
      </c>
      <c r="K127" s="12"/>
    </row>
    <row r="128" spans="2:11" x14ac:dyDescent="0.3">
      <c r="B128" s="3">
        <v>45933</v>
      </c>
      <c r="C128" s="4">
        <v>70786</v>
      </c>
      <c r="D128" s="4" t="s">
        <v>27</v>
      </c>
      <c r="E128" s="5" t="s">
        <v>4</v>
      </c>
      <c r="F128" s="6">
        <v>79</v>
      </c>
      <c r="G128" s="6">
        <v>86</v>
      </c>
      <c r="K128" s="12"/>
    </row>
    <row r="129" spans="2:11" x14ac:dyDescent="0.3">
      <c r="B129" s="3">
        <v>45934</v>
      </c>
      <c r="C129" s="4">
        <v>70833</v>
      </c>
      <c r="D129" s="4" t="s">
        <v>28</v>
      </c>
      <c r="E129" s="5" t="s">
        <v>5</v>
      </c>
      <c r="F129" s="6">
        <v>18</v>
      </c>
      <c r="G129" s="6">
        <v>19</v>
      </c>
      <c r="K129" s="12"/>
    </row>
    <row r="130" spans="2:11" x14ac:dyDescent="0.3">
      <c r="B130" s="3">
        <v>45935</v>
      </c>
      <c r="C130" s="4">
        <v>70835</v>
      </c>
      <c r="D130" s="4" t="s">
        <v>29</v>
      </c>
      <c r="E130" s="5" t="s">
        <v>6</v>
      </c>
      <c r="F130" s="6">
        <v>39</v>
      </c>
      <c r="G130" s="6">
        <v>42</v>
      </c>
      <c r="K130" s="12"/>
    </row>
    <row r="131" spans="2:11" x14ac:dyDescent="0.3">
      <c r="B131" s="3">
        <v>45936</v>
      </c>
      <c r="C131" s="4">
        <v>70839</v>
      </c>
      <c r="D131" s="4" t="s">
        <v>30</v>
      </c>
      <c r="E131" s="5" t="s">
        <v>7</v>
      </c>
      <c r="F131" s="6">
        <v>16</v>
      </c>
      <c r="G131" s="6">
        <v>23</v>
      </c>
      <c r="K131" s="12"/>
    </row>
    <row r="132" spans="2:11" x14ac:dyDescent="0.3">
      <c r="B132" s="3">
        <v>45937</v>
      </c>
      <c r="C132" s="4">
        <v>70837</v>
      </c>
      <c r="D132" s="4" t="s">
        <v>31</v>
      </c>
      <c r="E132" s="5" t="s">
        <v>8</v>
      </c>
      <c r="F132" s="6">
        <v>61</v>
      </c>
      <c r="G132" s="6">
        <v>62</v>
      </c>
      <c r="K132" s="12"/>
    </row>
    <row r="133" spans="2:11" x14ac:dyDescent="0.3">
      <c r="B133" s="3">
        <v>45938</v>
      </c>
      <c r="C133" s="4">
        <v>70894</v>
      </c>
      <c r="D133" s="4" t="s">
        <v>32</v>
      </c>
      <c r="E133" s="5" t="s">
        <v>9</v>
      </c>
      <c r="F133" s="6">
        <v>16</v>
      </c>
      <c r="G133" s="6">
        <v>23</v>
      </c>
      <c r="K133" s="12"/>
    </row>
    <row r="134" spans="2:11" x14ac:dyDescent="0.3">
      <c r="B134" s="3">
        <v>45939</v>
      </c>
      <c r="C134" s="4">
        <v>70793</v>
      </c>
      <c r="D134" s="4" t="s">
        <v>33</v>
      </c>
      <c r="E134" s="5" t="s">
        <v>10</v>
      </c>
      <c r="F134" s="6">
        <v>77</v>
      </c>
      <c r="G134" s="6">
        <v>85</v>
      </c>
      <c r="K134" s="12"/>
    </row>
    <row r="135" spans="2:11" x14ac:dyDescent="0.3">
      <c r="B135" s="3">
        <v>45940</v>
      </c>
      <c r="C135" s="4">
        <v>70791</v>
      </c>
      <c r="D135" s="4" t="s">
        <v>34</v>
      </c>
      <c r="E135" s="5" t="s">
        <v>11</v>
      </c>
      <c r="F135" s="6">
        <v>68</v>
      </c>
      <c r="G135" s="6">
        <v>76</v>
      </c>
      <c r="K135" s="12"/>
    </row>
    <row r="136" spans="2:11" x14ac:dyDescent="0.3">
      <c r="B136" s="3">
        <v>45941</v>
      </c>
      <c r="C136" s="4">
        <v>70963</v>
      </c>
      <c r="D136" s="4" t="s">
        <v>35</v>
      </c>
      <c r="E136" s="5" t="s">
        <v>12</v>
      </c>
      <c r="F136" s="6">
        <v>9</v>
      </c>
      <c r="G136" s="6">
        <v>15</v>
      </c>
      <c r="K136" s="12"/>
    </row>
    <row r="137" spans="2:11" x14ac:dyDescent="0.3">
      <c r="B137" s="3">
        <v>45942</v>
      </c>
      <c r="C137" s="4">
        <v>70968</v>
      </c>
      <c r="D137" s="4" t="s">
        <v>36</v>
      </c>
      <c r="E137" s="5" t="s">
        <v>13</v>
      </c>
      <c r="F137" s="6">
        <v>64</v>
      </c>
      <c r="G137" s="6">
        <v>69</v>
      </c>
      <c r="K137" s="12"/>
    </row>
    <row r="138" spans="2:11" x14ac:dyDescent="0.3">
      <c r="B138" s="3">
        <v>45943</v>
      </c>
      <c r="C138" s="4">
        <v>70961</v>
      </c>
      <c r="D138" s="4" t="s">
        <v>37</v>
      </c>
      <c r="E138" s="5" t="s">
        <v>14</v>
      </c>
      <c r="F138" s="6">
        <v>96</v>
      </c>
      <c r="G138" s="6">
        <v>98</v>
      </c>
      <c r="K138" s="12"/>
    </row>
    <row r="139" spans="2:11" x14ac:dyDescent="0.3">
      <c r="B139" s="3">
        <v>45944</v>
      </c>
      <c r="C139" s="4">
        <v>70983</v>
      </c>
      <c r="D139" s="4" t="s">
        <v>38</v>
      </c>
      <c r="E139" s="5" t="s">
        <v>15</v>
      </c>
      <c r="F139" s="6">
        <v>99</v>
      </c>
      <c r="G139" s="6">
        <v>102</v>
      </c>
      <c r="K139" s="12"/>
    </row>
    <row r="140" spans="2:11" x14ac:dyDescent="0.3">
      <c r="B140" s="3">
        <v>45945</v>
      </c>
      <c r="C140" s="4">
        <v>70981</v>
      </c>
      <c r="D140" s="4" t="s">
        <v>39</v>
      </c>
      <c r="E140" s="5" t="s">
        <v>16</v>
      </c>
      <c r="F140" s="6">
        <v>37</v>
      </c>
      <c r="G140" s="6">
        <v>43</v>
      </c>
      <c r="K140" s="12"/>
    </row>
    <row r="141" spans="2:11" x14ac:dyDescent="0.3">
      <c r="B141" s="3">
        <v>45946</v>
      </c>
      <c r="C141" s="4">
        <v>70980</v>
      </c>
      <c r="D141" s="4" t="s">
        <v>40</v>
      </c>
      <c r="E141" s="5" t="s">
        <v>17</v>
      </c>
      <c r="F141" s="6">
        <v>36</v>
      </c>
      <c r="G141" s="6">
        <v>37</v>
      </c>
      <c r="K141" s="12"/>
    </row>
    <row r="142" spans="2:11" x14ac:dyDescent="0.3">
      <c r="B142" s="3">
        <v>45947</v>
      </c>
      <c r="C142" s="4">
        <v>70979</v>
      </c>
      <c r="D142" s="4" t="s">
        <v>41</v>
      </c>
      <c r="E142" s="5" t="s">
        <v>18</v>
      </c>
      <c r="F142" s="6">
        <v>68</v>
      </c>
      <c r="G142" s="6">
        <v>71</v>
      </c>
      <c r="K142" s="12"/>
    </row>
    <row r="143" spans="2:11" x14ac:dyDescent="0.3">
      <c r="B143" s="3">
        <v>45948</v>
      </c>
      <c r="C143" s="4">
        <v>70985</v>
      </c>
      <c r="D143" s="4" t="s">
        <v>42</v>
      </c>
      <c r="E143" s="5" t="s">
        <v>19</v>
      </c>
      <c r="F143" s="6">
        <v>34</v>
      </c>
      <c r="G143" s="6">
        <v>37</v>
      </c>
      <c r="K143" s="12"/>
    </row>
    <row r="144" spans="2:11" x14ac:dyDescent="0.3">
      <c r="B144" s="3">
        <v>45949</v>
      </c>
      <c r="C144" s="4">
        <v>70986</v>
      </c>
      <c r="D144" s="4" t="s">
        <v>43</v>
      </c>
      <c r="E144" s="5" t="s">
        <v>20</v>
      </c>
      <c r="F144" s="6">
        <v>10</v>
      </c>
      <c r="G144" s="6">
        <v>11</v>
      </c>
      <c r="K144" s="12"/>
    </row>
    <row r="145" spans="2:11" x14ac:dyDescent="0.3">
      <c r="B145" s="3">
        <v>45950</v>
      </c>
      <c r="C145" s="4">
        <v>70958</v>
      </c>
      <c r="D145" s="4" t="s">
        <v>44</v>
      </c>
      <c r="E145" s="5" t="s">
        <v>21</v>
      </c>
      <c r="F145" s="6">
        <v>97</v>
      </c>
      <c r="G145" s="6">
        <v>101</v>
      </c>
      <c r="K145" s="12"/>
    </row>
    <row r="146" spans="2:11" x14ac:dyDescent="0.3">
      <c r="B146" s="3">
        <v>45951</v>
      </c>
      <c r="C146" s="4">
        <v>70950</v>
      </c>
      <c r="D146" s="4" t="s">
        <v>45</v>
      </c>
      <c r="E146" s="5" t="s">
        <v>22</v>
      </c>
      <c r="F146" s="6">
        <v>47</v>
      </c>
      <c r="G146" s="6">
        <v>50</v>
      </c>
      <c r="K146" s="12"/>
    </row>
    <row r="147" spans="2:11" x14ac:dyDescent="0.3">
      <c r="B147" s="3">
        <v>45952</v>
      </c>
      <c r="C147" s="4">
        <v>70951</v>
      </c>
      <c r="D147" s="4" t="s">
        <v>46</v>
      </c>
      <c r="E147" s="5" t="s">
        <v>7</v>
      </c>
      <c r="F147" s="6">
        <v>79</v>
      </c>
      <c r="G147" s="6">
        <v>89</v>
      </c>
      <c r="K147" s="12"/>
    </row>
    <row r="148" spans="2:11" x14ac:dyDescent="0.3">
      <c r="B148" s="3">
        <v>45953</v>
      </c>
      <c r="C148" s="4">
        <v>70952</v>
      </c>
      <c r="D148" s="4" t="s">
        <v>47</v>
      </c>
      <c r="E148" s="5" t="s">
        <v>8</v>
      </c>
      <c r="F148" s="6">
        <v>98</v>
      </c>
      <c r="G148" s="6">
        <v>108</v>
      </c>
      <c r="K148" s="12"/>
    </row>
    <row r="149" spans="2:11" x14ac:dyDescent="0.3">
      <c r="B149" s="3">
        <v>45954</v>
      </c>
      <c r="C149" s="4">
        <v>70954</v>
      </c>
      <c r="D149" s="4" t="s">
        <v>48</v>
      </c>
      <c r="E149" s="5" t="s">
        <v>9</v>
      </c>
      <c r="F149" s="6">
        <v>17</v>
      </c>
      <c r="G149" s="6">
        <v>25</v>
      </c>
      <c r="K149" s="12"/>
    </row>
    <row r="150" spans="2:11" x14ac:dyDescent="0.3">
      <c r="B150" s="3">
        <v>45955</v>
      </c>
      <c r="C150" s="4">
        <v>70955</v>
      </c>
      <c r="D150" s="4" t="s">
        <v>49</v>
      </c>
      <c r="E150" s="5" t="s">
        <v>7</v>
      </c>
      <c r="F150" s="6">
        <v>65</v>
      </c>
      <c r="G150" s="6">
        <v>69</v>
      </c>
      <c r="K150" s="12"/>
    </row>
    <row r="151" spans="2:11" x14ac:dyDescent="0.3">
      <c r="B151" s="3">
        <v>45956</v>
      </c>
      <c r="C151" s="4">
        <v>70956</v>
      </c>
      <c r="D151" s="4" t="s">
        <v>50</v>
      </c>
      <c r="E151" s="5" t="s">
        <v>8</v>
      </c>
      <c r="F151" s="6">
        <v>45</v>
      </c>
      <c r="G151" s="6">
        <v>49</v>
      </c>
      <c r="K151" s="12"/>
    </row>
    <row r="152" spans="2:11" x14ac:dyDescent="0.3">
      <c r="B152" s="3">
        <v>45957</v>
      </c>
      <c r="C152" s="4">
        <v>70798</v>
      </c>
      <c r="D152" s="4" t="s">
        <v>51</v>
      </c>
      <c r="E152" s="5" t="s">
        <v>9</v>
      </c>
      <c r="F152" s="6">
        <v>64</v>
      </c>
      <c r="G152" s="6">
        <v>73</v>
      </c>
      <c r="K152" s="12"/>
    </row>
    <row r="153" spans="2:11" x14ac:dyDescent="0.3">
      <c r="B153" s="3">
        <v>45958</v>
      </c>
      <c r="C153" s="4">
        <v>70958</v>
      </c>
      <c r="D153" s="4" t="s">
        <v>44</v>
      </c>
      <c r="E153" s="5" t="s">
        <v>10</v>
      </c>
      <c r="F153" s="6">
        <v>22</v>
      </c>
      <c r="G153" s="6">
        <v>28</v>
      </c>
      <c r="K153" s="12"/>
    </row>
    <row r="154" spans="2:11" x14ac:dyDescent="0.3">
      <c r="B154" s="3">
        <v>45959</v>
      </c>
      <c r="C154" s="4">
        <v>70030</v>
      </c>
      <c r="D154" s="4" t="s">
        <v>23</v>
      </c>
      <c r="E154" s="5" t="s">
        <v>0</v>
      </c>
      <c r="F154" s="6">
        <v>79</v>
      </c>
      <c r="G154" s="6">
        <v>88</v>
      </c>
      <c r="K154" s="12"/>
    </row>
    <row r="155" spans="2:11" x14ac:dyDescent="0.3">
      <c r="B155" s="3">
        <v>45960</v>
      </c>
      <c r="C155" s="4">
        <v>70183</v>
      </c>
      <c r="D155" s="4" t="s">
        <v>24</v>
      </c>
      <c r="E155" s="5" t="s">
        <v>1</v>
      </c>
      <c r="F155" s="6">
        <v>41</v>
      </c>
      <c r="G155" s="6">
        <v>47</v>
      </c>
      <c r="K155" s="12"/>
    </row>
    <row r="156" spans="2:11" x14ac:dyDescent="0.3">
      <c r="B156" s="3">
        <v>45961</v>
      </c>
      <c r="C156" s="4">
        <v>70133</v>
      </c>
      <c r="D156" s="4" t="s">
        <v>25</v>
      </c>
      <c r="E156" s="5" t="s">
        <v>2</v>
      </c>
      <c r="F156" s="6">
        <v>59</v>
      </c>
      <c r="G156" s="6">
        <v>68</v>
      </c>
      <c r="K156" s="12"/>
    </row>
    <row r="157" spans="2:11" x14ac:dyDescent="0.3">
      <c r="B157" s="3">
        <v>45962</v>
      </c>
      <c r="C157" s="4">
        <v>70504</v>
      </c>
      <c r="D157" s="4" t="s">
        <v>26</v>
      </c>
      <c r="E157" s="5" t="s">
        <v>3</v>
      </c>
      <c r="F157" s="6">
        <v>38</v>
      </c>
      <c r="G157" s="6">
        <v>48</v>
      </c>
      <c r="K157" s="12"/>
    </row>
    <row r="158" spans="2:11" x14ac:dyDescent="0.3">
      <c r="B158" s="3">
        <v>45963</v>
      </c>
      <c r="C158" s="4">
        <v>70786</v>
      </c>
      <c r="D158" s="4" t="s">
        <v>27</v>
      </c>
      <c r="E158" s="5" t="s">
        <v>4</v>
      </c>
      <c r="F158" s="6">
        <v>70</v>
      </c>
      <c r="G158" s="6">
        <v>74</v>
      </c>
      <c r="K158" s="12"/>
    </row>
    <row r="159" spans="2:11" x14ac:dyDescent="0.3">
      <c r="B159" s="3">
        <v>45964</v>
      </c>
      <c r="C159" s="4">
        <v>70833</v>
      </c>
      <c r="D159" s="4" t="s">
        <v>28</v>
      </c>
      <c r="E159" s="5" t="s">
        <v>5</v>
      </c>
      <c r="F159" s="6">
        <v>6</v>
      </c>
      <c r="G159" s="6">
        <v>12</v>
      </c>
      <c r="K159" s="12"/>
    </row>
    <row r="160" spans="2:11" x14ac:dyDescent="0.3">
      <c r="B160" s="3">
        <v>45965</v>
      </c>
      <c r="C160" s="4">
        <v>70835</v>
      </c>
      <c r="D160" s="4" t="s">
        <v>29</v>
      </c>
      <c r="E160" s="5" t="s">
        <v>6</v>
      </c>
      <c r="F160" s="6">
        <v>13</v>
      </c>
      <c r="G160" s="6">
        <v>16</v>
      </c>
      <c r="K160" s="12"/>
    </row>
    <row r="161" spans="2:11" x14ac:dyDescent="0.3">
      <c r="B161" s="3">
        <v>45966</v>
      </c>
      <c r="C161" s="4">
        <v>70839</v>
      </c>
      <c r="D161" s="4" t="s">
        <v>30</v>
      </c>
      <c r="E161" s="5" t="s">
        <v>7</v>
      </c>
      <c r="F161" s="6">
        <v>6</v>
      </c>
      <c r="G161" s="6">
        <v>14</v>
      </c>
      <c r="K161" s="12"/>
    </row>
    <row r="162" spans="2:11" x14ac:dyDescent="0.3">
      <c r="B162" s="3">
        <v>45967</v>
      </c>
      <c r="C162" s="4">
        <v>70837</v>
      </c>
      <c r="D162" s="4" t="s">
        <v>31</v>
      </c>
      <c r="E162" s="5" t="s">
        <v>8</v>
      </c>
      <c r="F162" s="6">
        <v>86</v>
      </c>
      <c r="G162" s="6">
        <v>87</v>
      </c>
      <c r="K162" s="12"/>
    </row>
    <row r="163" spans="2:11" x14ac:dyDescent="0.3">
      <c r="B163" s="3">
        <v>45968</v>
      </c>
      <c r="C163" s="4">
        <v>70894</v>
      </c>
      <c r="D163" s="4" t="s">
        <v>32</v>
      </c>
      <c r="E163" s="5" t="s">
        <v>9</v>
      </c>
      <c r="F163" s="6">
        <v>36</v>
      </c>
      <c r="G163" s="6">
        <v>42</v>
      </c>
      <c r="K163" s="12"/>
    </row>
    <row r="164" spans="2:11" x14ac:dyDescent="0.3">
      <c r="B164" s="3">
        <v>45969</v>
      </c>
      <c r="C164" s="4">
        <v>70793</v>
      </c>
      <c r="D164" s="4" t="s">
        <v>33</v>
      </c>
      <c r="E164" s="5" t="s">
        <v>10</v>
      </c>
      <c r="F164" s="6">
        <v>77</v>
      </c>
      <c r="G164" s="6">
        <v>87</v>
      </c>
      <c r="K164" s="12"/>
    </row>
    <row r="165" spans="2:11" x14ac:dyDescent="0.3">
      <c r="B165" s="3">
        <v>45970</v>
      </c>
      <c r="C165" s="4">
        <v>70791</v>
      </c>
      <c r="D165" s="4" t="s">
        <v>34</v>
      </c>
      <c r="E165" s="5" t="s">
        <v>11</v>
      </c>
      <c r="F165" s="6">
        <v>12</v>
      </c>
      <c r="G165" s="6">
        <v>20</v>
      </c>
      <c r="K165" s="12"/>
    </row>
    <row r="166" spans="2:11" x14ac:dyDescent="0.3">
      <c r="B166" s="3">
        <v>45971</v>
      </c>
      <c r="C166" s="4">
        <v>70963</v>
      </c>
      <c r="D166" s="4" t="s">
        <v>35</v>
      </c>
      <c r="E166" s="5" t="s">
        <v>12</v>
      </c>
      <c r="F166" s="6">
        <v>28</v>
      </c>
      <c r="G166" s="6">
        <v>38</v>
      </c>
      <c r="K166" s="12"/>
    </row>
    <row r="167" spans="2:11" x14ac:dyDescent="0.3">
      <c r="B167" s="3">
        <v>45972</v>
      </c>
      <c r="C167" s="4">
        <v>70968</v>
      </c>
      <c r="D167" s="4" t="s">
        <v>36</v>
      </c>
      <c r="E167" s="5" t="s">
        <v>13</v>
      </c>
      <c r="F167" s="6">
        <v>24</v>
      </c>
      <c r="G167" s="6">
        <v>28</v>
      </c>
      <c r="K167" s="12"/>
    </row>
    <row r="168" spans="2:11" x14ac:dyDescent="0.3">
      <c r="B168" s="3">
        <v>45973</v>
      </c>
      <c r="C168" s="4">
        <v>70961</v>
      </c>
      <c r="D168" s="4" t="s">
        <v>37</v>
      </c>
      <c r="E168" s="5" t="s">
        <v>14</v>
      </c>
      <c r="F168" s="6">
        <v>7</v>
      </c>
      <c r="G168" s="6">
        <v>9</v>
      </c>
      <c r="K168" s="12"/>
    </row>
    <row r="169" spans="2:11" x14ac:dyDescent="0.3">
      <c r="B169" s="3">
        <v>45974</v>
      </c>
      <c r="C169" s="4">
        <v>70983</v>
      </c>
      <c r="D169" s="4" t="s">
        <v>38</v>
      </c>
      <c r="E169" s="5" t="s">
        <v>15</v>
      </c>
      <c r="F169" s="6">
        <v>91</v>
      </c>
      <c r="G169" s="6">
        <v>92</v>
      </c>
      <c r="K169" s="12"/>
    </row>
    <row r="170" spans="2:11" x14ac:dyDescent="0.3">
      <c r="B170" s="3">
        <v>45975</v>
      </c>
      <c r="C170" s="4">
        <v>70981</v>
      </c>
      <c r="D170" s="4" t="s">
        <v>39</v>
      </c>
      <c r="E170" s="5" t="s">
        <v>16</v>
      </c>
      <c r="F170" s="6">
        <v>55</v>
      </c>
      <c r="G170" s="6">
        <v>57</v>
      </c>
      <c r="K170" s="12"/>
    </row>
    <row r="171" spans="2:11" x14ac:dyDescent="0.3">
      <c r="B171" s="3">
        <v>45976</v>
      </c>
      <c r="C171" s="4">
        <v>70980</v>
      </c>
      <c r="D171" s="4" t="s">
        <v>40</v>
      </c>
      <c r="E171" s="5" t="s">
        <v>17</v>
      </c>
      <c r="F171" s="6">
        <v>81</v>
      </c>
      <c r="G171" s="6">
        <v>83</v>
      </c>
      <c r="K171" s="12"/>
    </row>
    <row r="172" spans="2:11" x14ac:dyDescent="0.3">
      <c r="B172" s="3">
        <v>45977</v>
      </c>
      <c r="C172" s="4">
        <v>70979</v>
      </c>
      <c r="D172" s="4" t="s">
        <v>41</v>
      </c>
      <c r="E172" s="5" t="s">
        <v>18</v>
      </c>
      <c r="F172" s="6">
        <v>69</v>
      </c>
      <c r="G172" s="6">
        <v>72</v>
      </c>
      <c r="K172" s="12"/>
    </row>
    <row r="173" spans="2:11" x14ac:dyDescent="0.3">
      <c r="B173" s="3">
        <v>45978</v>
      </c>
      <c r="C173" s="4">
        <v>70985</v>
      </c>
      <c r="D173" s="4" t="s">
        <v>42</v>
      </c>
      <c r="E173" s="5" t="s">
        <v>19</v>
      </c>
      <c r="F173" s="6">
        <v>93</v>
      </c>
      <c r="G173" s="6">
        <v>99</v>
      </c>
      <c r="K173" s="12"/>
    </row>
    <row r="174" spans="2:11" x14ac:dyDescent="0.3">
      <c r="B174" s="3">
        <v>45979</v>
      </c>
      <c r="C174" s="4">
        <v>70986</v>
      </c>
      <c r="D174" s="4" t="s">
        <v>43</v>
      </c>
      <c r="E174" s="5" t="s">
        <v>20</v>
      </c>
      <c r="F174" s="6">
        <v>67</v>
      </c>
      <c r="G174" s="6">
        <v>76</v>
      </c>
      <c r="K174" s="12"/>
    </row>
    <row r="175" spans="2:11" x14ac:dyDescent="0.3">
      <c r="B175" s="3">
        <v>45980</v>
      </c>
      <c r="C175" s="4">
        <v>70958</v>
      </c>
      <c r="D175" s="4" t="s">
        <v>44</v>
      </c>
      <c r="E175" s="5" t="s">
        <v>21</v>
      </c>
      <c r="F175" s="6">
        <v>23</v>
      </c>
      <c r="G175" s="6">
        <v>32</v>
      </c>
      <c r="K175" s="12"/>
    </row>
    <row r="176" spans="2:11" x14ac:dyDescent="0.3">
      <c r="B176" s="3">
        <v>45981</v>
      </c>
      <c r="C176" s="4">
        <v>70950</v>
      </c>
      <c r="D176" s="4" t="s">
        <v>45</v>
      </c>
      <c r="E176" s="5" t="s">
        <v>22</v>
      </c>
      <c r="F176" s="6">
        <v>55</v>
      </c>
      <c r="G176" s="6">
        <v>59</v>
      </c>
      <c r="K176" s="12"/>
    </row>
    <row r="177" spans="2:11" x14ac:dyDescent="0.3">
      <c r="B177" s="3">
        <v>45982</v>
      </c>
      <c r="C177" s="4">
        <v>70951</v>
      </c>
      <c r="D177" s="4" t="s">
        <v>46</v>
      </c>
      <c r="E177" s="5" t="s">
        <v>7</v>
      </c>
      <c r="F177" s="6">
        <v>80</v>
      </c>
      <c r="G177" s="6">
        <v>89</v>
      </c>
      <c r="K177" s="12"/>
    </row>
    <row r="178" spans="2:11" x14ac:dyDescent="0.3">
      <c r="B178" s="3">
        <v>45983</v>
      </c>
      <c r="C178" s="4">
        <v>70952</v>
      </c>
      <c r="D178" s="4" t="s">
        <v>47</v>
      </c>
      <c r="E178" s="5" t="s">
        <v>8</v>
      </c>
      <c r="F178" s="6">
        <v>88</v>
      </c>
      <c r="G178" s="6">
        <v>98</v>
      </c>
      <c r="K178" s="12"/>
    </row>
    <row r="179" spans="2:11" x14ac:dyDescent="0.3">
      <c r="B179" s="3">
        <v>45984</v>
      </c>
      <c r="C179" s="4">
        <v>70954</v>
      </c>
      <c r="D179" s="4" t="s">
        <v>48</v>
      </c>
      <c r="E179" s="5" t="s">
        <v>9</v>
      </c>
      <c r="F179" s="6">
        <v>14</v>
      </c>
      <c r="G179" s="6">
        <v>24</v>
      </c>
      <c r="K179" s="12"/>
    </row>
    <row r="180" spans="2:11" x14ac:dyDescent="0.3">
      <c r="B180" s="3">
        <v>45985</v>
      </c>
      <c r="C180" s="4">
        <v>70955</v>
      </c>
      <c r="D180" s="4" t="s">
        <v>49</v>
      </c>
      <c r="E180" s="5" t="s">
        <v>7</v>
      </c>
      <c r="F180" s="6">
        <v>13</v>
      </c>
      <c r="G180" s="6">
        <v>15</v>
      </c>
      <c r="K180" s="12"/>
    </row>
    <row r="181" spans="2:11" x14ac:dyDescent="0.3">
      <c r="B181" s="3">
        <v>45986</v>
      </c>
      <c r="C181" s="4">
        <v>70956</v>
      </c>
      <c r="D181" s="4" t="s">
        <v>50</v>
      </c>
      <c r="E181" s="5" t="s">
        <v>8</v>
      </c>
      <c r="F181" s="6">
        <v>41</v>
      </c>
      <c r="G181" s="6">
        <v>50</v>
      </c>
      <c r="K181" s="12"/>
    </row>
    <row r="182" spans="2:11" x14ac:dyDescent="0.3">
      <c r="B182" s="3">
        <v>45987</v>
      </c>
      <c r="C182" s="4">
        <v>70798</v>
      </c>
      <c r="D182" s="4" t="s">
        <v>51</v>
      </c>
      <c r="E182" s="5" t="s">
        <v>9</v>
      </c>
      <c r="F182" s="6">
        <v>77</v>
      </c>
      <c r="G182" s="6">
        <v>82</v>
      </c>
      <c r="K182" s="12"/>
    </row>
    <row r="183" spans="2:11" x14ac:dyDescent="0.3">
      <c r="B183" s="3">
        <v>45988</v>
      </c>
      <c r="C183" s="4">
        <v>70958</v>
      </c>
      <c r="D183" s="4" t="s">
        <v>44</v>
      </c>
      <c r="E183" s="5" t="s">
        <v>10</v>
      </c>
      <c r="F183" s="6">
        <v>70</v>
      </c>
      <c r="G183" s="6">
        <v>74</v>
      </c>
      <c r="K183" s="12"/>
    </row>
    <row r="184" spans="2:11" x14ac:dyDescent="0.3">
      <c r="B184" s="3">
        <v>45989</v>
      </c>
      <c r="C184" s="4">
        <v>70030</v>
      </c>
      <c r="D184" s="4" t="s">
        <v>23</v>
      </c>
      <c r="E184" s="5" t="s">
        <v>0</v>
      </c>
      <c r="F184" s="6">
        <v>10</v>
      </c>
      <c r="G184" s="6">
        <v>20</v>
      </c>
      <c r="K184" s="12"/>
    </row>
    <row r="185" spans="2:11" x14ac:dyDescent="0.3">
      <c r="B185" s="3">
        <v>45990</v>
      </c>
      <c r="C185" s="4">
        <v>70183</v>
      </c>
      <c r="D185" s="4" t="s">
        <v>24</v>
      </c>
      <c r="E185" s="5" t="s">
        <v>1</v>
      </c>
      <c r="F185" s="6">
        <v>35</v>
      </c>
      <c r="G185" s="6">
        <v>44</v>
      </c>
      <c r="K185" s="12"/>
    </row>
    <row r="186" spans="2:11" x14ac:dyDescent="0.3">
      <c r="B186" s="3">
        <v>45991</v>
      </c>
      <c r="C186" s="4">
        <v>70133</v>
      </c>
      <c r="D186" s="4" t="s">
        <v>25</v>
      </c>
      <c r="E186" s="5" t="s">
        <v>2</v>
      </c>
      <c r="F186" s="6">
        <v>13</v>
      </c>
      <c r="G186" s="6">
        <v>19</v>
      </c>
      <c r="K186" s="12"/>
    </row>
    <row r="187" spans="2:11" x14ac:dyDescent="0.3">
      <c r="B187" s="3">
        <v>45992</v>
      </c>
      <c r="C187" s="4">
        <v>70504</v>
      </c>
      <c r="D187" s="4" t="s">
        <v>26</v>
      </c>
      <c r="E187" s="5" t="s">
        <v>3</v>
      </c>
      <c r="F187" s="6">
        <v>89</v>
      </c>
      <c r="G187" s="6">
        <v>91</v>
      </c>
      <c r="K187" s="12"/>
    </row>
    <row r="188" spans="2:11" x14ac:dyDescent="0.3">
      <c r="B188" s="3">
        <v>45993</v>
      </c>
      <c r="C188" s="4">
        <v>70786</v>
      </c>
      <c r="D188" s="4" t="s">
        <v>27</v>
      </c>
      <c r="E188" s="5" t="s">
        <v>4</v>
      </c>
      <c r="F188" s="6">
        <v>10</v>
      </c>
      <c r="G188" s="6">
        <v>17</v>
      </c>
      <c r="K188" s="12"/>
    </row>
    <row r="189" spans="2:11" x14ac:dyDescent="0.3">
      <c r="B189" s="3">
        <v>45994</v>
      </c>
      <c r="C189" s="4">
        <v>70833</v>
      </c>
      <c r="D189" s="4" t="s">
        <v>28</v>
      </c>
      <c r="E189" s="5" t="s">
        <v>5</v>
      </c>
      <c r="F189" s="6">
        <v>23</v>
      </c>
      <c r="G189" s="6">
        <v>24</v>
      </c>
      <c r="K189" s="12"/>
    </row>
    <row r="190" spans="2:11" x14ac:dyDescent="0.3">
      <c r="B190" s="3">
        <v>45995</v>
      </c>
      <c r="C190" s="4">
        <v>70835</v>
      </c>
      <c r="D190" s="4" t="s">
        <v>29</v>
      </c>
      <c r="E190" s="5" t="s">
        <v>6</v>
      </c>
      <c r="F190" s="6">
        <v>77</v>
      </c>
      <c r="G190" s="6">
        <v>84</v>
      </c>
      <c r="K190" s="12"/>
    </row>
    <row r="191" spans="2:11" x14ac:dyDescent="0.3">
      <c r="B191" s="3">
        <v>45996</v>
      </c>
      <c r="C191" s="4">
        <v>70839</v>
      </c>
      <c r="D191" s="4" t="s">
        <v>30</v>
      </c>
      <c r="E191" s="5" t="s">
        <v>7</v>
      </c>
      <c r="F191" s="6">
        <v>19</v>
      </c>
      <c r="G191" s="6">
        <v>22</v>
      </c>
      <c r="K191" s="12"/>
    </row>
    <row r="192" spans="2:11" x14ac:dyDescent="0.3">
      <c r="B192" s="3">
        <v>45997</v>
      </c>
      <c r="C192" s="4">
        <v>70837</v>
      </c>
      <c r="D192" s="4" t="s">
        <v>31</v>
      </c>
      <c r="E192" s="5" t="s">
        <v>8</v>
      </c>
      <c r="F192" s="6">
        <v>4</v>
      </c>
      <c r="G192" s="6">
        <v>5</v>
      </c>
      <c r="K192" s="12"/>
    </row>
    <row r="193" spans="2:11" x14ac:dyDescent="0.3">
      <c r="B193" s="3">
        <v>45998</v>
      </c>
      <c r="C193" s="4">
        <v>70894</v>
      </c>
      <c r="D193" s="4" t="s">
        <v>32</v>
      </c>
      <c r="E193" s="5" t="s">
        <v>9</v>
      </c>
      <c r="F193" s="6">
        <v>6</v>
      </c>
      <c r="G193" s="6">
        <v>9</v>
      </c>
      <c r="K193" s="12"/>
    </row>
    <row r="194" spans="2:11" x14ac:dyDescent="0.3">
      <c r="B194" s="3">
        <v>45999</v>
      </c>
      <c r="C194" s="4">
        <v>70793</v>
      </c>
      <c r="D194" s="4" t="s">
        <v>33</v>
      </c>
      <c r="E194" s="5" t="s">
        <v>10</v>
      </c>
      <c r="F194" s="6">
        <v>16</v>
      </c>
      <c r="G194" s="6">
        <v>25</v>
      </c>
      <c r="K194" s="12"/>
    </row>
    <row r="195" spans="2:11" x14ac:dyDescent="0.3">
      <c r="B195" s="3">
        <v>46000</v>
      </c>
      <c r="C195" s="4">
        <v>70791</v>
      </c>
      <c r="D195" s="4" t="s">
        <v>34</v>
      </c>
      <c r="E195" s="5" t="s">
        <v>11</v>
      </c>
      <c r="F195" s="6">
        <v>52</v>
      </c>
      <c r="G195" s="6">
        <v>55</v>
      </c>
      <c r="K195" s="12"/>
    </row>
    <row r="196" spans="2:11" x14ac:dyDescent="0.3">
      <c r="B196" s="3">
        <v>46001</v>
      </c>
      <c r="C196" s="4">
        <v>70963</v>
      </c>
      <c r="D196" s="4" t="s">
        <v>35</v>
      </c>
      <c r="E196" s="5" t="s">
        <v>12</v>
      </c>
      <c r="F196" s="6">
        <v>30</v>
      </c>
      <c r="G196" s="6">
        <v>36</v>
      </c>
      <c r="K196" s="12"/>
    </row>
    <row r="197" spans="2:11" x14ac:dyDescent="0.3">
      <c r="B197" s="3">
        <v>46002</v>
      </c>
      <c r="C197" s="4">
        <v>70968</v>
      </c>
      <c r="D197" s="4" t="s">
        <v>36</v>
      </c>
      <c r="E197" s="5" t="s">
        <v>13</v>
      </c>
      <c r="F197" s="6">
        <v>26</v>
      </c>
      <c r="G197" s="6">
        <v>35</v>
      </c>
      <c r="K197" s="12"/>
    </row>
    <row r="198" spans="2:11" x14ac:dyDescent="0.3">
      <c r="B198" s="3">
        <v>46003</v>
      </c>
      <c r="C198" s="4">
        <v>70961</v>
      </c>
      <c r="D198" s="4" t="s">
        <v>37</v>
      </c>
      <c r="E198" s="5" t="s">
        <v>14</v>
      </c>
      <c r="F198" s="6">
        <v>23</v>
      </c>
      <c r="G198" s="6">
        <v>25</v>
      </c>
      <c r="K198" s="12"/>
    </row>
    <row r="199" spans="2:11" x14ac:dyDescent="0.3">
      <c r="B199" s="3">
        <v>46004</v>
      </c>
      <c r="C199" s="4">
        <v>70983</v>
      </c>
      <c r="D199" s="4" t="s">
        <v>38</v>
      </c>
      <c r="E199" s="5" t="s">
        <v>15</v>
      </c>
      <c r="F199" s="6">
        <v>6</v>
      </c>
      <c r="G199" s="6">
        <v>14</v>
      </c>
      <c r="K199" s="12"/>
    </row>
    <row r="200" spans="2:11" x14ac:dyDescent="0.3">
      <c r="B200" s="3">
        <v>46005</v>
      </c>
      <c r="C200" s="4">
        <v>70981</v>
      </c>
      <c r="D200" s="4" t="s">
        <v>39</v>
      </c>
      <c r="E200" s="5" t="s">
        <v>16</v>
      </c>
      <c r="F200" s="6">
        <v>20</v>
      </c>
      <c r="G200" s="6">
        <v>23</v>
      </c>
      <c r="K200" s="12"/>
    </row>
    <row r="201" spans="2:11" x14ac:dyDescent="0.3">
      <c r="B201" s="3">
        <v>46006</v>
      </c>
      <c r="C201" s="4">
        <v>70980</v>
      </c>
      <c r="D201" s="4" t="s">
        <v>40</v>
      </c>
      <c r="E201" s="5" t="s">
        <v>17</v>
      </c>
      <c r="F201" s="6">
        <v>46</v>
      </c>
      <c r="G201" s="6">
        <v>50</v>
      </c>
      <c r="K201" s="12"/>
    </row>
    <row r="202" spans="2:11" x14ac:dyDescent="0.3">
      <c r="B202" s="3">
        <v>46007</v>
      </c>
      <c r="C202" s="4">
        <v>70979</v>
      </c>
      <c r="D202" s="4" t="s">
        <v>41</v>
      </c>
      <c r="E202" s="5" t="s">
        <v>18</v>
      </c>
      <c r="F202" s="6">
        <v>35</v>
      </c>
      <c r="G202" s="6">
        <v>44</v>
      </c>
      <c r="K202" s="12"/>
    </row>
    <row r="203" spans="2:11" x14ac:dyDescent="0.3">
      <c r="B203" s="3">
        <v>46008</v>
      </c>
      <c r="C203" s="4">
        <v>70985</v>
      </c>
      <c r="D203" s="4" t="s">
        <v>42</v>
      </c>
      <c r="E203" s="5" t="s">
        <v>19</v>
      </c>
      <c r="F203" s="6">
        <v>63</v>
      </c>
      <c r="G203" s="6">
        <v>68</v>
      </c>
      <c r="K203" s="12"/>
    </row>
    <row r="204" spans="2:11" x14ac:dyDescent="0.3">
      <c r="B204" s="3">
        <v>46009</v>
      </c>
      <c r="C204" s="4">
        <v>70986</v>
      </c>
      <c r="D204" s="4" t="s">
        <v>43</v>
      </c>
      <c r="E204" s="5" t="s">
        <v>20</v>
      </c>
      <c r="F204" s="6">
        <v>90</v>
      </c>
      <c r="G204" s="6">
        <v>97</v>
      </c>
      <c r="K204" s="12"/>
    </row>
    <row r="205" spans="2:11" x14ac:dyDescent="0.3">
      <c r="B205" s="3">
        <v>46010</v>
      </c>
      <c r="C205" s="4">
        <v>70958</v>
      </c>
      <c r="D205" s="4" t="s">
        <v>44</v>
      </c>
      <c r="E205" s="5" t="s">
        <v>21</v>
      </c>
      <c r="F205" s="6">
        <v>6</v>
      </c>
      <c r="G205" s="6">
        <v>7</v>
      </c>
      <c r="K205" s="12"/>
    </row>
    <row r="206" spans="2:11" x14ac:dyDescent="0.3">
      <c r="B206" s="3">
        <v>46011</v>
      </c>
      <c r="C206" s="4">
        <v>70950</v>
      </c>
      <c r="D206" s="4" t="s">
        <v>45</v>
      </c>
      <c r="E206" s="5" t="s">
        <v>22</v>
      </c>
      <c r="F206" s="6">
        <v>47</v>
      </c>
      <c r="G206" s="6">
        <v>48</v>
      </c>
      <c r="K206" s="12"/>
    </row>
    <row r="207" spans="2:11" x14ac:dyDescent="0.3">
      <c r="B207" s="3">
        <v>46012</v>
      </c>
      <c r="C207" s="4">
        <v>70951</v>
      </c>
      <c r="D207" s="4" t="s">
        <v>46</v>
      </c>
      <c r="E207" s="5" t="s">
        <v>7</v>
      </c>
      <c r="F207" s="6">
        <v>12</v>
      </c>
      <c r="G207" s="6">
        <v>21</v>
      </c>
      <c r="K207" s="12"/>
    </row>
    <row r="208" spans="2:11" x14ac:dyDescent="0.3">
      <c r="B208" s="3">
        <v>46013</v>
      </c>
      <c r="C208" s="4">
        <v>70952</v>
      </c>
      <c r="D208" s="4" t="s">
        <v>47</v>
      </c>
      <c r="E208" s="5" t="s">
        <v>8</v>
      </c>
      <c r="F208" s="6">
        <v>77</v>
      </c>
      <c r="G208" s="6">
        <v>82</v>
      </c>
      <c r="K208" s="12"/>
    </row>
    <row r="209" spans="2:11" x14ac:dyDescent="0.3">
      <c r="B209" s="3">
        <v>46014</v>
      </c>
      <c r="C209" s="4">
        <v>70954</v>
      </c>
      <c r="D209" s="4" t="s">
        <v>48</v>
      </c>
      <c r="E209" s="5" t="s">
        <v>9</v>
      </c>
      <c r="F209" s="6">
        <v>48</v>
      </c>
      <c r="G209" s="6">
        <v>53</v>
      </c>
      <c r="K209" s="12"/>
    </row>
    <row r="210" spans="2:11" x14ac:dyDescent="0.3">
      <c r="B210" s="3">
        <v>46015</v>
      </c>
      <c r="C210" s="4">
        <v>70955</v>
      </c>
      <c r="D210" s="4" t="s">
        <v>49</v>
      </c>
      <c r="E210" s="5" t="s">
        <v>7</v>
      </c>
      <c r="F210" s="6">
        <v>9</v>
      </c>
      <c r="G210" s="6">
        <v>16</v>
      </c>
      <c r="K210" s="12"/>
    </row>
    <row r="211" spans="2:11" x14ac:dyDescent="0.3">
      <c r="B211" s="3">
        <v>46016</v>
      </c>
      <c r="C211" s="4">
        <v>70956</v>
      </c>
      <c r="D211" s="4" t="s">
        <v>50</v>
      </c>
      <c r="E211" s="5" t="s">
        <v>8</v>
      </c>
      <c r="F211" s="6">
        <v>22</v>
      </c>
      <c r="G211" s="6">
        <v>25</v>
      </c>
      <c r="K211" s="12"/>
    </row>
    <row r="212" spans="2:11" x14ac:dyDescent="0.3">
      <c r="B212" s="3">
        <v>46017</v>
      </c>
      <c r="C212" s="4">
        <v>70798</v>
      </c>
      <c r="D212" s="4" t="s">
        <v>51</v>
      </c>
      <c r="E212" s="5" t="s">
        <v>9</v>
      </c>
      <c r="F212" s="6">
        <v>42</v>
      </c>
      <c r="G212" s="6">
        <v>45</v>
      </c>
      <c r="K212" s="12"/>
    </row>
    <row r="213" spans="2:11" x14ac:dyDescent="0.3">
      <c r="B213" s="3">
        <v>46018</v>
      </c>
      <c r="C213" s="4">
        <v>70958</v>
      </c>
      <c r="D213" s="4" t="s">
        <v>44</v>
      </c>
      <c r="E213" s="5" t="s">
        <v>10</v>
      </c>
      <c r="F213" s="6">
        <v>23</v>
      </c>
      <c r="G213" s="6">
        <v>24</v>
      </c>
      <c r="K213" s="12"/>
    </row>
    <row r="214" spans="2:11" x14ac:dyDescent="0.3">
      <c r="B214" s="3">
        <v>46019</v>
      </c>
      <c r="C214" s="4">
        <v>70030</v>
      </c>
      <c r="D214" s="4" t="s">
        <v>23</v>
      </c>
      <c r="E214" s="5" t="s">
        <v>0</v>
      </c>
      <c r="F214" s="6">
        <v>92</v>
      </c>
      <c r="G214" s="6">
        <v>98</v>
      </c>
      <c r="K214" s="12"/>
    </row>
    <row r="215" spans="2:11" x14ac:dyDescent="0.3">
      <c r="B215" s="3">
        <v>46020</v>
      </c>
      <c r="C215" s="4">
        <v>70183</v>
      </c>
      <c r="D215" s="4" t="s">
        <v>24</v>
      </c>
      <c r="E215" s="5" t="s">
        <v>1</v>
      </c>
      <c r="F215" s="6">
        <v>43</v>
      </c>
      <c r="G215" s="6">
        <v>47</v>
      </c>
      <c r="K215" s="12"/>
    </row>
    <row r="216" spans="2:11" x14ac:dyDescent="0.3">
      <c r="B216" s="3">
        <v>46021</v>
      </c>
      <c r="C216" s="4">
        <v>70133</v>
      </c>
      <c r="D216" s="4" t="s">
        <v>25</v>
      </c>
      <c r="E216" s="5" t="s">
        <v>2</v>
      </c>
      <c r="F216" s="6">
        <v>57</v>
      </c>
      <c r="G216" s="6">
        <v>66</v>
      </c>
      <c r="K216" s="12"/>
    </row>
    <row r="217" spans="2:11" x14ac:dyDescent="0.3">
      <c r="B217" s="3">
        <v>46022</v>
      </c>
      <c r="C217" s="4">
        <v>70504</v>
      </c>
      <c r="D217" s="4" t="s">
        <v>26</v>
      </c>
      <c r="E217" s="5" t="s">
        <v>3</v>
      </c>
      <c r="F217" s="6">
        <v>71</v>
      </c>
      <c r="G217" s="6">
        <v>74</v>
      </c>
      <c r="K217" s="12"/>
    </row>
    <row r="218" spans="2:11" x14ac:dyDescent="0.3">
      <c r="B218" s="3">
        <v>46023</v>
      </c>
      <c r="C218" s="4">
        <v>70786</v>
      </c>
      <c r="D218" s="4" t="s">
        <v>27</v>
      </c>
      <c r="E218" s="5" t="s">
        <v>4</v>
      </c>
      <c r="F218" s="6">
        <v>21</v>
      </c>
      <c r="G218" s="6">
        <v>27</v>
      </c>
      <c r="K218" s="12"/>
    </row>
    <row r="219" spans="2:11" x14ac:dyDescent="0.3">
      <c r="B219" s="3">
        <v>46024</v>
      </c>
      <c r="C219" s="4">
        <v>70833</v>
      </c>
      <c r="D219" s="4" t="s">
        <v>28</v>
      </c>
      <c r="E219" s="5" t="s">
        <v>5</v>
      </c>
      <c r="F219" s="6">
        <v>62</v>
      </c>
      <c r="G219" s="6">
        <v>72</v>
      </c>
      <c r="K219" s="12"/>
    </row>
    <row r="220" spans="2:11" x14ac:dyDescent="0.3">
      <c r="B220" s="3">
        <v>46025</v>
      </c>
      <c r="C220" s="4">
        <v>70835</v>
      </c>
      <c r="D220" s="4" t="s">
        <v>29</v>
      </c>
      <c r="E220" s="5" t="s">
        <v>6</v>
      </c>
      <c r="F220" s="6">
        <v>14</v>
      </c>
      <c r="G220" s="6">
        <v>16</v>
      </c>
      <c r="K220" s="12"/>
    </row>
    <row r="221" spans="2:11" x14ac:dyDescent="0.3">
      <c r="B221" s="3">
        <v>46026</v>
      </c>
      <c r="C221" s="4">
        <v>70839</v>
      </c>
      <c r="D221" s="4" t="s">
        <v>30</v>
      </c>
      <c r="E221" s="5" t="s">
        <v>7</v>
      </c>
      <c r="F221" s="6">
        <v>31</v>
      </c>
      <c r="G221" s="6">
        <v>32</v>
      </c>
      <c r="K221" s="12"/>
    </row>
    <row r="222" spans="2:11" x14ac:dyDescent="0.3">
      <c r="B222" s="3">
        <v>46027</v>
      </c>
      <c r="C222" s="4">
        <v>70837</v>
      </c>
      <c r="D222" s="4" t="s">
        <v>31</v>
      </c>
      <c r="E222" s="5" t="s">
        <v>8</v>
      </c>
      <c r="F222" s="6">
        <v>60</v>
      </c>
      <c r="G222" s="6">
        <v>70</v>
      </c>
      <c r="K222" s="12"/>
    </row>
    <row r="223" spans="2:11" x14ac:dyDescent="0.3">
      <c r="B223" s="3">
        <v>46028</v>
      </c>
      <c r="C223" s="4">
        <v>70894</v>
      </c>
      <c r="D223" s="4" t="s">
        <v>32</v>
      </c>
      <c r="E223" s="5" t="s">
        <v>9</v>
      </c>
      <c r="F223" s="6">
        <v>92</v>
      </c>
      <c r="G223" s="6">
        <v>94</v>
      </c>
      <c r="K223" s="12"/>
    </row>
    <row r="224" spans="2:11" x14ac:dyDescent="0.3">
      <c r="B224" s="3">
        <v>46029</v>
      </c>
      <c r="C224" s="4">
        <v>70793</v>
      </c>
      <c r="D224" s="4" t="s">
        <v>33</v>
      </c>
      <c r="E224" s="5" t="s">
        <v>10</v>
      </c>
      <c r="F224" s="6">
        <v>77</v>
      </c>
      <c r="G224" s="6">
        <v>87</v>
      </c>
      <c r="K224" s="12"/>
    </row>
    <row r="225" spans="2:11" x14ac:dyDescent="0.3">
      <c r="B225" s="3">
        <v>46030</v>
      </c>
      <c r="C225" s="4">
        <v>70791</v>
      </c>
      <c r="D225" s="4" t="s">
        <v>34</v>
      </c>
      <c r="E225" s="5" t="s">
        <v>11</v>
      </c>
      <c r="F225" s="6">
        <v>73</v>
      </c>
      <c r="G225" s="6">
        <v>75</v>
      </c>
      <c r="K225" s="12"/>
    </row>
    <row r="226" spans="2:11" x14ac:dyDescent="0.3">
      <c r="B226" s="3">
        <v>46031</v>
      </c>
      <c r="C226" s="4">
        <v>70963</v>
      </c>
      <c r="D226" s="4" t="s">
        <v>35</v>
      </c>
      <c r="E226" s="5" t="s">
        <v>12</v>
      </c>
      <c r="F226" s="6">
        <v>81</v>
      </c>
      <c r="G226" s="6">
        <v>88</v>
      </c>
      <c r="K226" s="12"/>
    </row>
    <row r="227" spans="2:11" x14ac:dyDescent="0.3">
      <c r="B227" s="3">
        <v>46032</v>
      </c>
      <c r="C227" s="4">
        <v>70968</v>
      </c>
      <c r="D227" s="4" t="s">
        <v>36</v>
      </c>
      <c r="E227" s="5" t="s">
        <v>13</v>
      </c>
      <c r="F227" s="6">
        <v>72</v>
      </c>
      <c r="G227" s="6">
        <v>77</v>
      </c>
      <c r="K227" s="12"/>
    </row>
    <row r="228" spans="2:11" x14ac:dyDescent="0.3">
      <c r="B228" s="3">
        <v>46033</v>
      </c>
      <c r="C228" s="4">
        <v>70961</v>
      </c>
      <c r="D228" s="4" t="s">
        <v>37</v>
      </c>
      <c r="E228" s="5" t="s">
        <v>14</v>
      </c>
      <c r="F228" s="6">
        <v>66</v>
      </c>
      <c r="G228" s="6">
        <v>69</v>
      </c>
      <c r="K228" s="12"/>
    </row>
    <row r="229" spans="2:11" x14ac:dyDescent="0.3">
      <c r="B229" s="3">
        <v>46034</v>
      </c>
      <c r="C229" s="4">
        <v>70983</v>
      </c>
      <c r="D229" s="4" t="s">
        <v>38</v>
      </c>
      <c r="E229" s="5" t="s">
        <v>15</v>
      </c>
      <c r="F229" s="6">
        <v>43</v>
      </c>
      <c r="G229" s="6">
        <v>46</v>
      </c>
      <c r="K229" s="12"/>
    </row>
    <row r="230" spans="2:11" x14ac:dyDescent="0.3">
      <c r="B230" s="3">
        <v>46035</v>
      </c>
      <c r="C230" s="4">
        <v>70981</v>
      </c>
      <c r="D230" s="4" t="s">
        <v>39</v>
      </c>
      <c r="E230" s="5" t="s">
        <v>16</v>
      </c>
      <c r="F230" s="6">
        <v>38</v>
      </c>
      <c r="G230" s="6">
        <v>42</v>
      </c>
      <c r="K230" s="12"/>
    </row>
    <row r="231" spans="2:11" x14ac:dyDescent="0.3">
      <c r="B231" s="3">
        <v>46036</v>
      </c>
      <c r="C231" s="4">
        <v>70980</v>
      </c>
      <c r="D231" s="4" t="s">
        <v>40</v>
      </c>
      <c r="E231" s="5" t="s">
        <v>17</v>
      </c>
      <c r="F231" s="6">
        <v>96</v>
      </c>
      <c r="G231" s="6">
        <v>105</v>
      </c>
      <c r="K231" s="12"/>
    </row>
    <row r="232" spans="2:11" x14ac:dyDescent="0.3">
      <c r="B232" s="3">
        <v>46037</v>
      </c>
      <c r="C232" s="4">
        <v>70979</v>
      </c>
      <c r="D232" s="4" t="s">
        <v>41</v>
      </c>
      <c r="E232" s="5" t="s">
        <v>18</v>
      </c>
      <c r="F232" s="6">
        <v>91</v>
      </c>
      <c r="G232" s="6">
        <v>94</v>
      </c>
      <c r="K232" s="12"/>
    </row>
    <row r="233" spans="2:11" x14ac:dyDescent="0.3">
      <c r="B233" s="3">
        <v>46038</v>
      </c>
      <c r="C233" s="4">
        <v>70985</v>
      </c>
      <c r="D233" s="4" t="s">
        <v>42</v>
      </c>
      <c r="E233" s="5" t="s">
        <v>19</v>
      </c>
      <c r="F233" s="6">
        <v>8</v>
      </c>
      <c r="G233" s="6">
        <v>14</v>
      </c>
    </row>
    <row r="234" spans="2:11" x14ac:dyDescent="0.3">
      <c r="B234" s="3">
        <v>46039</v>
      </c>
      <c r="C234" s="4">
        <v>70986</v>
      </c>
      <c r="D234" s="4" t="s">
        <v>43</v>
      </c>
      <c r="E234" s="5" t="s">
        <v>20</v>
      </c>
      <c r="F234" s="6">
        <v>50</v>
      </c>
      <c r="G234" s="6">
        <v>60</v>
      </c>
    </row>
    <row r="235" spans="2:11" x14ac:dyDescent="0.3">
      <c r="B235" s="3">
        <v>46040</v>
      </c>
      <c r="C235" s="4">
        <v>70958</v>
      </c>
      <c r="D235" s="4" t="s">
        <v>44</v>
      </c>
      <c r="E235" s="5" t="s">
        <v>21</v>
      </c>
      <c r="F235" s="6">
        <v>30</v>
      </c>
      <c r="G235" s="6">
        <v>40</v>
      </c>
    </row>
    <row r="236" spans="2:11" x14ac:dyDescent="0.3">
      <c r="B236" s="3">
        <v>46041</v>
      </c>
      <c r="C236" s="4">
        <v>70950</v>
      </c>
      <c r="D236" s="4" t="s">
        <v>45</v>
      </c>
      <c r="E236" s="5" t="s">
        <v>22</v>
      </c>
      <c r="F236" s="6">
        <v>90</v>
      </c>
      <c r="G236" s="6">
        <v>92</v>
      </c>
    </row>
    <row r="237" spans="2:11" x14ac:dyDescent="0.3">
      <c r="B237" s="3">
        <v>46042</v>
      </c>
      <c r="C237" s="4">
        <v>70951</v>
      </c>
      <c r="D237" s="4" t="s">
        <v>46</v>
      </c>
      <c r="E237" s="5" t="s">
        <v>7</v>
      </c>
      <c r="F237" s="6">
        <v>67</v>
      </c>
      <c r="G237" s="6">
        <v>69</v>
      </c>
    </row>
    <row r="238" spans="2:11" x14ac:dyDescent="0.3">
      <c r="B238" s="3">
        <v>46043</v>
      </c>
      <c r="C238" s="4">
        <v>70952</v>
      </c>
      <c r="D238" s="4" t="s">
        <v>47</v>
      </c>
      <c r="E238" s="5" t="s">
        <v>8</v>
      </c>
      <c r="F238" s="6">
        <v>20</v>
      </c>
      <c r="G238" s="6">
        <v>24</v>
      </c>
    </row>
    <row r="239" spans="2:11" x14ac:dyDescent="0.3">
      <c r="B239" s="3">
        <v>46044</v>
      </c>
      <c r="C239" s="4">
        <v>70954</v>
      </c>
      <c r="D239" s="4" t="s">
        <v>48</v>
      </c>
      <c r="E239" s="5" t="s">
        <v>9</v>
      </c>
      <c r="F239" s="6">
        <v>91</v>
      </c>
      <c r="G239" s="6">
        <v>99</v>
      </c>
    </row>
    <row r="240" spans="2:11" x14ac:dyDescent="0.3">
      <c r="B240" s="3">
        <v>46045</v>
      </c>
      <c r="C240" s="4">
        <v>70955</v>
      </c>
      <c r="D240" s="4" t="s">
        <v>49</v>
      </c>
      <c r="E240" s="5" t="s">
        <v>7</v>
      </c>
      <c r="F240" s="6">
        <v>10</v>
      </c>
      <c r="G240" s="6">
        <v>16</v>
      </c>
    </row>
    <row r="241" spans="2:7" x14ac:dyDescent="0.3">
      <c r="B241" s="3">
        <v>46046</v>
      </c>
      <c r="C241" s="4">
        <v>70956</v>
      </c>
      <c r="D241" s="4" t="s">
        <v>50</v>
      </c>
      <c r="E241" s="5" t="s">
        <v>8</v>
      </c>
      <c r="F241" s="6">
        <v>17</v>
      </c>
      <c r="G241" s="6">
        <v>21</v>
      </c>
    </row>
    <row r="242" spans="2:7" x14ac:dyDescent="0.3">
      <c r="B242" s="3">
        <v>46047</v>
      </c>
      <c r="C242" s="4">
        <v>70798</v>
      </c>
      <c r="D242" s="4" t="s">
        <v>51</v>
      </c>
      <c r="E242" s="5" t="s">
        <v>9</v>
      </c>
      <c r="F242" s="6">
        <v>8</v>
      </c>
      <c r="G242" s="6">
        <v>15</v>
      </c>
    </row>
    <row r="243" spans="2:7" x14ac:dyDescent="0.3">
      <c r="B243" s="3">
        <v>46048</v>
      </c>
      <c r="C243" s="4">
        <v>70958</v>
      </c>
      <c r="D243" s="4" t="s">
        <v>44</v>
      </c>
      <c r="E243" s="5" t="s">
        <v>10</v>
      </c>
      <c r="F243" s="6">
        <v>6</v>
      </c>
      <c r="G243" s="6">
        <v>9</v>
      </c>
    </row>
    <row r="244" spans="2:7" x14ac:dyDescent="0.3">
      <c r="B244" s="7">
        <v>46054</v>
      </c>
      <c r="C244" s="8">
        <v>70030</v>
      </c>
      <c r="D244" s="8" t="s">
        <v>23</v>
      </c>
      <c r="E244" s="9" t="s">
        <v>0</v>
      </c>
      <c r="F244" s="10">
        <v>76</v>
      </c>
      <c r="G244" s="10">
        <v>78</v>
      </c>
    </row>
    <row r="245" spans="2:7" x14ac:dyDescent="0.3">
      <c r="B245" s="3">
        <v>46055</v>
      </c>
      <c r="C245" s="4">
        <v>70183</v>
      </c>
      <c r="D245" s="4" t="s">
        <v>24</v>
      </c>
      <c r="E245" s="5" t="s">
        <v>1</v>
      </c>
      <c r="F245" s="6">
        <v>43</v>
      </c>
      <c r="G245" s="6">
        <v>52</v>
      </c>
    </row>
    <row r="246" spans="2:7" x14ac:dyDescent="0.3">
      <c r="B246" s="3">
        <v>46056</v>
      </c>
      <c r="C246" s="4">
        <v>70133</v>
      </c>
      <c r="D246" s="4" t="s">
        <v>25</v>
      </c>
      <c r="E246" s="5" t="s">
        <v>2</v>
      </c>
      <c r="F246" s="6">
        <v>30</v>
      </c>
      <c r="G246" s="6">
        <v>35</v>
      </c>
    </row>
    <row r="247" spans="2:7" x14ac:dyDescent="0.3">
      <c r="B247" s="3">
        <v>46057</v>
      </c>
      <c r="C247" s="4">
        <v>70504</v>
      </c>
      <c r="D247" s="4" t="s">
        <v>26</v>
      </c>
      <c r="E247" s="5" t="s">
        <v>3</v>
      </c>
      <c r="F247" s="6">
        <v>32</v>
      </c>
      <c r="G247" s="6">
        <v>38</v>
      </c>
    </row>
    <row r="248" spans="2:7" x14ac:dyDescent="0.3">
      <c r="B248" s="3">
        <v>46058</v>
      </c>
      <c r="C248" s="4">
        <v>70786</v>
      </c>
      <c r="D248" s="4" t="s">
        <v>27</v>
      </c>
      <c r="E248" s="5" t="s">
        <v>4</v>
      </c>
      <c r="F248" s="6">
        <v>95</v>
      </c>
      <c r="G248" s="6">
        <v>102</v>
      </c>
    </row>
    <row r="249" spans="2:7" x14ac:dyDescent="0.3">
      <c r="B249" s="3">
        <v>46055</v>
      </c>
      <c r="C249" s="4">
        <v>70833</v>
      </c>
      <c r="D249" s="4" t="s">
        <v>28</v>
      </c>
      <c r="E249" s="5" t="s">
        <v>5</v>
      </c>
      <c r="F249" s="6">
        <v>37</v>
      </c>
      <c r="G249" s="6">
        <v>41</v>
      </c>
    </row>
    <row r="250" spans="2:7" x14ac:dyDescent="0.3">
      <c r="B250" s="3">
        <v>46060</v>
      </c>
      <c r="C250" s="4">
        <v>70835</v>
      </c>
      <c r="D250" s="4" t="s">
        <v>29</v>
      </c>
      <c r="E250" s="5" t="s">
        <v>6</v>
      </c>
      <c r="F250" s="6">
        <v>48</v>
      </c>
      <c r="G250" s="6">
        <v>54</v>
      </c>
    </row>
    <row r="251" spans="2:7" x14ac:dyDescent="0.3">
      <c r="B251" s="3">
        <v>46061</v>
      </c>
      <c r="C251" s="4">
        <v>70839</v>
      </c>
      <c r="D251" s="4" t="s">
        <v>30</v>
      </c>
      <c r="E251" s="5" t="s">
        <v>7</v>
      </c>
      <c r="F251" s="6">
        <v>61</v>
      </c>
      <c r="G251" s="6">
        <v>67</v>
      </c>
    </row>
    <row r="252" spans="2:7" x14ac:dyDescent="0.3">
      <c r="B252" s="3">
        <v>46062</v>
      </c>
      <c r="C252" s="4">
        <v>70837</v>
      </c>
      <c r="D252" s="4" t="s">
        <v>31</v>
      </c>
      <c r="E252" s="5" t="s">
        <v>8</v>
      </c>
      <c r="F252" s="6">
        <v>8</v>
      </c>
      <c r="G252" s="6">
        <v>12</v>
      </c>
    </row>
    <row r="253" spans="2:7" x14ac:dyDescent="0.3">
      <c r="B253" s="3">
        <v>46063</v>
      </c>
      <c r="C253" s="4">
        <v>70894</v>
      </c>
      <c r="D253" s="4" t="s">
        <v>32</v>
      </c>
      <c r="E253" s="5" t="s">
        <v>9</v>
      </c>
      <c r="F253" s="6">
        <v>4</v>
      </c>
      <c r="G253" s="6">
        <v>9</v>
      </c>
    </row>
    <row r="254" spans="2:7" x14ac:dyDescent="0.3">
      <c r="B254" s="3">
        <v>46064</v>
      </c>
      <c r="C254" s="4">
        <v>70793</v>
      </c>
      <c r="D254" s="4" t="s">
        <v>33</v>
      </c>
      <c r="E254" s="5" t="s">
        <v>10</v>
      </c>
      <c r="F254" s="6">
        <v>67</v>
      </c>
      <c r="G254" s="6">
        <v>75</v>
      </c>
    </row>
    <row r="255" spans="2:7" x14ac:dyDescent="0.3">
      <c r="B255" s="3">
        <v>46065</v>
      </c>
      <c r="C255" s="4">
        <v>70791</v>
      </c>
      <c r="D255" s="4" t="s">
        <v>34</v>
      </c>
      <c r="E255" s="5" t="s">
        <v>11</v>
      </c>
      <c r="F255" s="6">
        <v>17</v>
      </c>
      <c r="G255" s="6">
        <v>19</v>
      </c>
    </row>
    <row r="256" spans="2:7" x14ac:dyDescent="0.3">
      <c r="B256" s="3">
        <v>46066</v>
      </c>
      <c r="C256" s="4">
        <v>70963</v>
      </c>
      <c r="D256" s="4" t="s">
        <v>35</v>
      </c>
      <c r="E256" s="5" t="s">
        <v>12</v>
      </c>
      <c r="F256" s="6">
        <v>47</v>
      </c>
      <c r="G256" s="6">
        <v>54</v>
      </c>
    </row>
    <row r="257" spans="2:7" x14ac:dyDescent="0.3">
      <c r="B257" s="3">
        <v>46067</v>
      </c>
      <c r="C257" s="4">
        <v>70968</v>
      </c>
      <c r="D257" s="4" t="s">
        <v>36</v>
      </c>
      <c r="E257" s="5" t="s">
        <v>13</v>
      </c>
      <c r="F257" s="6">
        <v>91</v>
      </c>
      <c r="G257" s="6">
        <v>93</v>
      </c>
    </row>
    <row r="258" spans="2:7" x14ac:dyDescent="0.3">
      <c r="B258" s="3">
        <v>46068</v>
      </c>
      <c r="C258" s="4">
        <v>70961</v>
      </c>
      <c r="D258" s="4" t="s">
        <v>37</v>
      </c>
      <c r="E258" s="5" t="s">
        <v>14</v>
      </c>
      <c r="F258" s="6">
        <v>65</v>
      </c>
      <c r="G258" s="6">
        <v>75</v>
      </c>
    </row>
    <row r="259" spans="2:7" x14ac:dyDescent="0.3">
      <c r="B259" s="3">
        <v>46069</v>
      </c>
      <c r="C259" s="4">
        <v>70983</v>
      </c>
      <c r="D259" s="4" t="s">
        <v>38</v>
      </c>
      <c r="E259" s="5" t="s">
        <v>15</v>
      </c>
      <c r="F259" s="6">
        <v>94</v>
      </c>
      <c r="G259" s="6">
        <v>103</v>
      </c>
    </row>
    <row r="260" spans="2:7" x14ac:dyDescent="0.3">
      <c r="B260" s="3">
        <v>46070</v>
      </c>
      <c r="C260" s="4">
        <v>70981</v>
      </c>
      <c r="D260" s="4" t="s">
        <v>39</v>
      </c>
      <c r="E260" s="5" t="s">
        <v>16</v>
      </c>
      <c r="F260" s="6">
        <v>51</v>
      </c>
      <c r="G260" s="6">
        <v>59</v>
      </c>
    </row>
    <row r="261" spans="2:7" x14ac:dyDescent="0.3">
      <c r="B261" s="3">
        <v>46071</v>
      </c>
      <c r="C261" s="4">
        <v>70980</v>
      </c>
      <c r="D261" s="4" t="s">
        <v>40</v>
      </c>
      <c r="E261" s="5" t="s">
        <v>17</v>
      </c>
      <c r="F261" s="6">
        <v>88</v>
      </c>
      <c r="G261" s="6">
        <v>93</v>
      </c>
    </row>
    <row r="262" spans="2:7" x14ac:dyDescent="0.3">
      <c r="B262" s="3">
        <v>46072</v>
      </c>
      <c r="C262" s="4">
        <v>70979</v>
      </c>
      <c r="D262" s="4" t="s">
        <v>41</v>
      </c>
      <c r="E262" s="5" t="s">
        <v>18</v>
      </c>
      <c r="F262" s="6">
        <v>20</v>
      </c>
      <c r="G262" s="6">
        <v>25</v>
      </c>
    </row>
    <row r="263" spans="2:7" x14ac:dyDescent="0.3">
      <c r="B263" s="3">
        <v>46073</v>
      </c>
      <c r="C263" s="4">
        <v>70985</v>
      </c>
      <c r="D263" s="4" t="s">
        <v>42</v>
      </c>
      <c r="E263" s="5" t="s">
        <v>19</v>
      </c>
      <c r="F263" s="6">
        <v>2</v>
      </c>
      <c r="G263" s="6">
        <v>4</v>
      </c>
    </row>
    <row r="264" spans="2:7" x14ac:dyDescent="0.3">
      <c r="B264" s="3">
        <v>46074</v>
      </c>
      <c r="C264" s="4">
        <v>70986</v>
      </c>
      <c r="D264" s="4" t="s">
        <v>43</v>
      </c>
      <c r="E264" s="5" t="s">
        <v>20</v>
      </c>
      <c r="F264" s="6">
        <v>78</v>
      </c>
      <c r="G264" s="6">
        <v>87</v>
      </c>
    </row>
    <row r="265" spans="2:7" x14ac:dyDescent="0.3">
      <c r="B265" s="3">
        <v>46075</v>
      </c>
      <c r="C265" s="4">
        <v>70958</v>
      </c>
      <c r="D265" s="4" t="s">
        <v>44</v>
      </c>
      <c r="E265" s="5" t="s">
        <v>21</v>
      </c>
      <c r="F265" s="6">
        <v>82</v>
      </c>
      <c r="G265" s="6">
        <v>83</v>
      </c>
    </row>
    <row r="266" spans="2:7" x14ac:dyDescent="0.3">
      <c r="B266" s="3">
        <v>46076</v>
      </c>
      <c r="C266" s="4">
        <v>70950</v>
      </c>
      <c r="D266" s="4" t="s">
        <v>45</v>
      </c>
      <c r="E266" s="5" t="s">
        <v>22</v>
      </c>
      <c r="F266" s="6">
        <v>26</v>
      </c>
      <c r="G266" s="6">
        <v>31</v>
      </c>
    </row>
    <row r="267" spans="2:7" x14ac:dyDescent="0.3">
      <c r="B267" s="3">
        <v>46077</v>
      </c>
      <c r="C267" s="4">
        <v>70951</v>
      </c>
      <c r="D267" s="4" t="s">
        <v>46</v>
      </c>
      <c r="E267" s="5" t="s">
        <v>7</v>
      </c>
      <c r="F267" s="6">
        <v>31</v>
      </c>
      <c r="G267" s="6">
        <v>35</v>
      </c>
    </row>
    <row r="268" spans="2:7" x14ac:dyDescent="0.3">
      <c r="B268" s="3">
        <v>46079</v>
      </c>
      <c r="C268" s="4">
        <v>70952</v>
      </c>
      <c r="D268" s="4" t="s">
        <v>47</v>
      </c>
      <c r="E268" s="5" t="s">
        <v>8</v>
      </c>
      <c r="F268" s="6">
        <v>72</v>
      </c>
      <c r="G268" s="6">
        <v>74</v>
      </c>
    </row>
    <row r="269" spans="2:7" x14ac:dyDescent="0.3">
      <c r="B269" s="3">
        <v>46079</v>
      </c>
      <c r="C269" s="4">
        <v>70952</v>
      </c>
      <c r="D269" s="4" t="s">
        <v>47</v>
      </c>
      <c r="E269" t="s">
        <v>13</v>
      </c>
      <c r="F269" s="6">
        <v>67</v>
      </c>
      <c r="G269" s="6">
        <v>75</v>
      </c>
    </row>
    <row r="270" spans="2:7" x14ac:dyDescent="0.3">
      <c r="B270" s="3">
        <v>46079</v>
      </c>
      <c r="C270" s="4">
        <v>70952</v>
      </c>
      <c r="D270" s="4" t="s">
        <v>47</v>
      </c>
      <c r="E270" t="s">
        <v>13</v>
      </c>
      <c r="F270" s="6">
        <v>67</v>
      </c>
      <c r="G270" s="6">
        <v>75</v>
      </c>
    </row>
  </sheetData>
  <autoFilter ref="B3:G270" xr:uid="{8A757E7F-209C-46AE-B61D-2C3DDAB36719}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Prosenjit Bappi</dc:creator>
  <cp:lastModifiedBy>tahid kazi</cp:lastModifiedBy>
  <dcterms:created xsi:type="dcterms:W3CDTF">2025-06-03T15:55:45Z</dcterms:created>
  <dcterms:modified xsi:type="dcterms:W3CDTF">2026-09-21T07:19:29Z</dcterms:modified>
</cp:coreProperties>
</file>