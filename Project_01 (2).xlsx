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31088F556E2B2F/Documents/Excel project 1/"/>
    </mc:Choice>
  </mc:AlternateContent>
  <xr:revisionPtr revIDLastSave="1111" documentId="8_{761B8EE7-845E-4431-A069-E0C6813DDB48}" xr6:coauthVersionLast="47" xr6:coauthVersionMax="47" xr10:uidLastSave="{783B5487-331C-4411-8D30-65867E7FD178}"/>
  <bookViews>
    <workbookView xWindow="-108" yWindow="-108" windowWidth="23256" windowHeight="12456" activeTab="2" xr2:uid="{1F66B437-D550-4241-AFB4-92256718D79C}"/>
  </bookViews>
  <sheets>
    <sheet name="Row data" sheetId="1" r:id="rId1"/>
    <sheet name="Demo Ans" sheetId="3" r:id="rId2"/>
    <sheet name="Demo Ans 2" sheetId="4" r:id="rId3"/>
    <sheet name="Demo Ans 3" sheetId="5" r:id="rId4"/>
    <sheet name="Sheet2" sheetId="2" state="hidden" r:id="rId5"/>
  </sheets>
  <definedNames>
    <definedName name="_xlnm._FilterDatabase" localSheetId="0" hidden="1">'Row data'!$A$1:$AL$606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G6" i="5"/>
  <c r="G4" i="5"/>
  <c r="I4" i="5" a="1"/>
  <c r="I4" i="5" s="1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5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6" i="5"/>
  <c r="AA5" i="5"/>
  <c r="Z5" i="5" a="1"/>
  <c r="Z5" i="5" s="1"/>
  <c r="S5" i="5" a="1"/>
  <c r="S5" i="5" s="1"/>
  <c r="S5" i="4"/>
  <c r="S6" i="4"/>
  <c r="S7" i="4"/>
  <c r="S8" i="4"/>
  <c r="S9" i="4"/>
  <c r="S10" i="4"/>
  <c r="S11" i="4"/>
  <c r="S4" i="4"/>
  <c r="R5" i="4"/>
  <c r="R6" i="4"/>
  <c r="R7" i="4"/>
  <c r="R8" i="4"/>
  <c r="R9" i="4"/>
  <c r="R10" i="4"/>
  <c r="R11" i="4"/>
  <c r="R4" i="4"/>
  <c r="Q5" i="4"/>
  <c r="Q6" i="4"/>
  <c r="Q7" i="4"/>
  <c r="Q8" i="4"/>
  <c r="Q9" i="4"/>
  <c r="Q10" i="4"/>
  <c r="Q11" i="4"/>
  <c r="Q4" i="4"/>
  <c r="M10" i="4"/>
  <c r="M11" i="4"/>
  <c r="M12" i="4"/>
  <c r="M5" i="4"/>
  <c r="B5" i="4" a="1"/>
  <c r="B5" i="4" s="1"/>
  <c r="C27" i="4" s="1"/>
  <c r="N4" i="5" a="1"/>
  <c r="N4" i="5" s="1"/>
  <c r="O4" i="5" s="1"/>
  <c r="B5" i="5" a="1"/>
  <c r="B5" i="5" s="1"/>
  <c r="C5" i="5" s="1"/>
  <c r="P4" i="4" a="1"/>
  <c r="P4" i="4" s="1"/>
  <c r="L5" i="4" a="1"/>
  <c r="L5" i="4" s="1"/>
  <c r="N5" i="4" s="1"/>
  <c r="G6" i="4" a="1"/>
  <c r="B17" i="3"/>
  <c r="K3" i="1"/>
  <c r="B8" i="3"/>
  <c r="B4" i="3"/>
  <c r="K4" i="1"/>
  <c r="K8" i="1"/>
  <c r="K16" i="1"/>
  <c r="K22" i="1"/>
  <c r="K23" i="1"/>
  <c r="K43" i="1"/>
  <c r="K51" i="1"/>
  <c r="K54" i="1"/>
  <c r="K56" i="1"/>
  <c r="K70" i="1"/>
  <c r="K74" i="1"/>
  <c r="K77" i="1"/>
  <c r="K78" i="1"/>
  <c r="K79" i="1"/>
  <c r="K83" i="1"/>
  <c r="K88" i="1"/>
  <c r="K92" i="1"/>
  <c r="K93" i="1"/>
  <c r="K94" i="1"/>
  <c r="K101" i="1"/>
  <c r="K102" i="1"/>
  <c r="K103" i="1"/>
  <c r="K104" i="1"/>
  <c r="K108" i="1"/>
  <c r="K114" i="1"/>
  <c r="K116" i="1"/>
  <c r="K117" i="1"/>
  <c r="K118" i="1"/>
  <c r="K119" i="1"/>
  <c r="K123" i="1"/>
  <c r="K124" i="1"/>
  <c r="K125" i="1"/>
  <c r="K126" i="1"/>
  <c r="K127" i="1"/>
  <c r="K128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8" i="1"/>
  <c r="K149" i="1"/>
  <c r="K150" i="1"/>
  <c r="K151" i="1"/>
  <c r="K152" i="1"/>
  <c r="K153" i="1"/>
  <c r="K154" i="1"/>
  <c r="K155" i="1"/>
  <c r="K156" i="1"/>
  <c r="K161" i="1"/>
  <c r="K162" i="1"/>
  <c r="K163" i="1"/>
  <c r="K165" i="1"/>
  <c r="K166" i="1"/>
  <c r="K169" i="1"/>
  <c r="K170" i="1"/>
  <c r="K171" i="1"/>
  <c r="K172" i="1"/>
  <c r="K174" i="1"/>
  <c r="K175" i="1"/>
  <c r="K176" i="1"/>
  <c r="K177" i="1"/>
  <c r="K179" i="1"/>
  <c r="K181" i="1"/>
  <c r="K182" i="1"/>
  <c r="K183" i="1"/>
  <c r="K185" i="1"/>
  <c r="K186" i="1"/>
  <c r="K188" i="1"/>
  <c r="K190" i="1"/>
  <c r="K195" i="1"/>
  <c r="K196" i="1"/>
  <c r="K199" i="1"/>
  <c r="K216" i="1"/>
  <c r="K217" i="1"/>
  <c r="K218" i="1"/>
  <c r="K219" i="1"/>
  <c r="K220" i="1"/>
  <c r="K221" i="1"/>
  <c r="K226" i="1"/>
  <c r="K229" i="1"/>
  <c r="K257" i="1"/>
  <c r="K274" i="1"/>
  <c r="K276" i="1"/>
  <c r="K283" i="1"/>
  <c r="K288" i="1"/>
  <c r="K293" i="1"/>
  <c r="K295" i="1"/>
  <c r="K303" i="1"/>
  <c r="K304" i="1"/>
  <c r="K305" i="1"/>
  <c r="K306" i="1"/>
  <c r="K307" i="1"/>
  <c r="K308" i="1"/>
  <c r="K309" i="1"/>
  <c r="K310" i="1"/>
  <c r="K311" i="1"/>
  <c r="K344" i="1"/>
  <c r="K345" i="1"/>
  <c r="K354" i="1"/>
  <c r="K361" i="1"/>
  <c r="K363" i="1"/>
  <c r="K371" i="1"/>
  <c r="K386" i="1"/>
  <c r="K390" i="1"/>
  <c r="K391" i="1"/>
  <c r="K401" i="1"/>
  <c r="K404" i="1"/>
  <c r="K412" i="1"/>
  <c r="K415" i="1"/>
  <c r="K421" i="1"/>
  <c r="K429" i="1"/>
  <c r="K435" i="1"/>
  <c r="K440" i="1"/>
  <c r="K446" i="1"/>
  <c r="K447" i="1"/>
  <c r="K448" i="1"/>
  <c r="K449" i="1"/>
  <c r="K450" i="1"/>
  <c r="K452" i="1"/>
  <c r="K466" i="1"/>
  <c r="K477" i="1"/>
  <c r="K482" i="1"/>
  <c r="K483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13" i="1"/>
  <c r="K515" i="1"/>
  <c r="K527" i="1"/>
  <c r="K528" i="1"/>
  <c r="K530" i="1"/>
  <c r="K531" i="1"/>
  <c r="K532" i="1"/>
  <c r="K533" i="1"/>
  <c r="K535" i="1"/>
  <c r="K536" i="1"/>
  <c r="K537" i="1"/>
  <c r="K538" i="1"/>
  <c r="K541" i="1"/>
  <c r="K546" i="1"/>
  <c r="K547" i="1"/>
  <c r="K548" i="1"/>
  <c r="K549" i="1"/>
  <c r="K550" i="1"/>
  <c r="K551" i="1"/>
  <c r="K552" i="1"/>
  <c r="K556" i="1"/>
  <c r="K557" i="1"/>
  <c r="K558" i="1"/>
  <c r="K559" i="1"/>
  <c r="K561" i="1"/>
  <c r="K562" i="1"/>
  <c r="K563" i="1"/>
  <c r="K566" i="1"/>
  <c r="K567" i="1"/>
  <c r="K568" i="1"/>
  <c r="K569" i="1"/>
  <c r="K570" i="1"/>
  <c r="K571" i="1"/>
  <c r="K575" i="1"/>
  <c r="K576" i="1"/>
  <c r="K577" i="1"/>
  <c r="K578" i="1"/>
  <c r="K579" i="1"/>
  <c r="K580" i="1"/>
  <c r="K581" i="1"/>
  <c r="K582" i="1"/>
  <c r="K583" i="1"/>
  <c r="K584" i="1"/>
  <c r="K597" i="1"/>
  <c r="K600" i="1"/>
  <c r="K601" i="1"/>
  <c r="AJ16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C7" i="5" l="1"/>
  <c r="C6" i="5"/>
  <c r="C12" i="5"/>
  <c r="C11" i="5"/>
  <c r="C10" i="5"/>
  <c r="C9" i="5"/>
  <c r="C8" i="5"/>
  <c r="AB5" i="5"/>
  <c r="C118" i="4"/>
  <c r="C41" i="4"/>
  <c r="C8" i="4"/>
  <c r="C100" i="4"/>
  <c r="C57" i="4"/>
  <c r="C39" i="4"/>
  <c r="C76" i="4"/>
  <c r="C23" i="4"/>
  <c r="C49" i="4"/>
  <c r="C64" i="4"/>
  <c r="C117" i="4"/>
  <c r="C112" i="4"/>
  <c r="C105" i="4"/>
  <c r="C99" i="4"/>
  <c r="C91" i="4"/>
  <c r="C54" i="4"/>
  <c r="C38" i="4"/>
  <c r="C51" i="4"/>
  <c r="C68" i="4"/>
  <c r="C5" i="4"/>
  <c r="C123" i="4"/>
  <c r="C113" i="4"/>
  <c r="C21" i="4"/>
  <c r="C20" i="4"/>
  <c r="C58" i="4"/>
  <c r="C10" i="4"/>
  <c r="C72" i="4"/>
  <c r="C24" i="4"/>
  <c r="C65" i="4"/>
  <c r="C122" i="4"/>
  <c r="C43" i="4"/>
  <c r="C108" i="4"/>
  <c r="C102" i="4"/>
  <c r="C94" i="4"/>
  <c r="C87" i="4"/>
  <c r="C80" i="4"/>
  <c r="C30" i="4"/>
  <c r="C70" i="4"/>
  <c r="C28" i="4"/>
  <c r="M9" i="4"/>
  <c r="C121" i="4"/>
  <c r="C107" i="4"/>
  <c r="C93" i="4"/>
  <c r="C79" i="4"/>
  <c r="C29" i="4"/>
  <c r="M8" i="4"/>
  <c r="C120" i="4"/>
  <c r="C62" i="4"/>
  <c r="C106" i="4"/>
  <c r="C59" i="4"/>
  <c r="C92" i="4"/>
  <c r="C86" i="4"/>
  <c r="C78" i="4"/>
  <c r="C52" i="4"/>
  <c r="C34" i="4"/>
  <c r="C18" i="4"/>
  <c r="M7" i="4"/>
  <c r="C45" i="4"/>
  <c r="C61" i="4"/>
  <c r="C31" i="4"/>
  <c r="C15" i="4"/>
  <c r="C14" i="4"/>
  <c r="C84" i="4"/>
  <c r="C37" i="4"/>
  <c r="C50" i="4"/>
  <c r="C67" i="4"/>
  <c r="C46" i="4"/>
  <c r="C125" i="4"/>
  <c r="C116" i="4"/>
  <c r="C40" i="4"/>
  <c r="C60" i="4"/>
  <c r="C98" i="4"/>
  <c r="C90" i="4"/>
  <c r="C53" i="4"/>
  <c r="C75" i="4"/>
  <c r="C7" i="4"/>
  <c r="C13" i="4"/>
  <c r="C124" i="4"/>
  <c r="C44" i="4"/>
  <c r="C111" i="4"/>
  <c r="C104" i="4"/>
  <c r="C97" i="4"/>
  <c r="C25" i="4"/>
  <c r="C83" i="4"/>
  <c r="C36" i="4"/>
  <c r="C6" i="4"/>
  <c r="C12" i="4"/>
  <c r="C33" i="4"/>
  <c r="C115" i="4"/>
  <c r="C110" i="4"/>
  <c r="C103" i="4"/>
  <c r="C96" i="4"/>
  <c r="C89" i="4"/>
  <c r="C82" i="4"/>
  <c r="C74" i="4"/>
  <c r="C11" i="4"/>
  <c r="C48" i="4"/>
  <c r="C63" i="4"/>
  <c r="C114" i="4"/>
  <c r="C109" i="4"/>
  <c r="C26" i="4"/>
  <c r="C95" i="4"/>
  <c r="C88" i="4"/>
  <c r="C81" i="4"/>
  <c r="C73" i="4"/>
  <c r="C71" i="4"/>
  <c r="C66" i="4"/>
  <c r="C56" i="4"/>
  <c r="C32" i="4"/>
  <c r="C16" i="4"/>
  <c r="C55" i="4"/>
  <c r="C9" i="4"/>
  <c r="C47" i="4"/>
  <c r="C119" i="4"/>
  <c r="C42" i="4"/>
  <c r="C17" i="4"/>
  <c r="C101" i="4"/>
  <c r="C19" i="4"/>
  <c r="C85" i="4"/>
  <c r="C77" i="4"/>
  <c r="C35" i="4"/>
  <c r="C69" i="4"/>
  <c r="C22" i="4"/>
  <c r="M6" i="4"/>
  <c r="AB13" i="5"/>
  <c r="AB24" i="5"/>
  <c r="AB25" i="5"/>
  <c r="AB23" i="5"/>
  <c r="AB12" i="5"/>
  <c r="AB11" i="5"/>
  <c r="AB22" i="5"/>
  <c r="AB10" i="5"/>
  <c r="AB21" i="5"/>
  <c r="AB9" i="5"/>
  <c r="AB32" i="5"/>
  <c r="AB20" i="5"/>
  <c r="AB8" i="5"/>
  <c r="AB29" i="5"/>
  <c r="AB17" i="5"/>
  <c r="AB31" i="5"/>
  <c r="AB19" i="5"/>
  <c r="AB7" i="5"/>
  <c r="AB30" i="5"/>
  <c r="AB18" i="5"/>
  <c r="AB6" i="5"/>
  <c r="AB28" i="5"/>
  <c r="AB16" i="5"/>
  <c r="AB27" i="5"/>
  <c r="AB15" i="5"/>
  <c r="AB26" i="5"/>
  <c r="AB14" i="5"/>
  <c r="O8" i="5"/>
  <c r="O6" i="5"/>
  <c r="O5" i="5"/>
  <c r="O7" i="5"/>
  <c r="P4" i="5"/>
  <c r="P11" i="5"/>
  <c r="P9" i="5"/>
  <c r="P8" i="5"/>
  <c r="O11" i="5"/>
  <c r="P7" i="5"/>
  <c r="H4" i="5"/>
  <c r="P10" i="5"/>
  <c r="O10" i="5"/>
  <c r="P6" i="5"/>
  <c r="O9" i="5"/>
  <c r="P5" i="5"/>
  <c r="N10" i="4"/>
  <c r="N9" i="4"/>
  <c r="N12" i="4"/>
  <c r="N11" i="4"/>
  <c r="N8" i="4"/>
  <c r="N7" i="4"/>
  <c r="N6" i="4"/>
  <c r="H58" i="4"/>
  <c r="H42" i="4"/>
  <c r="H54" i="4"/>
  <c r="H56" i="4"/>
  <c r="H29" i="4"/>
  <c r="H51" i="4"/>
  <c r="H41" i="4"/>
  <c r="H63" i="4"/>
  <c r="H8" i="4"/>
  <c r="H33" i="4"/>
  <c r="H72" i="4"/>
  <c r="H61" i="4"/>
  <c r="H7" i="4"/>
  <c r="H71" i="4"/>
  <c r="H37" i="4"/>
  <c r="H35" i="4"/>
  <c r="H64" i="4"/>
  <c r="H21" i="4"/>
  <c r="H23" i="4"/>
  <c r="H73" i="4"/>
  <c r="H20" i="4"/>
  <c r="H65" i="4"/>
  <c r="H27" i="4"/>
  <c r="H22" i="4"/>
  <c r="I72" i="4" s="1"/>
  <c r="H59" i="4"/>
  <c r="H25" i="4"/>
  <c r="H69" i="4"/>
  <c r="H16" i="4"/>
  <c r="H10" i="4"/>
  <c r="H30" i="4"/>
  <c r="H9" i="4"/>
  <c r="H46" i="4"/>
  <c r="H75" i="4"/>
  <c r="I75" i="4" s="1"/>
  <c r="H62" i="4"/>
  <c r="H76" i="4"/>
  <c r="I76" i="4" s="1"/>
  <c r="H12" i="4"/>
  <c r="H26" i="4"/>
  <c r="H34" i="4"/>
  <c r="H15" i="4"/>
  <c r="H39" i="4"/>
  <c r="H47" i="4"/>
  <c r="H52" i="4"/>
  <c r="H55" i="4"/>
  <c r="H43" i="4"/>
  <c r="H24" i="4"/>
  <c r="H74" i="4"/>
  <c r="H60" i="4"/>
  <c r="H49" i="4"/>
  <c r="H53" i="4"/>
  <c r="H66" i="4"/>
  <c r="H19" i="4"/>
  <c r="H17" i="4"/>
  <c r="H67" i="4"/>
  <c r="H32" i="4"/>
  <c r="H48" i="4"/>
  <c r="H70" i="4"/>
  <c r="I63" i="4" s="1"/>
  <c r="H11" i="4"/>
  <c r="H68" i="4"/>
  <c r="H50" i="4"/>
  <c r="H36" i="4"/>
  <c r="H28" i="4"/>
  <c r="H13" i="4"/>
  <c r="H14" i="4"/>
  <c r="H45" i="4"/>
  <c r="H18" i="4"/>
  <c r="H38" i="4"/>
  <c r="H44" i="4"/>
  <c r="H31" i="4"/>
  <c r="H40" i="4"/>
  <c r="G6" i="4"/>
  <c r="H57" i="4" s="1"/>
  <c r="C36" i="3"/>
  <c r="D36" i="3" s="1"/>
  <c r="C34" i="3"/>
  <c r="C38" i="3"/>
  <c r="D38" i="3" s="1"/>
  <c r="C37" i="3"/>
  <c r="D37" i="3" s="1"/>
  <c r="C35" i="3"/>
  <c r="D35" i="3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I46" i="4" l="1"/>
  <c r="I60" i="4"/>
  <c r="I73" i="4"/>
  <c r="I11" i="4"/>
  <c r="I8" i="4"/>
  <c r="I35" i="4"/>
  <c r="I74" i="4"/>
  <c r="I62" i="4"/>
  <c r="I45" i="4"/>
  <c r="I50" i="4"/>
  <c r="I33" i="4"/>
  <c r="I23" i="4"/>
  <c r="I55" i="4"/>
  <c r="I25" i="4"/>
  <c r="I10" i="4"/>
  <c r="I9" i="4"/>
  <c r="I34" i="4"/>
  <c r="H6" i="4"/>
  <c r="I6" i="4" s="1"/>
  <c r="I26" i="4"/>
  <c r="I21" i="4"/>
  <c r="I61" i="4"/>
  <c r="I42" i="4"/>
  <c r="I18" i="4"/>
  <c r="I49" i="4"/>
  <c r="I38" i="4"/>
  <c r="I69" i="4"/>
  <c r="I32" i="4"/>
  <c r="I41" i="4"/>
  <c r="I47" i="4"/>
  <c r="I39" i="4"/>
  <c r="I20" i="4"/>
  <c r="I14" i="4"/>
  <c r="I54" i="4"/>
  <c r="I43" i="4"/>
  <c r="I65" i="4"/>
  <c r="I66" i="4"/>
  <c r="I13" i="4"/>
  <c r="I19" i="4"/>
  <c r="I29" i="4"/>
  <c r="I17" i="4"/>
  <c r="I27" i="4"/>
  <c r="I68" i="4"/>
  <c r="I52" i="4"/>
  <c r="I70" i="4"/>
  <c r="I28" i="4"/>
  <c r="I36" i="4"/>
  <c r="I56" i="4"/>
  <c r="I22" i="4"/>
  <c r="I67" i="4"/>
  <c r="I30" i="4"/>
  <c r="I37" i="4"/>
  <c r="I31" i="4"/>
  <c r="I53" i="4"/>
  <c r="I40" i="4"/>
  <c r="I7" i="4"/>
  <c r="I64" i="4"/>
  <c r="I24" i="4"/>
  <c r="I48" i="4"/>
  <c r="I71" i="4"/>
  <c r="I16" i="4"/>
  <c r="I58" i="4"/>
  <c r="I12" i="4"/>
  <c r="I44" i="4"/>
  <c r="I59" i="4"/>
  <c r="I51" i="4"/>
  <c r="I15" i="4"/>
  <c r="I57" i="4"/>
  <c r="H6" i="5"/>
  <c r="H5" i="5"/>
  <c r="D39" i="4"/>
  <c r="D86" i="4"/>
  <c r="D15" i="4"/>
  <c r="D7" i="4"/>
  <c r="D71" i="4"/>
  <c r="D41" i="4"/>
  <c r="D68" i="4"/>
  <c r="D18" i="4"/>
  <c r="D20" i="4"/>
  <c r="D106" i="4"/>
  <c r="D98" i="4"/>
  <c r="D72" i="4"/>
  <c r="D27" i="4"/>
  <c r="D43" i="4"/>
  <c r="D16" i="4"/>
  <c r="D53" i="4"/>
  <c r="D104" i="4"/>
  <c r="D30" i="4"/>
  <c r="D56" i="4"/>
  <c r="D11" i="4"/>
  <c r="D60" i="4"/>
  <c r="D121" i="4"/>
  <c r="D79" i="4"/>
  <c r="D9" i="4"/>
  <c r="D108" i="4"/>
  <c r="D115" i="4"/>
  <c r="D54" i="4"/>
  <c r="D36" i="4"/>
  <c r="D8" i="4"/>
  <c r="D21" i="4"/>
  <c r="D64" i="4"/>
  <c r="D78" i="4"/>
  <c r="D45" i="4"/>
  <c r="D48" i="4"/>
  <c r="D87" i="4"/>
  <c r="D22" i="4"/>
  <c r="D76" i="4"/>
  <c r="D125" i="4"/>
  <c r="D105" i="4"/>
  <c r="D90" i="4"/>
  <c r="D69" i="4"/>
  <c r="D49" i="4"/>
  <c r="D25" i="4"/>
  <c r="D62" i="4"/>
  <c r="D28" i="4"/>
  <c r="D35" i="4"/>
  <c r="D40" i="4"/>
  <c r="D33" i="4"/>
  <c r="D13" i="4"/>
  <c r="D89" i="4"/>
  <c r="D66" i="4"/>
  <c r="D85" i="4"/>
  <c r="D113" i="4"/>
  <c r="D81" i="4"/>
  <c r="D119" i="4"/>
  <c r="D24" i="4"/>
  <c r="D99" i="4"/>
  <c r="D34" i="4"/>
  <c r="D88" i="4"/>
  <c r="D19" i="4"/>
  <c r="D23" i="4"/>
  <c r="D102" i="4"/>
  <c r="D93" i="4"/>
  <c r="D97" i="4"/>
  <c r="D26" i="4"/>
  <c r="D120" i="4"/>
  <c r="D111" i="4"/>
  <c r="D58" i="4"/>
  <c r="D100" i="4"/>
  <c r="D55" i="4"/>
  <c r="D47" i="4"/>
  <c r="D114" i="4"/>
  <c r="D117" i="4"/>
  <c r="D61" i="4"/>
  <c r="D37" i="4"/>
  <c r="D122" i="4"/>
  <c r="D123" i="4"/>
  <c r="D70" i="4"/>
  <c r="D112" i="4"/>
  <c r="D103" i="4"/>
  <c r="D95" i="4"/>
  <c r="D31" i="4"/>
  <c r="D10" i="4"/>
  <c r="D73" i="4"/>
  <c r="D12" i="4"/>
  <c r="D84" i="4"/>
  <c r="D65" i="4"/>
  <c r="D92" i="4"/>
  <c r="D74" i="4"/>
  <c r="D77" i="4"/>
  <c r="D59" i="4"/>
  <c r="D52" i="4"/>
  <c r="D83" i="4"/>
  <c r="D80" i="4"/>
  <c r="D29" i="4"/>
  <c r="D94" i="4"/>
  <c r="D124" i="4"/>
  <c r="D32" i="4"/>
  <c r="D107" i="4"/>
  <c r="D67" i="4"/>
  <c r="D46" i="4"/>
  <c r="D38" i="4"/>
  <c r="D109" i="4"/>
  <c r="D42" i="4"/>
  <c r="D51" i="4"/>
  <c r="D116" i="4"/>
  <c r="D63" i="4"/>
  <c r="D57" i="4"/>
  <c r="D14" i="4"/>
  <c r="D75" i="4"/>
  <c r="D5" i="4"/>
  <c r="D101" i="4"/>
  <c r="D118" i="4"/>
  <c r="D17" i="4"/>
  <c r="D44" i="4"/>
  <c r="D6" i="4"/>
  <c r="D91" i="4"/>
  <c r="D82" i="4"/>
  <c r="D50" i="4"/>
  <c r="D110" i="4"/>
  <c r="D96" i="4"/>
  <c r="D34" i="3"/>
  <c r="E13" i="3"/>
  <c r="C13" i="3"/>
  <c r="D22" i="2"/>
  <c r="C22" i="2"/>
  <c r="C22" i="2" a="1"/>
  <c r="B22" i="2"/>
  <c r="E22" i="2"/>
  <c r="B22" i="2" a="1"/>
  <c r="D22" i="2" a="1"/>
  <c r="E22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<sst xmlns="http://schemas.openxmlformats.org/spreadsheetml/2006/main" count="5294" uniqueCount="1074">
  <si>
    <t>SL</t>
  </si>
  <si>
    <t>CompName</t>
  </si>
  <si>
    <t>EmpId</t>
  </si>
  <si>
    <t>Employee Name</t>
  </si>
  <si>
    <t>DeptName</t>
  </si>
  <si>
    <t>SectName</t>
  </si>
  <si>
    <t>DesigName</t>
  </si>
  <si>
    <t>AccountNo</t>
  </si>
  <si>
    <t>JDate</t>
  </si>
  <si>
    <t>QuitDate</t>
  </si>
  <si>
    <t>Gender</t>
  </si>
  <si>
    <t>OT</t>
  </si>
  <si>
    <t>Employee Category</t>
  </si>
  <si>
    <t>Gross</t>
  </si>
  <si>
    <t>Gross Pay</t>
  </si>
  <si>
    <t>Basic</t>
  </si>
  <si>
    <t>HRent</t>
  </si>
  <si>
    <t>Medical</t>
  </si>
  <si>
    <t>TechAllowance</t>
  </si>
  <si>
    <t>ExtraTechAllow</t>
  </si>
  <si>
    <t>OthersAllowance</t>
  </si>
  <si>
    <t>FoodAllowance</t>
  </si>
  <si>
    <t>ConvAllowance</t>
  </si>
  <si>
    <t>Attendance Bonus</t>
  </si>
  <si>
    <t>OT Amount</t>
  </si>
  <si>
    <t>Adjustment Deduction</t>
  </si>
  <si>
    <t>Adjustment Addition</t>
  </si>
  <si>
    <t>Absent Amount</t>
  </si>
  <si>
    <t>Late Amount</t>
  </si>
  <si>
    <t>Loan</t>
  </si>
  <si>
    <t>Tax</t>
  </si>
  <si>
    <t>Stamp</t>
  </si>
  <si>
    <t>Net Payable</t>
  </si>
  <si>
    <t>Bank</t>
  </si>
  <si>
    <t>Cash</t>
  </si>
  <si>
    <t>Year</t>
  </si>
  <si>
    <t>ABC Company Ltd.</t>
  </si>
  <si>
    <t>Abdullah</t>
  </si>
  <si>
    <t>Production</t>
  </si>
  <si>
    <t>Allora</t>
  </si>
  <si>
    <t>Trainee Officer</t>
  </si>
  <si>
    <t>9993204000003460</t>
  </si>
  <si>
    <t>M</t>
  </si>
  <si>
    <t>N</t>
  </si>
  <si>
    <t>Staff</t>
  </si>
  <si>
    <t>Abir</t>
  </si>
  <si>
    <t>Fabric Tearing</t>
  </si>
  <si>
    <t>Head Fitter</t>
  </si>
  <si>
    <t>9993201000357870</t>
  </si>
  <si>
    <t>Ahsan</t>
  </si>
  <si>
    <t>Assistant</t>
  </si>
  <si>
    <t>703204000030529</t>
  </si>
  <si>
    <t>Akash</t>
  </si>
  <si>
    <t>Senior Fitter</t>
  </si>
  <si>
    <t>9993204000003280</t>
  </si>
  <si>
    <t>Alamgir</t>
  </si>
  <si>
    <t>Heatbond</t>
  </si>
  <si>
    <t>Shift Engineer</t>
  </si>
  <si>
    <t>9993204000003430</t>
  </si>
  <si>
    <t>Alif</t>
  </si>
  <si>
    <t>9993204000003420</t>
  </si>
  <si>
    <t>Aminul</t>
  </si>
  <si>
    <t>Senior Supervisor</t>
  </si>
  <si>
    <t>703204000030573</t>
  </si>
  <si>
    <t>Anik</t>
  </si>
  <si>
    <t>Utility &amp; Maintenance</t>
  </si>
  <si>
    <t>Electrical</t>
  </si>
  <si>
    <t>Junior Executive</t>
  </si>
  <si>
    <t>9993204000003300</t>
  </si>
  <si>
    <t>ABC Textile Ltd.</t>
  </si>
  <si>
    <t>Anisur</t>
  </si>
  <si>
    <t>Admin</t>
  </si>
  <si>
    <t>Canteen</t>
  </si>
  <si>
    <t>Assistant Cook</t>
  </si>
  <si>
    <t>703204000030538</t>
  </si>
  <si>
    <t>F</t>
  </si>
  <si>
    <t>Arif</t>
  </si>
  <si>
    <t>703204000030981</t>
  </si>
  <si>
    <t>Ashfaq</t>
  </si>
  <si>
    <t>9993204000004140</t>
  </si>
  <si>
    <t>Asif</t>
  </si>
  <si>
    <t>Aziz</t>
  </si>
  <si>
    <t>Cook</t>
  </si>
  <si>
    <t>9993201000060010</t>
  </si>
  <si>
    <t>Badrul</t>
  </si>
  <si>
    <t>Bashir</t>
  </si>
  <si>
    <t>Factory Affairs</t>
  </si>
  <si>
    <t>Deputy General Manager</t>
  </si>
  <si>
    <t>563201000085448</t>
  </si>
  <si>
    <t>Belal</t>
  </si>
  <si>
    <t>Security</t>
  </si>
  <si>
    <t>Lady Checker</t>
  </si>
  <si>
    <t>9993204000010980</t>
  </si>
  <si>
    <t>Fahim</t>
  </si>
  <si>
    <t>Supports</t>
  </si>
  <si>
    <t>Loader</t>
  </si>
  <si>
    <t>9993204000010070</t>
  </si>
  <si>
    <t>Farhan</t>
  </si>
  <si>
    <t>9993204000009970</t>
  </si>
  <si>
    <t>Faruk</t>
  </si>
  <si>
    <t>9993204000010400</t>
  </si>
  <si>
    <t>Firoz</t>
  </si>
  <si>
    <t>9993204000010440</t>
  </si>
  <si>
    <t>Habib</t>
  </si>
  <si>
    <t>9993204000010490</t>
  </si>
  <si>
    <t>Hafiz</t>
  </si>
  <si>
    <t>Vehicle Management</t>
  </si>
  <si>
    <t>Driver</t>
  </si>
  <si>
    <t>9993204000004970</t>
  </si>
  <si>
    <t>Halim</t>
  </si>
  <si>
    <t>703204000030835</t>
  </si>
  <si>
    <t>Hasan</t>
  </si>
  <si>
    <t>703204000030460</t>
  </si>
  <si>
    <t>Helal</t>
  </si>
  <si>
    <t>Assistant Forklift Driver</t>
  </si>
  <si>
    <t>703204000031248</t>
  </si>
  <si>
    <t>Hossain</t>
  </si>
  <si>
    <t>Delivery</t>
  </si>
  <si>
    <t>703204000031237</t>
  </si>
  <si>
    <t>Iftekhar</t>
  </si>
  <si>
    <t>HR &amp; Compliance</t>
  </si>
  <si>
    <t>Administration</t>
  </si>
  <si>
    <t>Asst. Admin Officer</t>
  </si>
  <si>
    <t>9993204000003200</t>
  </si>
  <si>
    <t>Imran</t>
  </si>
  <si>
    <t>HR</t>
  </si>
  <si>
    <t>Executive</t>
  </si>
  <si>
    <t>9993204000003160</t>
  </si>
  <si>
    <t>Iqbal</t>
  </si>
  <si>
    <t>IT</t>
  </si>
  <si>
    <t>Information Technology</t>
  </si>
  <si>
    <t>9993201000341460</t>
  </si>
  <si>
    <t>Ishtiaq</t>
  </si>
  <si>
    <t>Andritz Geo</t>
  </si>
  <si>
    <t>7863241000026650</t>
  </si>
  <si>
    <t>Jakir</t>
  </si>
  <si>
    <t>9993204000003310</t>
  </si>
  <si>
    <t>Jalal</t>
  </si>
  <si>
    <t>Trainee Shift Engineer</t>
  </si>
  <si>
    <t>9993201000466550</t>
  </si>
  <si>
    <t>Jahangir</t>
  </si>
  <si>
    <t>9993201000306610</t>
  </si>
  <si>
    <t>Jahid</t>
  </si>
  <si>
    <t>Sr. Shift Engineer</t>
  </si>
  <si>
    <t>9993201000061280</t>
  </si>
  <si>
    <t>Jamil</t>
  </si>
  <si>
    <t>Finishing Geo</t>
  </si>
  <si>
    <t>Assistant Bundleman</t>
  </si>
  <si>
    <t>9993204000010420</t>
  </si>
  <si>
    <t>Kabir</t>
  </si>
  <si>
    <t>Geo Local</t>
  </si>
  <si>
    <t>Designer</t>
  </si>
  <si>
    <t>7863241000215250</t>
  </si>
  <si>
    <t>Kamal</t>
  </si>
  <si>
    <t>Supervisor</t>
  </si>
  <si>
    <t>9993201000307850</t>
  </si>
  <si>
    <t>Karim</t>
  </si>
  <si>
    <t>Laser Cutting Machine Operator</t>
  </si>
  <si>
    <t>9993201000308140</t>
  </si>
  <si>
    <t>Khalid</t>
  </si>
  <si>
    <t>Quality Inspector</t>
  </si>
  <si>
    <t>703204000030992</t>
  </si>
  <si>
    <t>Liton</t>
  </si>
  <si>
    <t>Needle Punch</t>
  </si>
  <si>
    <t>Operator</t>
  </si>
  <si>
    <t>9993204000006610</t>
  </si>
  <si>
    <t>Mahbub</t>
  </si>
  <si>
    <t>9993201000321990</t>
  </si>
  <si>
    <t>Mahdi</t>
  </si>
  <si>
    <t>Sewing Geo</t>
  </si>
  <si>
    <t>Assistant Operator</t>
  </si>
  <si>
    <t>9993204000006530</t>
  </si>
  <si>
    <t>Mahfuz</t>
  </si>
  <si>
    <t>703204000030493</t>
  </si>
  <si>
    <t>Mamun</t>
  </si>
  <si>
    <t>Assistant Supervisor</t>
  </si>
  <si>
    <t>703204000030518</t>
  </si>
  <si>
    <t>Maruf</t>
  </si>
  <si>
    <t>703204000030970</t>
  </si>
  <si>
    <t>Mehedi</t>
  </si>
  <si>
    <t>9993201000307840</t>
  </si>
  <si>
    <t>Minhaj</t>
  </si>
  <si>
    <t>Mechanic</t>
  </si>
  <si>
    <t>9993201000060310</t>
  </si>
  <si>
    <t>Miraz</t>
  </si>
  <si>
    <t>General Quality Inspector</t>
  </si>
  <si>
    <t>Mizan</t>
  </si>
  <si>
    <t>Store</t>
  </si>
  <si>
    <t>Store Co-Ordinator(Assistant)</t>
  </si>
  <si>
    <t>9993204000003320</t>
  </si>
  <si>
    <t>Monir</t>
  </si>
  <si>
    <t>Store Officer</t>
  </si>
  <si>
    <t>9993201000063560</t>
  </si>
  <si>
    <t>Mosharraf</t>
  </si>
  <si>
    <t>703204000030540</t>
  </si>
  <si>
    <t>Mostafa</t>
  </si>
  <si>
    <t>9993204000009530</t>
  </si>
  <si>
    <t>Muktadir</t>
  </si>
  <si>
    <t>Junior Executive (Electrical)</t>
  </si>
  <si>
    <t>703204000031099</t>
  </si>
  <si>
    <t>Munna</t>
  </si>
  <si>
    <t>9993201000307920</t>
  </si>
  <si>
    <t>Murad</t>
  </si>
  <si>
    <t>9993201000307860</t>
  </si>
  <si>
    <t>Mustafiz</t>
  </si>
  <si>
    <t>Assistant Electrician</t>
  </si>
  <si>
    <t>1343204000011520</t>
  </si>
  <si>
    <t>Naim</t>
  </si>
  <si>
    <t>703204000030948</t>
  </si>
  <si>
    <t>Nasir</t>
  </si>
  <si>
    <t>703204000031102</t>
  </si>
  <si>
    <t>Nazmul</t>
  </si>
  <si>
    <t>703204000030471</t>
  </si>
  <si>
    <t>Niaz</t>
  </si>
  <si>
    <t>Electrician</t>
  </si>
  <si>
    <t>7863241000346900</t>
  </si>
  <si>
    <t>Nurul</t>
  </si>
  <si>
    <t>Maintenance Officer</t>
  </si>
  <si>
    <t>9993201000374800</t>
  </si>
  <si>
    <t>Parvez</t>
  </si>
  <si>
    <t>Asst. Manager</t>
  </si>
  <si>
    <t>9993201000364090</t>
  </si>
  <si>
    <t>Pritom</t>
  </si>
  <si>
    <t>Mechanical</t>
  </si>
  <si>
    <t>9993201000366020</t>
  </si>
  <si>
    <t>Rahat</t>
  </si>
  <si>
    <t xml:space="preserve"> Assistant Fitter Man</t>
  </si>
  <si>
    <t>703204000030999</t>
  </si>
  <si>
    <t>Rakib</t>
  </si>
  <si>
    <t>9993204000003100</t>
  </si>
  <si>
    <t>Rashid</t>
  </si>
  <si>
    <t>Mechanical Fitter Man</t>
  </si>
  <si>
    <t>783204000012196</t>
  </si>
  <si>
    <t>Rayhan</t>
  </si>
  <si>
    <t>703204000031055</t>
  </si>
  <si>
    <t>Reaz</t>
  </si>
  <si>
    <t>703204000030482</t>
  </si>
  <si>
    <t>ABC J (Bangladesh) Ltd.</t>
  </si>
  <si>
    <t>Ridwan</t>
  </si>
  <si>
    <t>Accounts</t>
  </si>
  <si>
    <t>Senior Executive</t>
  </si>
  <si>
    <t>9993204000003410</t>
  </si>
  <si>
    <t>Rifat</t>
  </si>
  <si>
    <t>Assistant Manager</t>
  </si>
  <si>
    <t>703204000030799</t>
  </si>
  <si>
    <t>Ripon</t>
  </si>
  <si>
    <t>Canteen Boy</t>
  </si>
  <si>
    <t>703204000030458</t>
  </si>
  <si>
    <t>Rizvi</t>
  </si>
  <si>
    <t>Child Care</t>
  </si>
  <si>
    <t>Governess</t>
  </si>
  <si>
    <t>9993204000003210</t>
  </si>
  <si>
    <t>Rubel</t>
  </si>
  <si>
    <t>General Manager</t>
  </si>
  <si>
    <t>703204000030904</t>
  </si>
  <si>
    <t>Rumman</t>
  </si>
  <si>
    <t>Nurse</t>
  </si>
  <si>
    <t>703204000029461</t>
  </si>
  <si>
    <t>Saad</t>
  </si>
  <si>
    <t>Security Trainee Supervisor</t>
  </si>
  <si>
    <t>703204000029528</t>
  </si>
  <si>
    <t>Sabbir</t>
  </si>
  <si>
    <t>Security Guard</t>
  </si>
  <si>
    <t>703204000029348</t>
  </si>
  <si>
    <t>Sadman</t>
  </si>
  <si>
    <t>703204000029417</t>
  </si>
  <si>
    <t>Saeed</t>
  </si>
  <si>
    <t>Security In charge</t>
  </si>
  <si>
    <t>9993204000003500</t>
  </si>
  <si>
    <t>Sagor</t>
  </si>
  <si>
    <t>703204000029392</t>
  </si>
  <si>
    <t>Sajib</t>
  </si>
  <si>
    <t>Lift Operator</t>
  </si>
  <si>
    <t>703204000029541</t>
  </si>
  <si>
    <t>Sajjad</t>
  </si>
  <si>
    <t>70320400031000</t>
  </si>
  <si>
    <t>Saleh</t>
  </si>
  <si>
    <t>9993204000004930</t>
  </si>
  <si>
    <t>Salim</t>
  </si>
  <si>
    <t>Asst. Manager Operation (Bottle &amp; Logistic Support</t>
  </si>
  <si>
    <t>703204000029337</t>
  </si>
  <si>
    <t>Samir</t>
  </si>
  <si>
    <t>Delivery Executive</t>
  </si>
  <si>
    <t>703204000030788</t>
  </si>
  <si>
    <t>Sarwar</t>
  </si>
  <si>
    <t>7863241000485150</t>
  </si>
  <si>
    <t>Shafayet</t>
  </si>
  <si>
    <t>7863241000488270</t>
  </si>
  <si>
    <t>Shahadat</t>
  </si>
  <si>
    <t>1063204000022580</t>
  </si>
  <si>
    <t>Shahid</t>
  </si>
  <si>
    <t>Cutting Export</t>
  </si>
  <si>
    <t>703204000029632</t>
  </si>
  <si>
    <t>Shahriar</t>
  </si>
  <si>
    <t>Finishing Export</t>
  </si>
  <si>
    <t>703204000030926</t>
  </si>
  <si>
    <t>Shaon</t>
  </si>
  <si>
    <t>Senior Packingman</t>
  </si>
  <si>
    <t>9993204000003110</t>
  </si>
  <si>
    <t>Sharif</t>
  </si>
  <si>
    <t>Padding A</t>
  </si>
  <si>
    <t>Senior Operator</t>
  </si>
  <si>
    <t>9993204000006600</t>
  </si>
  <si>
    <t>Shihab</t>
  </si>
  <si>
    <t>Padding Machine Operator</t>
  </si>
  <si>
    <t>9993204000006560</t>
  </si>
  <si>
    <t>Shohag</t>
  </si>
  <si>
    <t>Senior Carding Operator</t>
  </si>
  <si>
    <t>9993204000006590</t>
  </si>
  <si>
    <t>Shuvo</t>
  </si>
  <si>
    <t>Asst. Production Incharge</t>
  </si>
  <si>
    <t>703204000029563</t>
  </si>
  <si>
    <t>Siam</t>
  </si>
  <si>
    <t>In Charge</t>
  </si>
  <si>
    <t>783204000012108</t>
  </si>
  <si>
    <t>Siraj</t>
  </si>
  <si>
    <t>Deputy Production Incharge</t>
  </si>
  <si>
    <t>703204000029483</t>
  </si>
  <si>
    <t>Sohail</t>
  </si>
  <si>
    <t>703204000029381</t>
  </si>
  <si>
    <t>Sohan</t>
  </si>
  <si>
    <t>Senior Quality Inspector</t>
  </si>
  <si>
    <t>703204000029100</t>
  </si>
  <si>
    <t>Sujan</t>
  </si>
  <si>
    <t>703204000029246</t>
  </si>
  <si>
    <t>Sumon</t>
  </si>
  <si>
    <t>Quality</t>
  </si>
  <si>
    <t>703204000030959</t>
  </si>
  <si>
    <t>Tarek</t>
  </si>
  <si>
    <t>703204000030507</t>
  </si>
  <si>
    <t>Tariqul</t>
  </si>
  <si>
    <t>703204000030378</t>
  </si>
  <si>
    <t>Towhid</t>
  </si>
  <si>
    <t>9993204000006640</t>
  </si>
  <si>
    <t>Wahid</t>
  </si>
  <si>
    <t>703204000029009</t>
  </si>
  <si>
    <t>Yasin</t>
  </si>
  <si>
    <t>703204000029097</t>
  </si>
  <si>
    <t>Zakaria</t>
  </si>
  <si>
    <t>703204000029596</t>
  </si>
  <si>
    <t>Zia</t>
  </si>
  <si>
    <t>703204000028988</t>
  </si>
  <si>
    <t>Names:</t>
  </si>
  <si>
    <t>703204000028990</t>
  </si>
  <si>
    <t>Afsana</t>
  </si>
  <si>
    <t>Quilting Export</t>
  </si>
  <si>
    <t>703204000030449</t>
  </si>
  <si>
    <t>Aisha</t>
  </si>
  <si>
    <t>703204000029326</t>
  </si>
  <si>
    <t>Akhi</t>
  </si>
  <si>
    <t>703204000029018</t>
  </si>
  <si>
    <t>Alia</t>
  </si>
  <si>
    <t>Sewing Export</t>
  </si>
  <si>
    <t>703204000030325</t>
  </si>
  <si>
    <t>Anika</t>
  </si>
  <si>
    <t>703204000031113</t>
  </si>
  <si>
    <t>Arifa</t>
  </si>
  <si>
    <t>703204000029086</t>
  </si>
  <si>
    <t>Asma</t>
  </si>
  <si>
    <t>Trainee officer</t>
  </si>
  <si>
    <t>9993204000004210</t>
  </si>
  <si>
    <t>Atia</t>
  </si>
  <si>
    <t>Asst. Production Officer</t>
  </si>
  <si>
    <t>7863241000346950</t>
  </si>
  <si>
    <t>Aziza</t>
  </si>
  <si>
    <t>703204000029359</t>
  </si>
  <si>
    <t>Bashira</t>
  </si>
  <si>
    <t>9993204000004160</t>
  </si>
  <si>
    <t>Bushra</t>
  </si>
  <si>
    <t>703204000029610</t>
  </si>
  <si>
    <t>Dilruba</t>
  </si>
  <si>
    <t>703204000029368</t>
  </si>
  <si>
    <t>Elma</t>
  </si>
  <si>
    <t>Chief Mechanic</t>
  </si>
  <si>
    <t>9993204000003290</t>
  </si>
  <si>
    <t>ABC J Padding &amp; Quilting Ltd.</t>
  </si>
  <si>
    <t>Fahmida</t>
  </si>
  <si>
    <t>Junior Security Guard</t>
  </si>
  <si>
    <t>9993204000007460</t>
  </si>
  <si>
    <t>Farhana</t>
  </si>
  <si>
    <t>9993204000007490</t>
  </si>
  <si>
    <t>Faria</t>
  </si>
  <si>
    <t>9993204000007450</t>
  </si>
  <si>
    <t>Fatema</t>
  </si>
  <si>
    <t>23201000035331</t>
  </si>
  <si>
    <t>Firoza</t>
  </si>
  <si>
    <t>703204000030755</t>
  </si>
  <si>
    <t>Habiba</t>
  </si>
  <si>
    <t>703204000030733</t>
  </si>
  <si>
    <t>Hafsa</t>
  </si>
  <si>
    <t>703204000030584</t>
  </si>
  <si>
    <t>Halima</t>
  </si>
  <si>
    <t>703204000030700</t>
  </si>
  <si>
    <t>Hasina</t>
  </si>
  <si>
    <t>703204000030620</t>
  </si>
  <si>
    <t>Hena</t>
  </si>
  <si>
    <t>703204000031077</t>
  </si>
  <si>
    <t>Hira</t>
  </si>
  <si>
    <t>703204000030653</t>
  </si>
  <si>
    <t>Humaira</t>
  </si>
  <si>
    <t>703204000030722</t>
  </si>
  <si>
    <t>Ifat</t>
  </si>
  <si>
    <t>9993204000003880</t>
  </si>
  <si>
    <t>Iffat</t>
  </si>
  <si>
    <t xml:space="preserve">Security Supervisor </t>
  </si>
  <si>
    <t>9993204000003890</t>
  </si>
  <si>
    <t>Ishrat</t>
  </si>
  <si>
    <t>703204000030711</t>
  </si>
  <si>
    <t>Jannat</t>
  </si>
  <si>
    <t>9993204000003070</t>
  </si>
  <si>
    <t>Jasmin</t>
  </si>
  <si>
    <t>9993204000003060</t>
  </si>
  <si>
    <t>Kaniz</t>
  </si>
  <si>
    <t>Assistant delivery man</t>
  </si>
  <si>
    <t>9993204000009990</t>
  </si>
  <si>
    <t>Karima</t>
  </si>
  <si>
    <t>9993204000010000</t>
  </si>
  <si>
    <t>Labiba</t>
  </si>
  <si>
    <t>9993204000009980</t>
  </si>
  <si>
    <t>Lamia</t>
  </si>
  <si>
    <t>703204000029428</t>
  </si>
  <si>
    <t>Lata</t>
  </si>
  <si>
    <t>9993204000004180</t>
  </si>
  <si>
    <t>Liza</t>
  </si>
  <si>
    <t>9993204000004170</t>
  </si>
  <si>
    <t>Lubna</t>
  </si>
  <si>
    <t>703204000029472</t>
  </si>
  <si>
    <t>Mahmuda</t>
  </si>
  <si>
    <t>703204000029268</t>
  </si>
  <si>
    <t>Mahjabin</t>
  </si>
  <si>
    <t>703204000029279</t>
  </si>
  <si>
    <t>Mahua</t>
  </si>
  <si>
    <t>703204000029654</t>
  </si>
  <si>
    <t>Maleka</t>
  </si>
  <si>
    <t>Sample Machinist</t>
  </si>
  <si>
    <t>703204000030609</t>
  </si>
  <si>
    <t>Maria</t>
  </si>
  <si>
    <t>Peon</t>
  </si>
  <si>
    <t>7863241000344960</t>
  </si>
  <si>
    <t>Marufa</t>
  </si>
  <si>
    <t>703204000029508</t>
  </si>
  <si>
    <t>Mehnaz</t>
  </si>
  <si>
    <t>9993204000004920</t>
  </si>
  <si>
    <t>Mehrin</t>
  </si>
  <si>
    <t>9993204000004940</t>
  </si>
  <si>
    <t>Mehzabin</t>
  </si>
  <si>
    <t>703204000029304</t>
  </si>
  <si>
    <t>Mili</t>
  </si>
  <si>
    <t>703204000030562</t>
  </si>
  <si>
    <t>Mim</t>
  </si>
  <si>
    <t>Asst. Driver</t>
  </si>
  <si>
    <t>9993204000003150</t>
  </si>
  <si>
    <t>Minhaz</t>
  </si>
  <si>
    <t>703204000030937</t>
  </si>
  <si>
    <t>Mitali</t>
  </si>
  <si>
    <t>703204000029552</t>
  </si>
  <si>
    <t>Moushumi</t>
  </si>
  <si>
    <t>9993204000003220</t>
  </si>
  <si>
    <t>Munia</t>
  </si>
  <si>
    <t>1983201000003370</t>
  </si>
  <si>
    <t>Muntaha</t>
  </si>
  <si>
    <t>9993204000003180</t>
  </si>
  <si>
    <t>Nafisa</t>
  </si>
  <si>
    <t>703204000029290</t>
  </si>
  <si>
    <t>Naima</t>
  </si>
  <si>
    <t>9993204000003190</t>
  </si>
  <si>
    <t>Najma</t>
  </si>
  <si>
    <t>1063204000022500</t>
  </si>
  <si>
    <t>Nasima</t>
  </si>
  <si>
    <t>703204000029676</t>
  </si>
  <si>
    <t>Nasrin</t>
  </si>
  <si>
    <t>Delivery Executive (VAT)</t>
  </si>
  <si>
    <t>703204000029224</t>
  </si>
  <si>
    <t>Nazia</t>
  </si>
  <si>
    <t>Padding B</t>
  </si>
  <si>
    <t>Asst. Production Coordinator</t>
  </si>
  <si>
    <t>703204000029519</t>
  </si>
  <si>
    <t>Nazma</t>
  </si>
  <si>
    <t>9993204000003400</t>
  </si>
  <si>
    <t>Nilima</t>
  </si>
  <si>
    <t>703204000030631</t>
  </si>
  <si>
    <t>Nusrat</t>
  </si>
  <si>
    <t>Senior Padding Machine Operator</t>
  </si>
  <si>
    <t>9993204000006570</t>
  </si>
  <si>
    <t>Papiya</t>
  </si>
  <si>
    <t>Winder Machine Operator</t>
  </si>
  <si>
    <t>9993204000006630</t>
  </si>
  <si>
    <t>Parveen</t>
  </si>
  <si>
    <t>Quilting</t>
  </si>
  <si>
    <t>703204000030438</t>
  </si>
  <si>
    <t>Purnima</t>
  </si>
  <si>
    <t>703204000029235</t>
  </si>
  <si>
    <t>Rahima</t>
  </si>
  <si>
    <t>703204000030766</t>
  </si>
  <si>
    <t>Raima</t>
  </si>
  <si>
    <t>Mechanic Helper</t>
  </si>
  <si>
    <t>703204000029494</t>
  </si>
  <si>
    <t>Rakhi</t>
  </si>
  <si>
    <t>9993204000006580</t>
  </si>
  <si>
    <t>Ratna</t>
  </si>
  <si>
    <t>Asst. Executive (Sales &amp; Marketing)</t>
  </si>
  <si>
    <t>703204000030642</t>
  </si>
  <si>
    <t>Rifa</t>
  </si>
  <si>
    <t>Asst. Service Engineer Generator</t>
  </si>
  <si>
    <t>703204000029608</t>
  </si>
  <si>
    <t>703204000029450</t>
  </si>
  <si>
    <t>Rina</t>
  </si>
  <si>
    <t>9993204000010410</t>
  </si>
  <si>
    <t>Ritu</t>
  </si>
  <si>
    <t>9993204000010430</t>
  </si>
  <si>
    <t>Rokeya</t>
  </si>
  <si>
    <t>9993204000010500</t>
  </si>
  <si>
    <t>Romana</t>
  </si>
  <si>
    <t>Fitterman</t>
  </si>
  <si>
    <t>703204000029530</t>
  </si>
  <si>
    <t>Rubina</t>
  </si>
  <si>
    <t>Assistant Fitter Man</t>
  </si>
  <si>
    <t>703204000029687</t>
  </si>
  <si>
    <t>Rumana</t>
  </si>
  <si>
    <t>Leath Man</t>
  </si>
  <si>
    <t>703204000030813</t>
  </si>
  <si>
    <t>Rupa</t>
  </si>
  <si>
    <t>703204000029439</t>
  </si>
  <si>
    <t>Saima</t>
  </si>
  <si>
    <t>703204000030802</t>
  </si>
  <si>
    <t>Sajeda</t>
  </si>
  <si>
    <t>703204000029257</t>
  </si>
  <si>
    <t>Sajia</t>
  </si>
  <si>
    <t>703204000030595</t>
  </si>
  <si>
    <t>Saleha</t>
  </si>
  <si>
    <t>703204000031011</t>
  </si>
  <si>
    <t xml:space="preserve">  Synthetic Fiber Ltd.</t>
  </si>
  <si>
    <t>Samia</t>
  </si>
  <si>
    <t>Bottle</t>
  </si>
  <si>
    <t>Executive Procurement</t>
  </si>
  <si>
    <t>783204000073496</t>
  </si>
  <si>
    <t>Sanzida</t>
  </si>
  <si>
    <t>Asst. Supervisor</t>
  </si>
  <si>
    <t>1063204000022660</t>
  </si>
  <si>
    <t>Sara</t>
  </si>
  <si>
    <t>1063204000022560</t>
  </si>
  <si>
    <t>Sarika</t>
  </si>
  <si>
    <t>Assistant Scale Operator</t>
  </si>
  <si>
    <t>9993204000003090</t>
  </si>
  <si>
    <t>Sayema</t>
  </si>
  <si>
    <t>9993204000003080</t>
  </si>
  <si>
    <t>Seema</t>
  </si>
  <si>
    <t>1063204000022540</t>
  </si>
  <si>
    <t>Selina</t>
  </si>
  <si>
    <t>1063204000022850</t>
  </si>
  <si>
    <t>Shamima</t>
  </si>
  <si>
    <t>703204000031135</t>
  </si>
  <si>
    <t>Sharmin</t>
  </si>
  <si>
    <t>Y</t>
  </si>
  <si>
    <t>Worker</t>
  </si>
  <si>
    <t>Shathi</t>
  </si>
  <si>
    <t>Sheuly</t>
  </si>
  <si>
    <t>Shilpi</t>
  </si>
  <si>
    <t>Shipra</t>
  </si>
  <si>
    <t>Shirin</t>
  </si>
  <si>
    <t>Shoma</t>
  </si>
  <si>
    <t>Sonia</t>
  </si>
  <si>
    <t>Soraya</t>
  </si>
  <si>
    <t>Sumaiya</t>
  </si>
  <si>
    <t>Sumona</t>
  </si>
  <si>
    <t>Suriya</t>
  </si>
  <si>
    <t>Surma</t>
  </si>
  <si>
    <t>Syeda</t>
  </si>
  <si>
    <t>Tahmina</t>
  </si>
  <si>
    <t>Tamanna</t>
  </si>
  <si>
    <t>Tania</t>
  </si>
  <si>
    <t>Tasfia</t>
  </si>
  <si>
    <t>Taslima</t>
  </si>
  <si>
    <t>Tumpa</t>
  </si>
  <si>
    <t>Umme</t>
  </si>
  <si>
    <t>Wahida</t>
  </si>
  <si>
    <t>Yasmin</t>
  </si>
  <si>
    <t>Zannat</t>
  </si>
  <si>
    <t>Zarina</t>
  </si>
  <si>
    <t>Merajul Islam</t>
  </si>
  <si>
    <t>Rana Mia</t>
  </si>
  <si>
    <t>Noyon Ali</t>
  </si>
  <si>
    <t>Foysal Ahmad</t>
  </si>
  <si>
    <t>Begum</t>
  </si>
  <si>
    <t>Hosen</t>
  </si>
  <si>
    <t>Setera Begum</t>
  </si>
  <si>
    <t>Moslima</t>
  </si>
  <si>
    <t>House Keeping</t>
  </si>
  <si>
    <t>Cleaner</t>
  </si>
  <si>
    <t xml:space="preserve">Sweeper </t>
  </si>
  <si>
    <t>Monoara Begum</t>
  </si>
  <si>
    <t>Amena Begum</t>
  </si>
  <si>
    <t>Raziya Akter</t>
  </si>
  <si>
    <t>Popy Akter</t>
  </si>
  <si>
    <t>Suma Akter</t>
  </si>
  <si>
    <t>Assistant Bale Breaker Machine Operator</t>
  </si>
  <si>
    <t>Doly Akter</t>
  </si>
  <si>
    <t>Akter</t>
  </si>
  <si>
    <t>Assistant Winder Machine Operator</t>
  </si>
  <si>
    <t>Hosne Ara</t>
  </si>
  <si>
    <t>Asma Khatun</t>
  </si>
  <si>
    <t>Rina Aktar</t>
  </si>
  <si>
    <t>Dariya</t>
  </si>
  <si>
    <t>Mamotaj Begum</t>
  </si>
  <si>
    <t>General  Winder Machine Operator</t>
  </si>
  <si>
    <t>Ali</t>
  </si>
  <si>
    <t>General  Bale Breaker Machine Operator</t>
  </si>
  <si>
    <t>Forid Mia</t>
  </si>
  <si>
    <t>Cutting Geo</t>
  </si>
  <si>
    <t>Cutter Man</t>
  </si>
  <si>
    <t>Asst. Lay Women</t>
  </si>
  <si>
    <t>Sobuj Miya</t>
  </si>
  <si>
    <t>Farhad Hossain</t>
  </si>
  <si>
    <t>Habeja Akter</t>
  </si>
  <si>
    <t>Begume</t>
  </si>
  <si>
    <t>Bepin</t>
  </si>
  <si>
    <t>Arzina</t>
  </si>
  <si>
    <t>Parvin</t>
  </si>
  <si>
    <t>Ranu Begum</t>
  </si>
  <si>
    <t>Nasima Begum</t>
  </si>
  <si>
    <t>Mala</t>
  </si>
  <si>
    <t>Rawsana</t>
  </si>
  <si>
    <t>Aytunnesa</t>
  </si>
  <si>
    <t>Jamila Begum</t>
  </si>
  <si>
    <t>Shanty Begum</t>
  </si>
  <si>
    <t>Nazma Khatun</t>
  </si>
  <si>
    <t>Khatun</t>
  </si>
  <si>
    <t>Geo Crush</t>
  </si>
  <si>
    <t>Junior Crush Machine Operator</t>
  </si>
  <si>
    <t>Haowa Bibi</t>
  </si>
  <si>
    <t>Robban Begum</t>
  </si>
  <si>
    <t>Shafali Begum</t>
  </si>
  <si>
    <t>Renura Khatun</t>
  </si>
  <si>
    <t>Assistant Sewing Machine Operator</t>
  </si>
  <si>
    <t>Sewing Machine Operator</t>
  </si>
  <si>
    <t>Reshma</t>
  </si>
  <si>
    <t>Aklima</t>
  </si>
  <si>
    <t>Sanjida Akhter</t>
  </si>
  <si>
    <t>Akhter</t>
  </si>
  <si>
    <t>Jorina Akter</t>
  </si>
  <si>
    <t>Nargis Akter</t>
  </si>
  <si>
    <t>Asst. Cutter Man</t>
  </si>
  <si>
    <t>Embroidery Machine Operator</t>
  </si>
  <si>
    <t>Reba</t>
  </si>
  <si>
    <t>Sample Man</t>
  </si>
  <si>
    <t>Firoza Begum</t>
  </si>
  <si>
    <t>Rita</t>
  </si>
  <si>
    <t>Morjina Akter</t>
  </si>
  <si>
    <t>Shahera</t>
  </si>
  <si>
    <t>Junior Operator</t>
  </si>
  <si>
    <t>Dass</t>
  </si>
  <si>
    <t>Morjina Begum</t>
  </si>
  <si>
    <t>9993204000006650</t>
  </si>
  <si>
    <t>Basfor</t>
  </si>
  <si>
    <t>Bibi Hawa</t>
  </si>
  <si>
    <t>Abdul Aziz</t>
  </si>
  <si>
    <t>Abul Kalam Azad</t>
  </si>
  <si>
    <t>Rajon Hossain</t>
  </si>
  <si>
    <t>Mia</t>
  </si>
  <si>
    <t>Alamin</t>
  </si>
  <si>
    <t>9993204000006540</t>
  </si>
  <si>
    <t>Islam</t>
  </si>
  <si>
    <t>Akon</t>
  </si>
  <si>
    <t>Mretul Hossain</t>
  </si>
  <si>
    <t>Bijoy</t>
  </si>
  <si>
    <t>Altaf Hossain</t>
  </si>
  <si>
    <t>Parvaj Mia.</t>
  </si>
  <si>
    <t>9993204000006550</t>
  </si>
  <si>
    <t>Shamim</t>
  </si>
  <si>
    <t>Sohidul Islam Ripon</t>
  </si>
  <si>
    <t>Amin</t>
  </si>
  <si>
    <t>Hossen</t>
  </si>
  <si>
    <t>Midul Islam Howlader</t>
  </si>
  <si>
    <t>Masud Ali</t>
  </si>
  <si>
    <t>Meher Ali</t>
  </si>
  <si>
    <t>Abul Hossain</t>
  </si>
  <si>
    <t>Kausar</t>
  </si>
  <si>
    <t>Nuruzzaman</t>
  </si>
  <si>
    <t>Rahman</t>
  </si>
  <si>
    <t>Nazrul Islam</t>
  </si>
  <si>
    <t>Bormon</t>
  </si>
  <si>
    <t>Babul Hossain</t>
  </si>
  <si>
    <t>Joynuddin</t>
  </si>
  <si>
    <t>Anol Mia</t>
  </si>
  <si>
    <t>Sultana</t>
  </si>
  <si>
    <t>Miya</t>
  </si>
  <si>
    <t>Jayeda Begum</t>
  </si>
  <si>
    <t>Monirul Islam</t>
  </si>
  <si>
    <t>Abu Musha</t>
  </si>
  <si>
    <t>Rasel Hosan</t>
  </si>
  <si>
    <t>Rubel Hossen</t>
  </si>
  <si>
    <t>Sabina Akter</t>
  </si>
  <si>
    <t>Roksena Begum</t>
  </si>
  <si>
    <t>Mazeda Begum</t>
  </si>
  <si>
    <t>Minara</t>
  </si>
  <si>
    <t>Hanefur Rahman</t>
  </si>
  <si>
    <t>Kalam Mia</t>
  </si>
  <si>
    <t>Homaun Kabir</t>
  </si>
  <si>
    <t>Forhad Hosan</t>
  </si>
  <si>
    <t>Jony Biswas</t>
  </si>
  <si>
    <t>Hafijul Islam</t>
  </si>
  <si>
    <t>Junior Sewing Machine Operator</t>
  </si>
  <si>
    <t>Mojno Mia</t>
  </si>
  <si>
    <t>Shoficul islam</t>
  </si>
  <si>
    <t>Tonmoy</t>
  </si>
  <si>
    <t>Khorshed</t>
  </si>
  <si>
    <t>Basir Uddin</t>
  </si>
  <si>
    <t>Amir Hossain</t>
  </si>
  <si>
    <t>Shoriful Islam</t>
  </si>
  <si>
    <t>Ripon Miah</t>
  </si>
  <si>
    <t>Mijanur</t>
  </si>
  <si>
    <t>Mosharof Hossain</t>
  </si>
  <si>
    <t>Nurul Islam</t>
  </si>
  <si>
    <t>Das</t>
  </si>
  <si>
    <t>Alam Mia</t>
  </si>
  <si>
    <t>Mizanur Rahman</t>
  </si>
  <si>
    <t>Manik</t>
  </si>
  <si>
    <t>Shahin Allom Shanto</t>
  </si>
  <si>
    <t>Lay Women</t>
  </si>
  <si>
    <t>Moinul Hoque</t>
  </si>
  <si>
    <t>Rafiqul Islam</t>
  </si>
  <si>
    <t>Arshad Ali</t>
  </si>
  <si>
    <t>Abdul Kader</t>
  </si>
  <si>
    <t>Abdur Rahim</t>
  </si>
  <si>
    <t>Abid Hasan</t>
  </si>
  <si>
    <t>Afzal</t>
  </si>
  <si>
    <t>Akib</t>
  </si>
  <si>
    <t>Alim</t>
  </si>
  <si>
    <t>Anowar</t>
  </si>
  <si>
    <t>Anwarul</t>
  </si>
  <si>
    <t>Ariful</t>
  </si>
  <si>
    <t>Ashik</t>
  </si>
  <si>
    <t>Ataur</t>
  </si>
  <si>
    <t>Azharul</t>
  </si>
  <si>
    <t>Babul</t>
  </si>
  <si>
    <t>Bakhtiar</t>
  </si>
  <si>
    <t>Bappi</t>
  </si>
  <si>
    <t>Delwar</t>
  </si>
  <si>
    <t>Ekramul</t>
  </si>
  <si>
    <t>Emran</t>
  </si>
  <si>
    <t>Ershad</t>
  </si>
  <si>
    <t>Fakhrul</t>
  </si>
  <si>
    <t>Farid</t>
  </si>
  <si>
    <t>Armechar Assistant</t>
  </si>
  <si>
    <t>Golam Rabbani</t>
  </si>
  <si>
    <t>Sweeper</t>
  </si>
  <si>
    <t>9005001700037460</t>
  </si>
  <si>
    <t>Golam Mostafa</t>
  </si>
  <si>
    <t>9005001700037430</t>
  </si>
  <si>
    <t>Goutam</t>
  </si>
  <si>
    <t>Harun</t>
  </si>
  <si>
    <t>Helal Uddin</t>
  </si>
  <si>
    <t>9005001700037450</t>
  </si>
  <si>
    <t>Ilias</t>
  </si>
  <si>
    <t>Assistant Cutter</t>
  </si>
  <si>
    <t>9005001700037470</t>
  </si>
  <si>
    <t>Jahirul</t>
  </si>
  <si>
    <t>Kamruzzaman</t>
  </si>
  <si>
    <t>9005001700037380</t>
  </si>
  <si>
    <t>Khalilur</t>
  </si>
  <si>
    <t>Junior Cutter</t>
  </si>
  <si>
    <t>Kibria</t>
  </si>
  <si>
    <t>Assistant Bundle Man</t>
  </si>
  <si>
    <t>Lutfar Rahman</t>
  </si>
  <si>
    <t>Packing Man</t>
  </si>
  <si>
    <t>Mamunur</t>
  </si>
  <si>
    <t>Assistant Finishing Man</t>
  </si>
  <si>
    <t>9005001700038380</t>
  </si>
  <si>
    <t>Masudur</t>
  </si>
  <si>
    <t>Mazharul</t>
  </si>
  <si>
    <t>Miron</t>
  </si>
  <si>
    <t>9005001700037500</t>
  </si>
  <si>
    <t>Mobarak</t>
  </si>
  <si>
    <t>Mohidul</t>
  </si>
  <si>
    <t>9005001700037480</t>
  </si>
  <si>
    <t>Mohsin</t>
  </si>
  <si>
    <t>9005001700037490</t>
  </si>
  <si>
    <t>Monjur</t>
  </si>
  <si>
    <t>9005001700037420</t>
  </si>
  <si>
    <t>Nasrul</t>
  </si>
  <si>
    <t>9005001700037440</t>
  </si>
  <si>
    <t>Nazrul</t>
  </si>
  <si>
    <t>9005001700037410</t>
  </si>
  <si>
    <t>Nizam</t>
  </si>
  <si>
    <t>Assistant Winder Operator</t>
  </si>
  <si>
    <t>Nur Hossain</t>
  </si>
  <si>
    <t>9005001700038390</t>
  </si>
  <si>
    <t>Omar Faruk</t>
  </si>
  <si>
    <t>Piyash</t>
  </si>
  <si>
    <t>9005001700037390</t>
  </si>
  <si>
    <t>Qamrul</t>
  </si>
  <si>
    <t xml:space="preserve">Bale Breaker Machine Operator </t>
  </si>
  <si>
    <t>Rafiqul</t>
  </si>
  <si>
    <t>9005001700037400</t>
  </si>
  <si>
    <t>Rajib</t>
  </si>
  <si>
    <t>Rakibur</t>
  </si>
  <si>
    <t>Rashedul</t>
  </si>
  <si>
    <t>Junior bale breaker machine operator</t>
  </si>
  <si>
    <t>Rejwan</t>
  </si>
  <si>
    <t>Ruhul Amin</t>
  </si>
  <si>
    <t>Junior Resin Mix. Operator</t>
  </si>
  <si>
    <t>Russel</t>
  </si>
  <si>
    <t>Sakhawat</t>
  </si>
  <si>
    <t>Salam</t>
  </si>
  <si>
    <t>Salman</t>
  </si>
  <si>
    <t>Shamsul</t>
  </si>
  <si>
    <t>Shariful</t>
  </si>
  <si>
    <t>Shoaib</t>
  </si>
  <si>
    <t>Shofiqul</t>
  </si>
  <si>
    <t>Sulaiman</t>
  </si>
  <si>
    <t>9005001700043090</t>
  </si>
  <si>
    <t>Tajul</t>
  </si>
  <si>
    <t>Tamim</t>
  </si>
  <si>
    <t>Tanim</t>
  </si>
  <si>
    <t>Towfiq</t>
  </si>
  <si>
    <t>Ujjal</t>
  </si>
  <si>
    <t>Wahidur</t>
  </si>
  <si>
    <t>Assistant Rolling Man</t>
  </si>
  <si>
    <t>Wasif</t>
  </si>
  <si>
    <t>Yamin</t>
  </si>
  <si>
    <t>Yusuf</t>
  </si>
  <si>
    <t>Continued):</t>
  </si>
  <si>
    <t>Adiba</t>
  </si>
  <si>
    <t>Anjuman</t>
  </si>
  <si>
    <t>Ayesha</t>
  </si>
  <si>
    <t>Banya</t>
  </si>
  <si>
    <t>Chandni</t>
  </si>
  <si>
    <t>Dilshad</t>
  </si>
  <si>
    <t>Hasnita</t>
  </si>
  <si>
    <t>Marjia</t>
  </si>
  <si>
    <t>Rojina</t>
  </si>
  <si>
    <t>Tahera</t>
  </si>
  <si>
    <t>Aaron</t>
  </si>
  <si>
    <t>Abby</t>
  </si>
  <si>
    <t>Adam</t>
  </si>
  <si>
    <t>Adriana</t>
  </si>
  <si>
    <t>Aiden</t>
  </si>
  <si>
    <t>Alexa</t>
  </si>
  <si>
    <t>Alex</t>
  </si>
  <si>
    <t>Rolling Man</t>
  </si>
  <si>
    <t>Alice</t>
  </si>
  <si>
    <t>Amanda</t>
  </si>
  <si>
    <t>Amelia</t>
  </si>
  <si>
    <t>Andre</t>
  </si>
  <si>
    <t>Andrew</t>
  </si>
  <si>
    <t>Angela</t>
  </si>
  <si>
    <t>Asst. Quilting Machine Operator</t>
  </si>
  <si>
    <t>Anna</t>
  </si>
  <si>
    <t>Quilting Machine Operator</t>
  </si>
  <si>
    <t>Anthony</t>
  </si>
  <si>
    <t>April</t>
  </si>
  <si>
    <t>Arianna</t>
  </si>
  <si>
    <t>Arthur</t>
  </si>
  <si>
    <t>Ashley</t>
  </si>
  <si>
    <t>Asher</t>
  </si>
  <si>
    <t>Austin</t>
  </si>
  <si>
    <t>Autumn</t>
  </si>
  <si>
    <t>Ava</t>
  </si>
  <si>
    <t>Avery</t>
  </si>
  <si>
    <t>Barbara</t>
  </si>
  <si>
    <t>Benjamin</t>
  </si>
  <si>
    <t>Bethany</t>
  </si>
  <si>
    <t>Blake</t>
  </si>
  <si>
    <t>Brandon</t>
  </si>
  <si>
    <t>Brianna</t>
  </si>
  <si>
    <t>Brittany</t>
  </si>
  <si>
    <t>Brock</t>
  </si>
  <si>
    <t>Brooklyn</t>
  </si>
  <si>
    <t>Caleb</t>
  </si>
  <si>
    <t>Cameron</t>
  </si>
  <si>
    <t>Carl</t>
  </si>
  <si>
    <t>Carlos</t>
  </si>
  <si>
    <t>Carter</t>
  </si>
  <si>
    <t>Cassandra</t>
  </si>
  <si>
    <t>Catherine</t>
  </si>
  <si>
    <t>Charles</t>
  </si>
  <si>
    <t>Charlotte</t>
  </si>
  <si>
    <t>Chloe</t>
  </si>
  <si>
    <t>Christian</t>
  </si>
  <si>
    <t>Christina</t>
  </si>
  <si>
    <t>Christopher</t>
  </si>
  <si>
    <t>Claire</t>
  </si>
  <si>
    <t>Clara</t>
  </si>
  <si>
    <t>Connor</t>
  </si>
  <si>
    <t>Cooper</t>
  </si>
  <si>
    <t>Courtney</t>
  </si>
  <si>
    <t>Damian</t>
  </si>
  <si>
    <t>Daniel</t>
  </si>
  <si>
    <t>Danielle</t>
  </si>
  <si>
    <t>David</t>
  </si>
  <si>
    <t>Dean</t>
  </si>
  <si>
    <t>Delilah</t>
  </si>
  <si>
    <t>Derek</t>
  </si>
  <si>
    <t>Devin</t>
  </si>
  <si>
    <t>Diana</t>
  </si>
  <si>
    <t>Dominic</t>
  </si>
  <si>
    <t>Dylan</t>
  </si>
  <si>
    <t>Edward</t>
  </si>
  <si>
    <t>Elena</t>
  </si>
  <si>
    <t>Eli</t>
  </si>
  <si>
    <t>Elias</t>
  </si>
  <si>
    <t>Gardener</t>
  </si>
  <si>
    <t>Elijah</t>
  </si>
  <si>
    <t>Auto Driver</t>
  </si>
  <si>
    <t>Elizabeth</t>
  </si>
  <si>
    <t>Ella</t>
  </si>
  <si>
    <t>Elliot</t>
  </si>
  <si>
    <t>Emily</t>
  </si>
  <si>
    <t>Emma</t>
  </si>
  <si>
    <t>Eric</t>
  </si>
  <si>
    <t>Ethan</t>
  </si>
  <si>
    <t>Evan</t>
  </si>
  <si>
    <t>Evelyn</t>
  </si>
  <si>
    <t>Faith</t>
  </si>
  <si>
    <t>General Quality</t>
  </si>
  <si>
    <t>Finn</t>
  </si>
  <si>
    <t>Fiona</t>
  </si>
  <si>
    <t>Francesca</t>
  </si>
  <si>
    <t>Gabriel</t>
  </si>
  <si>
    <t>Junior Winder Operator</t>
  </si>
  <si>
    <t>Gabriella</t>
  </si>
  <si>
    <t>Garrett</t>
  </si>
  <si>
    <t>Gavin</t>
  </si>
  <si>
    <t>Resin Mix Machine Operator</t>
  </si>
  <si>
    <t>Assistant Carding Machine Operator</t>
  </si>
  <si>
    <t>George</t>
  </si>
  <si>
    <t>Grace</t>
  </si>
  <si>
    <t>Grayson</t>
  </si>
  <si>
    <t>Hailey</t>
  </si>
  <si>
    <t>Hannah</t>
  </si>
  <si>
    <t>Harper</t>
  </si>
  <si>
    <t>Harrison</t>
  </si>
  <si>
    <t>Hayden</t>
  </si>
  <si>
    <t>Henry</t>
  </si>
  <si>
    <t>General Bale Breaker Machine Operator</t>
  </si>
  <si>
    <t>Hudson</t>
  </si>
  <si>
    <t>Hunter</t>
  </si>
  <si>
    <t>Isaac</t>
  </si>
  <si>
    <t>Assistant Rolling-man</t>
  </si>
  <si>
    <t>Isabella</t>
  </si>
  <si>
    <t>Isabelle</t>
  </si>
  <si>
    <t>Isaiah</t>
  </si>
  <si>
    <t>Jack</t>
  </si>
  <si>
    <t>Jackson</t>
  </si>
  <si>
    <t>Jacob</t>
  </si>
  <si>
    <t>James</t>
  </si>
  <si>
    <t>Jasmine</t>
  </si>
  <si>
    <t>Jason</t>
  </si>
  <si>
    <t>Jasper</t>
  </si>
  <si>
    <t>Jeffrey</t>
  </si>
  <si>
    <t>Jennifer</t>
  </si>
  <si>
    <t>Jeremy</t>
  </si>
  <si>
    <t>Jessica</t>
  </si>
  <si>
    <t>Joel</t>
  </si>
  <si>
    <t>ABC Fiber Ltd.</t>
  </si>
  <si>
    <t>John</t>
  </si>
  <si>
    <t>Jonathan</t>
  </si>
  <si>
    <t>Jordan</t>
  </si>
  <si>
    <t>Joseph</t>
  </si>
  <si>
    <t>Joshua</t>
  </si>
  <si>
    <t>Julia</t>
  </si>
  <si>
    <t>Julian</t>
  </si>
  <si>
    <t>Justin</t>
  </si>
  <si>
    <t>Kaitlyn</t>
  </si>
  <si>
    <t>Katherine</t>
  </si>
  <si>
    <t>Kayla</t>
  </si>
  <si>
    <t>Kevin</t>
  </si>
  <si>
    <t>Kimberly</t>
  </si>
  <si>
    <t>Kyle</t>
  </si>
  <si>
    <t>Laura</t>
  </si>
  <si>
    <t>Lauren</t>
  </si>
  <si>
    <t>Leah</t>
  </si>
  <si>
    <t>Leonardo</t>
  </si>
  <si>
    <t>Bottle Cutting Man</t>
  </si>
  <si>
    <t>Lily</t>
  </si>
  <si>
    <t>Logan</t>
  </si>
  <si>
    <t>Lucas</t>
  </si>
  <si>
    <t>Wash machine operator</t>
  </si>
  <si>
    <t>Lucy</t>
  </si>
  <si>
    <t>Madison</t>
  </si>
  <si>
    <t>Asst. Drayer machine operator</t>
  </si>
  <si>
    <t>Mark</t>
  </si>
  <si>
    <t>Matthew</t>
  </si>
  <si>
    <t>Maya</t>
  </si>
  <si>
    <t>Megan</t>
  </si>
  <si>
    <t>Michael</t>
  </si>
  <si>
    <t>1. How many employees are currently working in the company?</t>
  </si>
  <si>
    <t>2. What is the gender distribution of employees?</t>
  </si>
  <si>
    <t>COUNT</t>
  </si>
  <si>
    <t>Countifs</t>
  </si>
  <si>
    <t>3. What is the average age of employees Male and Femaile?</t>
  </si>
  <si>
    <t>Averageif</t>
  </si>
  <si>
    <t>4. How many employees joined each year?</t>
  </si>
  <si>
    <t>Countif</t>
  </si>
  <si>
    <t>5. What is the attrition rate (employees who quit per year)?</t>
  </si>
  <si>
    <t>Percentage</t>
  </si>
  <si>
    <t>Total Quit</t>
  </si>
  <si>
    <t>Total Emmployee</t>
  </si>
  <si>
    <t>Row Labels</t>
  </si>
  <si>
    <t>Grand Total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</si>
  <si>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</si>
  <si>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</si>
  <si>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</si>
  <si>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</si>
  <si>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</si>
  <si>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</si>
  <si>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</si>
  <si>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</si>
  <si>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</si>
  <si>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</si>
  <si>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</si>
  <si>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</si>
  <si>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</si>
  <si>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</si>
  <si>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</si>
  <si>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</si>
  <si>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</si>
  <si>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</si>
  <si>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</si>
  <si>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</si>
  <si>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</si>
  <si>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</si>
  <si>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</si>
  <si>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</si>
  <si>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</si>
  <si>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</si>
  <si>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</si>
  <si>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</si>
  <si>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</si>
  <si>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</si>
  <si>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</si>
  <si>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Count of Employee Name</t>
  </si>
  <si>
    <t>Count of QuitDate</t>
  </si>
  <si>
    <t>Quit_Year</t>
  </si>
  <si>
    <t>BirthDate</t>
  </si>
  <si>
    <t>3. What is the average age of employees Male and Female?</t>
  </si>
  <si>
    <t>Age</t>
  </si>
  <si>
    <t>4. How many employees joined this year?</t>
  </si>
  <si>
    <t>400 Male and 205 Female</t>
  </si>
  <si>
    <t>Department</t>
  </si>
  <si>
    <t>6. What is the distribution of employees by designation name?</t>
  </si>
  <si>
    <t>7. What is the distribution of employees by department and designation?</t>
  </si>
  <si>
    <t>8. What is the average Total in each department?</t>
  </si>
  <si>
    <t>Join</t>
  </si>
  <si>
    <t>9. Which department has the highest turnover rate? 
(depend on the total quit employees)</t>
  </si>
  <si>
    <r>
      <t>5. What is the attrition rate (employees who quit last 5</t>
    </r>
    <r>
      <rPr>
        <sz val="11"/>
        <color theme="1"/>
        <rFont val="Aptos Narrow"/>
        <family val="2"/>
        <scheme val="minor"/>
      </rPr>
      <t xml:space="preserve"> years)</t>
    </r>
  </si>
  <si>
    <t>Salary</t>
  </si>
  <si>
    <t>EMP Name</t>
  </si>
  <si>
    <t>12 Total Overtime Pay by Department</t>
  </si>
  <si>
    <t>11. Identify Employees with Highest Net Pay (Top 3)</t>
  </si>
  <si>
    <r>
      <rPr>
        <b/>
        <sz val="11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 xml:space="preserve">.  </t>
    </r>
    <r>
      <rPr>
        <b/>
        <sz val="11"/>
        <color theme="1"/>
        <rFont val="Aptos Narrow"/>
        <family val="2"/>
        <scheme val="minor"/>
      </rPr>
      <t>Average Salary by Department (Dynamic Lookup)</t>
    </r>
  </si>
  <si>
    <t>Quit</t>
  </si>
  <si>
    <t>13 Employees with High Overtime but Low Salary</t>
  </si>
  <si>
    <t>Overtime High and low salary</t>
  </si>
  <si>
    <t>Prosenjit Bappi</t>
  </si>
  <si>
    <t>14  Employee Loan vs. Net Pay Analysis</t>
  </si>
  <si>
    <t xml:space="preserve"> Total Quit</t>
  </si>
  <si>
    <t xml:space="preserve"> </t>
  </si>
  <si>
    <t>Male</t>
  </si>
  <si>
    <t>Female</t>
  </si>
  <si>
    <t>Designation</t>
  </si>
  <si>
    <t>Employee</t>
  </si>
  <si>
    <t xml:space="preserve"> Distribution</t>
  </si>
  <si>
    <t xml:space="preserve">Distribution </t>
  </si>
  <si>
    <t xml:space="preserve"> OT</t>
  </si>
  <si>
    <t>OT Pay</t>
  </si>
  <si>
    <t>Low Salery</t>
  </si>
  <si>
    <t>Lone Amount</t>
  </si>
  <si>
    <t>Net Payble</t>
  </si>
  <si>
    <t>Percent</t>
  </si>
  <si>
    <t>Avg. Gross Pay</t>
  </si>
  <si>
    <t>Avg. Gross</t>
  </si>
  <si>
    <t>Average salary (Gross)</t>
  </si>
  <si>
    <t>Net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</si>
</sst>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yyyy\-mm\-dd;@"/>
    <numFmt numFmtId="165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theme="1"/>
      <name val="Amasis MT Pro Light"/>
      <family val="1"/>
    </font>
    <font>
      <b/>
      <sz val="11"/>
      <color theme="1"/>
      <name val="Amasis MT Pro Black"/>
      <family val="1"/>
    </font>
    <font>
      <b/>
      <sz val="11"/>
      <color theme="0"/>
      <name val="Amasis MT Pro"/>
      <family val="1"/>
    </font>
    <font>
      <b/>
      <sz val="10"/>
      <color theme="0"/>
      <name val="Amasis MT Pro Light"/>
      <family val="1"/>
    </font>
    <font>
      <sz val="8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FFFFF"/>
      <name val="Aptos Narrow"/>
    </font>
    <font>
      <sz val="14"/>
      <color theme="0"/>
      <name val="Amasis MT Pro Medium"/>
      <family val="1"/>
    </font>
    <font>
      <b/>
      <sz val="11"/>
      <color theme="1"/>
      <name val="Amasis MT Pro"/>
      <family val="1"/>
    </font>
    <font>
      <b/>
      <sz val="11"/>
      <color theme="0"/>
      <name val="Amasis MT Pro Medium"/>
      <family val="1"/>
    </font>
    <font>
      <b/>
      <sz val="11"/>
      <color rgb="FFFFFFFF"/>
      <name val="Aptos Narrow"/>
      <family val="2"/>
    </font>
    <font>
      <i/>
      <sz val="11"/>
      <color rgb="FF666666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5" borderId="0" applyNumberFormat="0" applyBorder="0" applyAlignment="0" applyProtection="0"/>
    <xf numFmtId="0" fontId="4" fillId="7" borderId="0" applyNumberFormat="0" applyBorder="0" applyAlignment="0" applyProtection="0"/>
    <xf numFmtId="0" fontId="14" fillId="10" borderId="0" applyNumberFormat="0" applyBorder="0" applyAlignment="0" applyProtection="0"/>
  </cellStyleXfs>
  <cellXfs count="94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164" fontId="0" fillId="0" borderId="0" xfId="0" applyNumberFormat="1"/>
    <xf numFmtId="43" fontId="0" fillId="0" borderId="0" xfId="1" applyFont="1"/>
    <xf numFmtId="0" fontId="3" fillId="4" borderId="0" xfId="0" applyFont="1" applyFill="1"/>
    <xf numFmtId="0" fontId="3" fillId="4" borderId="0" xfId="0" applyFont="1" applyFill="1" applyAlignment="1">
      <alignment horizontal="right" vertical="center"/>
    </xf>
    <xf numFmtId="0" fontId="0" fillId="4" borderId="0" xfId="0" applyFill="1"/>
    <xf numFmtId="0" fontId="0" fillId="0" borderId="0" xfId="0" applyAlignment="1">
      <alignment horizontal="centerContinuous"/>
    </xf>
    <xf numFmtId="0" fontId="3" fillId="4" borderId="0" xfId="0" applyFont="1" applyFill="1" applyAlignment="1">
      <alignment horizontal="left" vertical="center"/>
    </xf>
    <xf numFmtId="9" fontId="0" fillId="0" borderId="0" xfId="2" applyFont="1"/>
    <xf numFmtId="0" fontId="3" fillId="0" borderId="0" xfId="0" applyFont="1" applyAlignment="1">
      <alignment horizontal="center" vertical="center" wrapText="1"/>
    </xf>
    <xf numFmtId="0" fontId="0" fillId="0" borderId="0" xfId="0" pivotButton="1"/>
    <xf numFmtId="0" fontId="2" fillId="2" borderId="0" xfId="3" applyFont="1" applyAlignment="1">
      <alignment horizontal="center" vertical="center" wrapText="1"/>
    </xf>
    <xf numFmtId="0" fontId="0" fillId="0" borderId="2" xfId="1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0" xfId="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 vertical="center"/>
    </xf>
    <xf numFmtId="0" fontId="6" fillId="0" borderId="0" xfId="0" applyFont="1"/>
    <xf numFmtId="1" fontId="3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9" fontId="0" fillId="0" borderId="1" xfId="2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3" borderId="0" xfId="4" applyFont="1" applyBorder="1" applyAlignment="1">
      <alignment horizontal="center" vertical="center"/>
    </xf>
    <xf numFmtId="0" fontId="2" fillId="3" borderId="7" xfId="4" applyFont="1" applyBorder="1" applyAlignment="1">
      <alignment horizontal="center" vertical="center"/>
    </xf>
    <xf numFmtId="0" fontId="2" fillId="3" borderId="7" xfId="4" applyFont="1" applyBorder="1" applyAlignment="1">
      <alignment horizontal="left" vertical="center"/>
    </xf>
    <xf numFmtId="49" fontId="2" fillId="3" borderId="7" xfId="4" applyNumberFormat="1" applyFont="1" applyBorder="1" applyAlignment="1">
      <alignment horizontal="center" vertical="center"/>
    </xf>
    <xf numFmtId="164" fontId="2" fillId="3" borderId="7" xfId="4" applyNumberFormat="1" applyFont="1" applyBorder="1" applyAlignment="1">
      <alignment horizontal="center" vertical="center"/>
    </xf>
    <xf numFmtId="0" fontId="2" fillId="3" borderId="7" xfId="4" applyNumberFormat="1" applyFont="1" applyBorder="1" applyAlignment="1">
      <alignment horizontal="center" vertical="center"/>
    </xf>
    <xf numFmtId="43" fontId="2" fillId="3" borderId="7" xfId="4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2" applyNumberFormat="1" applyFont="1" applyFill="1" applyAlignment="1">
      <alignment horizontal="center" vertical="center"/>
    </xf>
    <xf numFmtId="0" fontId="4" fillId="5" borderId="1" xfId="5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9" fillId="0" borderId="1" xfId="2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0" fillId="0" borderId="1" xfId="0" applyBorder="1"/>
    <xf numFmtId="0" fontId="12" fillId="7" borderId="1" xfId="6" applyFont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2" fillId="9" borderId="1" xfId="0" applyFont="1" applyFill="1" applyBorder="1"/>
    <xf numFmtId="0" fontId="13" fillId="0" borderId="0" xfId="0" applyFont="1"/>
    <xf numFmtId="9" fontId="0" fillId="0" borderId="1" xfId="2" applyFont="1" applyBorder="1"/>
    <xf numFmtId="0" fontId="15" fillId="0" borderId="0" xfId="0" applyFont="1" applyAlignment="1">
      <alignment horizontal="center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0" fontId="0" fillId="11" borderId="1" xfId="0" applyFill="1" applyBorder="1" applyAlignment="1">
      <alignment horizontal="center" vertical="center"/>
    </xf>
    <xf numFmtId="9" fontId="0" fillId="11" borderId="1" xfId="2" applyFont="1" applyFill="1" applyBorder="1" applyAlignment="1">
      <alignment horizontal="center" vertical="center"/>
    </xf>
    <xf numFmtId="0" fontId="17" fillId="6" borderId="1" xfId="5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4" fillId="5" borderId="8" xfId="5" applyBorder="1" applyAlignment="1">
      <alignment horizontal="center" vertical="center"/>
    </xf>
    <xf numFmtId="0" fontId="4" fillId="0" borderId="0" xfId="5" applyFill="1" applyBorder="1" applyAlignment="1">
      <alignment horizontal="center" vertical="center"/>
    </xf>
    <xf numFmtId="2" fontId="9" fillId="0" borderId="0" xfId="2" applyNumberFormat="1" applyFont="1" applyFill="1" applyBorder="1" applyAlignment="1">
      <alignment horizontal="center" vertical="center"/>
    </xf>
    <xf numFmtId="165" fontId="0" fillId="0" borderId="0" xfId="2" applyNumberFormat="1" applyFont="1" applyAlignment="1">
      <alignment horizontal="center" vertical="top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14" fillId="10" borderId="1" xfId="7" applyBorder="1" applyAlignment="1">
      <alignment horizontal="left" vertical="center"/>
    </xf>
    <xf numFmtId="0" fontId="14" fillId="10" borderId="1" xfId="7" applyBorder="1" applyAlignment="1">
      <alignment horizontal="center" vertical="center"/>
    </xf>
    <xf numFmtId="9" fontId="14" fillId="10" borderId="1" xfId="7" applyNumberFormat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3" fontId="0" fillId="0" borderId="0" xfId="0" applyNumberFormat="1" applyAlignment="1">
      <alignment vertical="top" wrapText="1"/>
    </xf>
    <xf numFmtId="0" fontId="4" fillId="7" borderId="1" xfId="6" applyBorder="1"/>
    <xf numFmtId="0" fontId="3" fillId="12" borderId="1" xfId="0" applyFont="1" applyFill="1" applyBorder="1"/>
    <xf numFmtId="0" fontId="9" fillId="12" borderId="1" xfId="5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20" fillId="0" borderId="0" xfId="0" applyFont="1"/>
    <xf numFmtId="0" fontId="0" fillId="0" borderId="0" xfId="0"/>
    <xf numFmtId="0" fontId="18" fillId="13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</cellXfs>
  <cellStyles count="8">
    <cellStyle name="Accent1" xfId="6" builtinId="29"/>
    <cellStyle name="Accent3" xfId="3" builtinId="37"/>
    <cellStyle name="Accent5" xfId="5" builtinId="45"/>
    <cellStyle name="Accent6" xfId="4" builtinId="49"/>
    <cellStyle name="Bad" xfId="7" builtinId="27"/>
    <cellStyle name="Comma" xfId="1" builtinId="3"/>
    <cellStyle name="Normal" xfId="0" builtinId="0"/>
    <cellStyle name="Percent" xfId="2" builtinId="5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yyyy\-mm\-dd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yyyy\-mm\-dd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yyyy\-mm\-dd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1EA75CF7-F474-4438-80C4-0878CF81D0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744070</xdr:colOff>
      <xdr:row>1</xdr:row>
      <xdr:rowOff>358589</xdr:rowOff>
    </xdr:from>
    <xdr:to>
      <xdr:col>10</xdr:col>
      <xdr:colOff>717175</xdr:colOff>
      <xdr:row>4</xdr:row>
      <xdr:rowOff>35859</xdr:rowOff>
    </xdr:to>
    <xdr:sp macro="" textlink="">
      <xdr:nvSpPr>
        <xdr:cNvPr id="3" name="Arrow: Curved Left 2">
          <a:extLst>
            <a:ext uri="{FF2B5EF4-FFF2-40B4-BE49-F238E27FC236}">
              <a16:creationId xmlns:a16="http://schemas.microsoft.com/office/drawing/2014/main" id="{B62C0A4D-6B10-C945-F419-8F458F9356DF}"/>
            </a:ext>
          </a:extLst>
        </xdr:cNvPr>
        <xdr:cNvSpPr/>
      </xdr:nvSpPr>
      <xdr:spPr>
        <a:xfrm>
          <a:off x="14603505" y="537883"/>
          <a:ext cx="1013011" cy="726141"/>
        </a:xfrm>
        <a:prstGeom prst="curvedLeftArrow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8</xdr:col>
      <xdr:colOff>941294</xdr:colOff>
      <xdr:row>2</xdr:row>
      <xdr:rowOff>268940</xdr:rowOff>
    </xdr:from>
    <xdr:ext cx="959224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A2CE63-9DE0-56A2-9380-6E0DEFCE676B}"/>
            </a:ext>
          </a:extLst>
        </xdr:cNvPr>
        <xdr:cNvSpPr txBox="1"/>
      </xdr:nvSpPr>
      <xdr:spPr>
        <a:xfrm>
          <a:off x="13841506" y="932328"/>
          <a:ext cx="959224" cy="264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a:rPr>
            <a:t>Drop Down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41.583865393521" createdVersion="8" refreshedVersion="8" minRefreshableVersion="3" recordCount="605" xr:uid="{6BEB89F3-C7EE-4A79-B2EB-652B9EC5F342}">
  <cacheSource type="worksheet">
    <worksheetSource ref="A1:AL606" sheet="Row data"/>
  </cacheSource>
  <cacheFields count="40">
    <cacheField name="SL" numFmtId="0">
      <sharedItems containsSemiMixedTypes="0" containsString="0" containsNumber="1" containsInteger="1" minValue="1" maxValue="605"/>
    </cacheField>
    <cacheField name="CompName" numFmtId="0">
      <sharedItems/>
    </cacheField>
    <cacheField name="EmpId" numFmtId="0">
      <sharedItems containsSemiMixedTypes="0" containsString="0" containsNumber="1" containsInteger="1" minValue="5109286" maxValue="9983256"/>
    </cacheField>
    <cacheField name="Employee Name" numFmtId="0">
      <sharedItems/>
    </cacheField>
    <cacheField name="DeptName" numFmtId="0">
      <sharedItems/>
    </cacheField>
    <cacheField name="SectName" numFmtId="0">
      <sharedItems/>
    </cacheField>
    <cacheField name="DesigName" numFmtId="0">
      <sharedItems/>
    </cacheField>
    <cacheField name="AccountNo" numFmtId="49">
      <sharedItems containsBlank="1"/>
    </cacheField>
    <cacheField name="Year" numFmtId="0">
      <sharedItems containsSemiMixedTypes="0" containsString="0" containsNumber="1" containsInteger="1" minValue="1900" maxValue="2025"/>
    </cacheField>
    <cacheField name="JDate" numFmtId="164">
      <sharedItems containsSemiMixedTypes="0" containsNonDate="0" containsDate="1" containsString="0" minDate="1995-06-01T00:00:00" maxDate="2025-02-14T00:00:00" count="448">
        <d v="2023-06-01T00:00:00"/>
        <d v="2021-10-16T00:00:00"/>
        <d v="2020-06-14T00:00:00"/>
        <d v="2021-12-01T00:00:00"/>
        <d v="2021-11-16T00:00:00"/>
        <d v="2001-03-18T00:00:00"/>
        <d v="2022-06-09T00:00:00"/>
        <d v="2022-07-23T00:00:00"/>
        <d v="2022-08-11T00:00:00"/>
        <d v="2021-11-01T00:00:00"/>
        <d v="2023-09-16T00:00:00"/>
        <d v="2004-10-01T00:00:00"/>
        <d v="2021-03-02T00:00:00"/>
        <d v="2021-07-01T00:00:00"/>
        <d v="2025-02-13T00:00:00"/>
        <d v="2022-07-19T00:00:00"/>
        <d v="2023-09-02T00:00:00"/>
        <d v="2020-08-09T00:00:00"/>
        <d v="2018-07-01T00:00:00"/>
        <d v="2024-11-02T00:00:00"/>
        <d v="2020-10-17T00:00:00"/>
        <d v="2022-10-19T00:00:00"/>
        <d v="2022-09-03T00:00:00"/>
        <d v="2022-01-12T00:00:00"/>
        <d v="2019-08-01T00:00:00"/>
        <d v="2021-10-11T00:00:00"/>
        <d v="2022-02-12T00:00:00"/>
        <d v="2023-11-11T00:00:00"/>
        <d v="2019-11-16T00:00:00"/>
        <d v="2021-01-20T00:00:00"/>
        <d v="2017-11-01T00:00:00"/>
        <d v="2023-09-11T00:00:00"/>
        <d v="2022-09-08T00:00:00"/>
        <d v="2010-01-09T00:00:00"/>
        <d v="2021-02-01T00:00:00"/>
        <d v="2000-04-26T00:00:00"/>
        <d v="1995-10-10T00:00:00"/>
        <d v="2021-06-05T00:00:00"/>
        <d v="2016-02-09T00:00:00"/>
        <d v="2018-03-20T00:00:00"/>
        <d v="2016-03-19T00:00:00"/>
        <d v="2018-02-07T00:00:00"/>
        <d v="2015-03-01T00:00:00"/>
        <d v="2015-05-16T00:00:00"/>
        <d v="2023-05-02T00:00:00"/>
        <d v="2023-10-03T00:00:00"/>
        <d v="2013-11-19T00:00:00"/>
        <d v="2018-03-21T00:00:00"/>
        <d v="2025-02-08T00:00:00"/>
        <d v="2020-09-07T00:00:00"/>
        <d v="2020-09-09T00:00:00"/>
        <d v="2020-10-01T00:00:00"/>
        <d v="2019-12-08T00:00:00"/>
        <d v="2019-11-02T00:00:00"/>
        <d v="2016-08-12T00:00:00"/>
        <d v="2017-07-05T00:00:00"/>
        <d v="2018-10-01T00:00:00"/>
        <d v="2022-02-01T00:00:00"/>
        <d v="2021-12-20T00:00:00"/>
        <d v="2021-11-15T00:00:00"/>
        <d v="2022-10-10T00:00:00"/>
        <d v="2023-09-03T00:00:00"/>
        <d v="2010-07-13T00:00:00"/>
        <d v="2017-08-10T00:00:00"/>
        <d v="2019-10-01T00:00:00"/>
        <d v="2014-12-01T00:00:00"/>
        <d v="2018-06-02T00:00:00"/>
        <d v="2014-03-01T00:00:00"/>
        <d v="2017-01-18T00:00:00"/>
        <d v="2013-06-01T00:00:00"/>
        <d v="2016-11-05T00:00:00"/>
        <d v="2013-05-21T00:00:00"/>
        <d v="2010-07-01T00:00:00"/>
        <d v="2011-01-07T00:00:00"/>
        <d v="2024-01-10T00:00:00"/>
        <d v="2022-03-12T00:00:00"/>
        <d v="2017-01-21T00:00:00"/>
        <d v="2024-10-01T00:00:00"/>
        <d v="1997-06-01T00:00:00"/>
        <d v="2016-06-01T00:00:00"/>
        <d v="2010-06-09T00:00:00"/>
        <d v="2015-05-01T00:00:00"/>
        <d v="2015-06-10T00:00:00"/>
        <d v="2008-05-11T00:00:00"/>
        <d v="2009-05-21T00:00:00"/>
        <d v="2007-03-01T00:00:00"/>
        <d v="1996-07-08T00:00:00"/>
        <d v="2005-01-01T00:00:00"/>
        <d v="2001-04-26T00:00:00"/>
        <d v="1999-01-13T00:00:00"/>
        <d v="1995-06-01T00:00:00"/>
        <d v="1998-02-14T00:00:00"/>
        <d v="2013-06-16T00:00:00"/>
        <d v="2014-11-01T00:00:00"/>
        <d v="2016-11-01T00:00:00"/>
        <d v="2020-01-04T00:00:00"/>
        <d v="2016-03-21T00:00:00"/>
        <d v="2012-09-09T00:00:00"/>
        <d v="2023-03-07T00:00:00"/>
        <d v="2020-01-06T00:00:00"/>
        <d v="2016-03-17T00:00:00"/>
        <d v="2012-05-21T00:00:00"/>
        <d v="1998-06-11T00:00:00"/>
        <d v="2011-07-02T00:00:00"/>
        <d v="2003-09-10T00:00:00"/>
        <d v="2017-10-17T00:00:00"/>
        <d v="2018-03-03T00:00:00"/>
        <d v="2024-07-09T00:00:00"/>
        <d v="2017-02-02T00:00:00"/>
        <d v="2023-07-09T00:00:00"/>
        <d v="2024-07-13T00:00:00"/>
        <d v="2016-03-01T00:00:00"/>
        <d v="2018-09-10T00:00:00"/>
        <d v="2010-08-10T00:00:00"/>
        <d v="2025-01-21T00:00:00"/>
        <d v="2018-02-04T00:00:00"/>
        <d v="2017-09-23T00:00:00"/>
        <d v="2017-07-02T00:00:00"/>
        <d v="2015-04-23T00:00:00"/>
        <d v="2015-05-02T00:00:00"/>
        <d v="2017-01-29T00:00:00"/>
        <d v="2017-08-03T00:00:00"/>
        <d v="2023-05-03T00:00:00"/>
        <d v="2024-02-17T00:00:00"/>
        <d v="2024-03-02T00:00:00"/>
        <d v="2023-10-07T00:00:00"/>
        <d v="2023-10-16T00:00:00"/>
        <d v="2022-08-01T00:00:00"/>
        <d v="2023-07-16T00:00:00"/>
        <d v="2023-01-14T00:00:00"/>
        <d v="2023-06-13T00:00:00"/>
        <d v="2024-07-02T00:00:00"/>
        <d v="2024-07-03T00:00:00"/>
        <d v="2021-03-01T00:00:00"/>
        <d v="2002-11-01T00:00:00"/>
        <d v="2001-06-01T00:00:00"/>
        <d v="2008-04-03T00:00:00"/>
        <d v="2014-05-13T00:00:00"/>
        <d v="2024-09-14T00:00:00"/>
        <d v="2001-05-20T00:00:00"/>
        <d v="2017-12-01T00:00:00"/>
        <d v="2021-06-06T00:00:00"/>
        <d v="2022-11-02T00:00:00"/>
        <d v="2022-02-22T00:00:00"/>
        <d v="2016-02-13T00:00:00"/>
        <d v="2024-05-11T00:00:00"/>
        <d v="2023-08-03T00:00:00"/>
        <d v="2023-08-10T00:00:00"/>
        <d v="2022-04-02T00:00:00"/>
        <d v="2023-01-17T00:00:00"/>
        <d v="2012-12-12T00:00:00"/>
        <d v="2017-08-02T00:00:00"/>
        <d v="2017-07-10T00:00:00"/>
        <d v="1999-06-01T00:00:00"/>
        <d v="2001-03-01T00:00:00"/>
        <d v="2006-09-01T00:00:00"/>
        <d v="2003-12-25T00:00:00"/>
        <d v="2015-04-14T00:00:00"/>
        <d v="2014-02-03T00:00:00"/>
        <d v="2012-04-12T00:00:00"/>
        <d v="2015-04-04T00:00:00"/>
        <d v="2023-01-03T00:00:00"/>
        <d v="2019-12-02T00:00:00"/>
        <d v="2022-01-10T00:00:00"/>
        <d v="2021-01-14T00:00:00"/>
        <d v="2021-09-01T00:00:00"/>
        <d v="2023-10-05T00:00:00"/>
        <d v="2019-04-02T00:00:00"/>
        <d v="2015-08-11T00:00:00"/>
        <d v="2016-04-02T00:00:00"/>
        <d v="2021-08-23T00:00:00"/>
        <d v="2021-08-26T00:00:00"/>
        <d v="2023-05-04T00:00:00"/>
        <d v="2022-11-08T00:00:00"/>
        <d v="2022-03-16T00:00:00"/>
        <d v="2015-01-01T00:00:00"/>
        <d v="2023-11-06T00:00:00"/>
        <d v="2023-11-01T00:00:00"/>
        <d v="2014-04-23T00:00:00"/>
        <d v="2016-08-03T00:00:00"/>
        <d v="2014-04-16T00:00:00"/>
        <d v="2021-02-10T00:00:00"/>
        <d v="2017-03-12T00:00:00"/>
        <d v="2021-04-04T00:00:00"/>
        <d v="2015-01-06T00:00:00"/>
        <d v="2021-02-14T00:00:00"/>
        <d v="2021-06-20T00:00:00"/>
        <d v="2021-09-12T00:00:00"/>
        <d v="2022-06-01T00:00:00"/>
        <d v="2022-06-02T00:00:00"/>
        <d v="2022-07-21T00:00:00"/>
        <d v="2023-01-01T00:00:00"/>
        <d v="2023-01-02T00:00:00"/>
        <d v="2023-09-04T00:00:00"/>
        <d v="2023-08-05T00:00:00"/>
        <d v="2015-10-06T00:00:00"/>
        <d v="2018-01-22T00:00:00"/>
        <d v="2023-06-08T00:00:00"/>
        <d v="2023-11-02T00:00:00"/>
        <d v="2022-12-03T00:00:00"/>
        <d v="2023-03-05T00:00:00"/>
        <d v="2022-06-04T00:00:00"/>
        <d v="2022-10-08T00:00:00"/>
        <d v="2022-10-06T00:00:00"/>
        <d v="2022-08-10T00:00:00"/>
        <d v="2024-05-22T00:00:00"/>
        <d v="2022-09-01T00:00:00"/>
        <d v="2022-10-03T00:00:00"/>
        <d v="2021-10-13T00:00:00"/>
        <d v="2018-09-01T00:00:00"/>
        <d v="2019-12-09T00:00:00"/>
        <d v="2017-10-12T00:00:00"/>
        <d v="2020-01-07T00:00:00"/>
        <d v="2020-01-18T00:00:00"/>
        <d v="2020-01-21T00:00:00"/>
        <d v="2021-06-19T00:00:00"/>
        <d v="2018-02-17T00:00:00"/>
        <d v="2018-02-15T00:00:00"/>
        <d v="2015-04-01T00:00:00"/>
        <d v="2020-01-14T00:00:00"/>
        <d v="2020-01-01T00:00:00"/>
        <d v="2019-12-14T00:00:00"/>
        <d v="2019-12-04T00:00:00"/>
        <d v="2023-08-06T00:00:00"/>
        <d v="2023-10-04T00:00:00"/>
        <d v="2023-09-19T00:00:00"/>
        <d v="2014-08-12T00:00:00"/>
        <d v="2021-06-02T00:00:00"/>
        <d v="2020-01-05T00:00:00"/>
        <d v="2021-03-13T00:00:00"/>
        <d v="2019-09-22T00:00:00"/>
        <d v="2018-09-23T00:00:00"/>
        <d v="2008-05-02T00:00:00"/>
        <d v="2016-03-02T00:00:00"/>
        <d v="2015-03-12T00:00:00"/>
        <d v="2022-05-10T00:00:00"/>
        <d v="2021-12-05T00:00:00"/>
        <d v="2022-02-16T00:00:00"/>
        <d v="2021-06-22T00:00:00"/>
        <d v="2018-09-19T00:00:00"/>
        <d v="2009-05-03T00:00:00"/>
        <d v="2021-07-03T00:00:00"/>
        <d v="2021-06-24T00:00:00"/>
        <d v="2020-11-01T00:00:00"/>
        <d v="2018-07-02T00:00:00"/>
        <d v="2012-11-12T00:00:00"/>
        <d v="2016-04-27T00:00:00"/>
        <d v="2023-05-10T00:00:00"/>
        <d v="2024-07-14T00:00:00"/>
        <d v="2021-07-07T00:00:00"/>
        <d v="2021-11-03T00:00:00"/>
        <d v="2021-11-06T00:00:00"/>
        <d v="2021-07-13T00:00:00"/>
        <d v="2022-12-01T00:00:00"/>
        <d v="2023-05-18T00:00:00"/>
        <d v="2023-07-10T00:00:00"/>
        <d v="2021-07-04T00:00:00"/>
        <d v="2022-02-02T00:00:00"/>
        <d v="2003-03-17T00:00:00"/>
        <d v="2015-08-01T00:00:00"/>
        <d v="2014-05-03T00:00:00"/>
        <d v="2022-07-18T00:00:00"/>
        <d v="2019-12-01T00:00:00"/>
        <d v="2022-01-08T00:00:00"/>
        <d v="2021-03-07T00:00:00"/>
        <d v="2021-02-08T00:00:00"/>
        <d v="2023-03-09T00:00:00"/>
        <d v="2017-12-05T00:00:00"/>
        <d v="2022-07-24T00:00:00"/>
        <d v="2022-06-14T00:00:00"/>
        <d v="2022-06-06T00:00:00"/>
        <d v="2022-08-03T00:00:00"/>
        <d v="2021-10-02T00:00:00"/>
        <d v="2021-07-08T00:00:00"/>
        <d v="2018-04-05T00:00:00"/>
        <d v="2011-04-23T00:00:00"/>
        <d v="2007-11-01T00:00:00"/>
        <d v="2017-01-19T00:00:00"/>
        <d v="2014-01-16T00:00:00"/>
        <d v="2016-12-19T00:00:00"/>
        <d v="2010-09-21T00:00:00"/>
        <d v="2017-12-13T00:00:00"/>
        <d v="2017-11-12T00:00:00"/>
        <d v="2021-06-23T00:00:00"/>
        <d v="2017-12-09T00:00:00"/>
        <d v="2011-07-01T00:00:00"/>
        <d v="2008-06-13T00:00:00"/>
        <d v="2013-06-04T00:00:00"/>
        <d v="2017-04-01T00:00:00"/>
        <d v="2008-12-23T00:00:00"/>
        <d v="2015-03-14T00:00:00"/>
        <d v="2018-03-18T00:00:00"/>
        <d v="2018-04-03T00:00:00"/>
        <d v="2018-04-01T00:00:00"/>
        <d v="2018-04-19T00:00:00"/>
        <d v="2018-04-07T00:00:00"/>
        <d v="2018-04-02T00:00:00"/>
        <d v="2016-02-01T00:00:00"/>
        <d v="2021-03-03T00:00:00"/>
        <d v="2000-09-02T00:00:00"/>
        <d v="2007-02-22T00:00:00"/>
        <d v="2018-03-04T00:00:00"/>
        <d v="2018-10-03T00:00:00"/>
        <d v="2018-09-08T00:00:00"/>
        <d v="2018-09-02T00:00:00"/>
        <d v="2009-12-05T00:00:00"/>
        <d v="2010-02-20T00:00:00"/>
        <d v="2015-04-16T00:00:00"/>
        <d v="2015-11-11T00:00:00"/>
        <d v="2003-09-15T00:00:00"/>
        <d v="2018-03-06T00:00:00"/>
        <d v="2018-03-14T00:00:00"/>
        <d v="2010-09-17T00:00:00"/>
        <d v="2011-06-16T00:00:00"/>
        <d v="2013-06-22T00:00:00"/>
        <d v="2011-04-09T00:00:00"/>
        <d v="2017-07-11T00:00:00"/>
        <d v="2012-04-02T00:00:00"/>
        <d v="2017-08-07T00:00:00"/>
        <d v="2022-05-11T00:00:00"/>
        <d v="2022-09-19T00:00:00"/>
        <d v="2017-01-01T00:00:00"/>
        <d v="2017-04-03T00:00:00"/>
        <d v="2017-01-02T00:00:00"/>
        <d v="2018-02-11T00:00:00"/>
        <d v="2022-01-09T00:00:00"/>
        <d v="2010-12-14T00:00:00"/>
        <d v="2011-07-04T00:00:00"/>
        <d v="2016-10-09T00:00:00"/>
        <d v="2017-03-02T00:00:00"/>
        <d v="2017-07-03T00:00:00"/>
        <d v="2021-02-09T00:00:00"/>
        <d v="2021-02-13T00:00:00"/>
        <d v="2013-05-02T00:00:00"/>
        <d v="2017-10-02T00:00:00"/>
        <d v="2014-03-12T00:00:00"/>
        <d v="2017-09-17T00:00:00"/>
        <d v="2017-02-04T00:00:00"/>
        <d v="2014-03-02T00:00:00"/>
        <d v="2012-11-07T00:00:00"/>
        <d v="2010-02-16T00:00:00"/>
        <d v="2007-06-17T00:00:00"/>
        <d v="2007-07-03T00:00:00"/>
        <d v="2016-01-05T00:00:00"/>
        <d v="2011-06-02T00:00:00"/>
        <d v="2012-10-01T00:00:00"/>
        <d v="2014-01-15T00:00:00"/>
        <d v="2014-12-13T00:00:00"/>
        <d v="2022-08-18T00:00:00"/>
        <d v="2022-03-08T00:00:00"/>
        <d v="2023-11-07T00:00:00"/>
        <d v="2023-02-04T00:00:00"/>
        <d v="2013-06-20T00:00:00"/>
        <d v="2017-07-04T00:00:00"/>
        <d v="2010-06-18T00:00:00"/>
        <d v="2017-07-13T00:00:00"/>
        <d v="2011-05-03T00:00:00"/>
        <d v="2017-07-15T00:00:00"/>
        <d v="2002-02-01T00:00:00"/>
        <d v="2012-04-04T00:00:00"/>
        <d v="2011-07-11T00:00:00"/>
        <d v="2017-07-09T00:00:00"/>
        <d v="2008-08-11T00:00:00"/>
        <d v="2009-10-03T00:00:00"/>
        <d v="2007-08-01T00:00:00"/>
        <d v="2013-07-01T00:00:00"/>
        <d v="2013-04-02T00:00:00"/>
        <d v="2003-07-31T00:00:00"/>
        <d v="1996-05-02T00:00:00"/>
        <d v="2015-02-14T00:00:00"/>
        <d v="2012-03-15T00:00:00"/>
        <d v="2017-05-14T00:00:00"/>
        <d v="2011-12-03T00:00:00"/>
        <d v="2008-06-03T00:00:00"/>
        <d v="2002-06-05T00:00:00"/>
        <d v="2016-03-16T00:00:00"/>
        <d v="2011-07-03T00:00:00"/>
        <d v="2018-03-01T00:00:00"/>
        <d v="2012-04-08T00:00:00"/>
        <d v="2013-08-02T00:00:00"/>
        <d v="2012-06-18T00:00:00"/>
        <d v="2011-07-12T00:00:00"/>
        <d v="2007-04-22T00:00:00"/>
        <d v="2011-06-08T00:00:00"/>
        <d v="2009-06-14T00:00:00"/>
        <d v="2012-04-01T00:00:00"/>
        <d v="2017-09-20T00:00:00"/>
        <d v="2009-07-01T00:00:00"/>
        <d v="2009-05-28T00:00:00"/>
        <d v="2015-06-02T00:00:00"/>
        <d v="2017-10-05T00:00:00"/>
        <d v="2018-03-10T00:00:00"/>
        <d v="2020-01-02T00:00:00"/>
        <d v="2021-07-05T00:00:00"/>
        <d v="2010-02-02T00:00:00"/>
        <d v="2003-08-10T00:00:00"/>
        <d v="2013-03-12T00:00:00"/>
        <d v="2012-03-01T00:00:00"/>
        <d v="2010-03-07T00:00:00"/>
        <d v="2007-04-28T00:00:00"/>
        <d v="2003-07-16T00:00:00"/>
        <d v="2003-07-15T00:00:00"/>
        <d v="2011-06-20T00:00:00"/>
        <d v="2015-09-01T00:00:00"/>
        <d v="2017-09-11T00:00:00"/>
        <d v="2010-03-05T00:00:00"/>
        <d v="2012-12-06T00:00:00"/>
        <d v="2003-09-05T00:00:00"/>
        <d v="2023-10-15T00:00:00"/>
        <d v="2013-07-02T00:00:00"/>
        <d v="2023-01-11T00:00:00"/>
        <d v="2021-06-01T00:00:00"/>
        <d v="2023-02-02T00:00:00"/>
        <d v="2022-05-14T00:00:00"/>
        <d v="2021-11-07T00:00:00"/>
        <d v="2015-08-02T00:00:00"/>
        <d v="2022-09-22T00:00:00"/>
        <d v="2018-09-22T00:00:00"/>
        <d v="2010-12-03T00:00:00"/>
        <d v="2015-08-05T00:00:00"/>
        <d v="2021-03-08T00:00:00"/>
        <d v="2021-06-13T00:00:00"/>
        <d v="2021-06-15T00:00:00"/>
        <d v="1998-06-06T00:00:00"/>
        <d v="2016-07-24T00:00:00"/>
        <d v="2003-02-05T00:00:00"/>
        <d v="2014-03-13T00:00:00"/>
        <d v="2023-03-13T00:00:00"/>
        <d v="2013-06-15T00:00:00"/>
        <d v="2017-03-04T00:00:00"/>
        <d v="2010-06-02T00:00:00"/>
        <d v="2009-04-06T00:00:00"/>
        <d v="2023-08-12T00:00:00"/>
        <d v="2023-07-12T00:00:00"/>
        <d v="2023-07-15T00:00:00"/>
        <d v="2021-07-11T00:00:00"/>
        <d v="2022-03-05T00:00:00"/>
        <d v="2022-03-15T00:00:00"/>
        <d v="2022-05-17T00:00:00"/>
        <d v="2022-12-05T00:00:00"/>
        <d v="2023-01-12T00:00:00"/>
        <d v="2016-11-16T00:00:00"/>
        <d v="2014-09-01T00:00:00"/>
        <d v="2016-10-01T00:00:00"/>
        <d v="2017-09-14T00:00:00"/>
        <d v="2019-09-01T00:00:00"/>
        <d v="2020-08-10T00:00:00"/>
        <d v="2020-08-16T00:00:00"/>
      </sharedItems>
      <fieldGroup par="39"/>
    </cacheField>
    <cacheField name="QuitDate" numFmtId="164">
      <sharedItems containsNonDate="0" containsDate="1" containsString="0" containsBlank="1" minDate="2018-01-01T00:00:00" maxDate="2025-04-01T00:00:00"/>
    </cacheField>
    <cacheField name="BirthDate" numFmtId="164">
      <sharedItems containsSemiMixedTypes="0" containsNonDate="0" containsDate="1" containsString="0" minDate="1899-12-31T00:00:00" maxDate="2023-07-05T00:00:00"/>
    </cacheField>
    <cacheField name="Gender" numFmtId="0">
      <sharedItems/>
    </cacheField>
    <cacheField name="OT" numFmtId="0">
      <sharedItems/>
    </cacheField>
    <cacheField name="Employee Category" numFmtId="43">
      <sharedItems/>
    </cacheField>
    <cacheField name="Gross" numFmtId="43">
      <sharedItems containsSemiMixedTypes="0" containsString="0" containsNumber="1" containsInteger="1" minValue="12500" maxValue="185000"/>
    </cacheField>
    <cacheField name="Gross Pay" numFmtId="43">
      <sharedItems containsSemiMixedTypes="0" containsString="0" containsNumber="1" containsInteger="1" minValue="0" maxValue="185000"/>
    </cacheField>
    <cacheField name="Basic" numFmtId="43">
      <sharedItems containsSemiMixedTypes="0" containsString="0" containsNumber="1" containsInteger="1" minValue="6700" maxValue="111000"/>
    </cacheField>
    <cacheField name="HRent" numFmtId="43">
      <sharedItems containsSemiMixedTypes="0" containsString="0" containsNumber="1" containsInteger="1" minValue="3350" maxValue="55500"/>
    </cacheField>
    <cacheField name="Medical" numFmtId="43">
      <sharedItems containsSemiMixedTypes="0" containsString="0" containsNumber="1" containsInteger="1" minValue="560" maxValue="7400"/>
    </cacheField>
    <cacheField name="TechAllowance" numFmtId="43">
      <sharedItems containsSemiMixedTypes="0" containsString="0" containsNumber="1" containsInteger="1" minValue="420" maxValue="5550"/>
    </cacheField>
    <cacheField name="ExtraTechAllow" numFmtId="43">
      <sharedItems containsSemiMixedTypes="0" containsString="0" containsNumber="1" containsInteger="1" minValue="0" maxValue="0"/>
    </cacheField>
    <cacheField name="OthersAllowance" numFmtId="43">
      <sharedItems containsSemiMixedTypes="0" containsString="0" containsNumber="1" containsInteger="1" minValue="0" maxValue="0"/>
    </cacheField>
    <cacheField name="FoodAllowance" numFmtId="43">
      <sharedItems containsSemiMixedTypes="0" containsString="0" containsNumber="1" containsInteger="1" minValue="0" maxValue="5550"/>
    </cacheField>
    <cacheField name="ConvAllowance" numFmtId="43">
      <sharedItems containsSemiMixedTypes="0" containsString="0" containsNumber="1" containsInteger="1" minValue="420" maxValue="5550"/>
    </cacheField>
    <cacheField name="Attendance Bonus" numFmtId="43">
      <sharedItems containsSemiMixedTypes="0" containsString="0" containsNumber="1" containsInteger="1" minValue="0" maxValue="350"/>
    </cacheField>
    <cacheField name="OT Amount" numFmtId="43">
      <sharedItems containsSemiMixedTypes="0" containsString="0" containsNumber="1" containsInteger="1" minValue="0" maxValue="6743"/>
    </cacheField>
    <cacheField name="Adjustment Deduction" numFmtId="43">
      <sharedItems containsSemiMixedTypes="0" containsString="0" containsNumber="1" containsInteger="1" minValue="-8024" maxValue="0"/>
    </cacheField>
    <cacheField name="Adjustment Addition" numFmtId="43">
      <sharedItems containsSemiMixedTypes="0" containsString="0" containsNumber="1" containsInteger="1" minValue="0" maxValue="0"/>
    </cacheField>
    <cacheField name="Absent Amount" numFmtId="43">
      <sharedItems containsSemiMixedTypes="0" containsString="0" containsNumber="1" containsInteger="1" minValue="0" maxValue="16761"/>
    </cacheField>
    <cacheField name="Late Amount" numFmtId="43">
      <sharedItems containsSemiMixedTypes="0" containsString="0" containsNumber="1" containsInteger="1" minValue="0" maxValue="589"/>
    </cacheField>
    <cacheField name="Loan" numFmtId="43">
      <sharedItems containsSemiMixedTypes="0" containsString="0" containsNumber="1" containsInteger="1" minValue="0" maxValue="15000"/>
    </cacheField>
    <cacheField name="Tax" numFmtId="43">
      <sharedItems containsSemiMixedTypes="0" containsString="0" containsNumber="1" containsInteger="1" minValue="0" maxValue="16000"/>
    </cacheField>
    <cacheField name="Stamp" numFmtId="43">
      <sharedItems containsSemiMixedTypes="0" containsString="0" containsNumber="1" containsInteger="1" minValue="0" maxValue="10"/>
    </cacheField>
    <cacheField name="Net Payable" numFmtId="43">
      <sharedItems containsSemiMixedTypes="0" containsString="0" containsNumber="1" containsInteger="1" minValue="5432" maxValue="169000"/>
    </cacheField>
    <cacheField name="Bank" numFmtId="43">
      <sharedItems containsSemiMixedTypes="0" containsString="0" containsNumber="1" containsInteger="1" minValue="0" maxValue="169000"/>
    </cacheField>
    <cacheField name="Cash" numFmtId="43">
      <sharedItems containsSemiMixedTypes="0" containsString="0" containsNumber="1" containsInteger="1" minValue="0" maxValue="13361"/>
    </cacheField>
    <cacheField name="Months (JDate)" numFmtId="0" databaseField="0">
      <fieldGroup base="9">
        <rangePr groupBy="months" startDate="1995-06-01T00:00:00" endDate="2025-02-14T00:00:00"/>
        <groupItems count="14">
          <s v="&lt;01-06-9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02-25"/>
        </groupItems>
      </fieldGroup>
    </cacheField>
    <cacheField name="Quarters (JDate)" numFmtId="0" databaseField="0">
      <fieldGroup base="9">
        <rangePr groupBy="quarters" startDate="1995-06-01T00:00:00" endDate="2025-02-14T00:00:00"/>
        <groupItems count="6">
          <s v="&lt;01-06-95"/>
          <s v="Qtr1"/>
          <s v="Qtr2"/>
          <s v="Qtr3"/>
          <s v="Qtr4"/>
          <s v="&gt;14-02-25"/>
        </groupItems>
      </fieldGroup>
    </cacheField>
    <cacheField name="Years (JDate)" numFmtId="0" databaseField="0">
      <fieldGroup base="9">
        <rangePr groupBy="years" startDate="1995-06-01T00:00:00" endDate="2025-02-14T00:00:00"/>
        <groupItems count="33">
          <s v="&lt;01-06-95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4-02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5">
  <r>
    <n v="1"/>
    <s v="ABC Company Ltd."/>
    <n v="8143412"/>
    <s v="Abdullah"/>
    <s v="Production"/>
    <s v="Allora"/>
    <s v="Trainee Officer"/>
    <s v="9993204000003460"/>
    <n v="1900"/>
    <x v="0"/>
    <m/>
    <d v="2003-01-01T00:00:00"/>
    <s v="M"/>
    <s v="N"/>
    <s v="Staff"/>
    <n v="16305"/>
    <n v="16305"/>
    <n v="9783"/>
    <n v="4892"/>
    <n v="652"/>
    <n v="489"/>
    <n v="0"/>
    <n v="0"/>
    <n v="489"/>
    <n v="489"/>
    <n v="0"/>
    <n v="0"/>
    <n v="0"/>
    <n v="0"/>
    <n v="0"/>
    <n v="0"/>
    <n v="0"/>
    <n v="0"/>
    <n v="0"/>
    <n v="16305"/>
    <n v="16305"/>
    <n v="0"/>
  </r>
  <r>
    <n v="2"/>
    <s v="ABC Company Ltd."/>
    <n v="7835403"/>
    <s v="Abir"/>
    <s v="Production"/>
    <s v="Fabric Tearing"/>
    <s v="Head Fitter"/>
    <s v="9993201000357870"/>
    <n v="2022"/>
    <x v="1"/>
    <d v="2022-11-02T00:00:00"/>
    <d v="1977-11-02T00:00:00"/>
    <s v="M"/>
    <s v="N"/>
    <s v="Staff"/>
    <n v="32700"/>
    <n v="32700"/>
    <n v="19620"/>
    <n v="9810"/>
    <n v="1308"/>
    <n v="981"/>
    <n v="0"/>
    <n v="0"/>
    <n v="981"/>
    <n v="981"/>
    <n v="0"/>
    <n v="0"/>
    <n v="0"/>
    <n v="0"/>
    <n v="0"/>
    <n v="0"/>
    <n v="0"/>
    <n v="0"/>
    <n v="0"/>
    <n v="32700"/>
    <n v="32700"/>
    <n v="0"/>
  </r>
  <r>
    <n v="3"/>
    <s v="ABC Company Ltd."/>
    <n v="8538860"/>
    <s v="Ahsan"/>
    <s v="Production"/>
    <s v="Fabric Tearing"/>
    <s v="Assistant"/>
    <s v="703204000030529"/>
    <n v="2022"/>
    <x v="2"/>
    <d v="2022-01-01T00:00:00"/>
    <d v="1990-01-01T00:00:00"/>
    <s v="M"/>
    <s v="N"/>
    <s v="Staff"/>
    <n v="16351"/>
    <n v="16024"/>
    <n v="9810"/>
    <n v="4905"/>
    <n v="654"/>
    <n v="491"/>
    <n v="0"/>
    <n v="0"/>
    <n v="491"/>
    <n v="491"/>
    <n v="0"/>
    <n v="0"/>
    <n v="-327"/>
    <n v="0"/>
    <n v="0"/>
    <n v="0"/>
    <n v="0"/>
    <n v="0"/>
    <n v="0"/>
    <n v="16678"/>
    <n v="16024"/>
    <n v="0"/>
  </r>
  <r>
    <n v="4"/>
    <s v="ABC Company Ltd."/>
    <n v="8627585"/>
    <s v="Akash"/>
    <s v="Production"/>
    <s v="Fabric Tearing"/>
    <s v="Senior Fitter"/>
    <s v="9993204000003280"/>
    <n v="1900"/>
    <x v="3"/>
    <m/>
    <d v="1990-12-31T00:00:00"/>
    <s v="M"/>
    <s v="N"/>
    <s v="Staff"/>
    <n v="24526"/>
    <n v="24526"/>
    <n v="14715"/>
    <n v="7358"/>
    <n v="981"/>
    <n v="736"/>
    <n v="0"/>
    <n v="0"/>
    <n v="736"/>
    <n v="736"/>
    <n v="0"/>
    <n v="0"/>
    <n v="0"/>
    <n v="0"/>
    <n v="0"/>
    <n v="0"/>
    <n v="0"/>
    <n v="0"/>
    <n v="0"/>
    <n v="24526"/>
    <n v="24526"/>
    <n v="0"/>
  </r>
  <r>
    <n v="5"/>
    <s v="ABC Company Ltd."/>
    <n v="9077918"/>
    <s v="Alamgir"/>
    <s v="Production"/>
    <s v="Heatbond"/>
    <s v="Shift Engineer"/>
    <s v="9993204000003430"/>
    <n v="1900"/>
    <x v="4"/>
    <m/>
    <d v="1994-12-31T00:00:00"/>
    <s v="M"/>
    <s v="N"/>
    <s v="Staff"/>
    <n v="27251"/>
    <n v="27251"/>
    <n v="16350"/>
    <n v="8175"/>
    <n v="1090"/>
    <n v="818"/>
    <n v="0"/>
    <n v="0"/>
    <n v="818"/>
    <n v="818"/>
    <n v="0"/>
    <n v="0"/>
    <n v="0"/>
    <n v="0"/>
    <n v="0"/>
    <n v="0"/>
    <n v="0"/>
    <n v="0"/>
    <n v="0"/>
    <n v="27251"/>
    <n v="27251"/>
    <n v="0"/>
  </r>
  <r>
    <n v="6"/>
    <s v="ABC Company Ltd."/>
    <n v="6259828"/>
    <s v="Alif"/>
    <s v="Production"/>
    <s v="Heatbond"/>
    <s v="Shift Engineer"/>
    <s v="9993204000003420"/>
    <n v="1900"/>
    <x v="4"/>
    <m/>
    <d v="1997-07-21T00:00:00"/>
    <s v="M"/>
    <s v="N"/>
    <s v="Staff"/>
    <n v="26160"/>
    <n v="26160"/>
    <n v="15696"/>
    <n v="7848"/>
    <n v="1046"/>
    <n v="785"/>
    <n v="0"/>
    <n v="0"/>
    <n v="785"/>
    <n v="785"/>
    <n v="0"/>
    <n v="0"/>
    <n v="0"/>
    <n v="0"/>
    <n v="0"/>
    <n v="0"/>
    <n v="0"/>
    <n v="0"/>
    <n v="0"/>
    <n v="26160"/>
    <n v="26160"/>
    <n v="0"/>
  </r>
  <r>
    <n v="7"/>
    <s v="ABC Company Ltd."/>
    <n v="9833929"/>
    <s v="Aminul"/>
    <s v="Production"/>
    <s v="Heatbond"/>
    <s v="Senior Supervisor"/>
    <s v="703204000030573"/>
    <n v="2022"/>
    <x v="5"/>
    <d v="2022-01-01T00:00:00"/>
    <d v="1984-02-01T00:00:00"/>
    <s v="M"/>
    <s v="N"/>
    <s v="Staff"/>
    <n v="32700"/>
    <n v="32700"/>
    <n v="19620"/>
    <n v="9810"/>
    <n v="1308"/>
    <n v="981"/>
    <n v="0"/>
    <n v="0"/>
    <n v="981"/>
    <n v="981"/>
    <n v="0"/>
    <n v="0"/>
    <n v="0"/>
    <n v="0"/>
    <n v="0"/>
    <n v="0"/>
    <n v="15000"/>
    <n v="0"/>
    <n v="0"/>
    <n v="17700"/>
    <n v="17700"/>
    <n v="0"/>
  </r>
  <r>
    <n v="8"/>
    <s v="ABC Company Ltd."/>
    <n v="7400970"/>
    <s v="Anik"/>
    <s v="Utility &amp; Maintenance"/>
    <s v="Electrical"/>
    <s v="Junior Executive"/>
    <s v="9993204000003300"/>
    <n v="1900"/>
    <x v="6"/>
    <m/>
    <d v="1999-02-13T00:00:00"/>
    <s v="M"/>
    <s v="N"/>
    <s v="Staff"/>
    <n v="16351"/>
    <n v="16351"/>
    <n v="9810"/>
    <n v="4905"/>
    <n v="654"/>
    <n v="491"/>
    <n v="0"/>
    <n v="0"/>
    <n v="491"/>
    <n v="491"/>
    <n v="0"/>
    <n v="0"/>
    <n v="0"/>
    <n v="0"/>
    <n v="0"/>
    <n v="0"/>
    <n v="0"/>
    <n v="0"/>
    <n v="0"/>
    <n v="16351"/>
    <n v="16351"/>
    <n v="0"/>
  </r>
  <r>
    <n v="9"/>
    <s v="ABC Textile Ltd."/>
    <n v="5912367"/>
    <s v="Anisur"/>
    <s v="Admin"/>
    <s v="Canteen"/>
    <s v="Assistant Cook"/>
    <s v="703204000030538"/>
    <n v="1900"/>
    <x v="7"/>
    <m/>
    <d v="1971-03-01T00:00:00"/>
    <s v="F"/>
    <s v="N"/>
    <s v="Staff"/>
    <n v="16197"/>
    <n v="16197"/>
    <n v="9718"/>
    <n v="4859"/>
    <n v="648"/>
    <n v="486"/>
    <n v="0"/>
    <n v="0"/>
    <n v="486"/>
    <n v="486"/>
    <n v="0"/>
    <n v="0"/>
    <n v="0"/>
    <n v="0"/>
    <n v="0"/>
    <n v="0"/>
    <n v="0"/>
    <n v="0"/>
    <n v="0"/>
    <n v="16197"/>
    <n v="16197"/>
    <n v="0"/>
  </r>
  <r>
    <n v="10"/>
    <s v="ABC Textile Ltd."/>
    <n v="9402867"/>
    <s v="Arif"/>
    <s v="Admin"/>
    <s v="Canteen"/>
    <s v="Assistant Cook"/>
    <s v="703204000030981"/>
    <n v="1900"/>
    <x v="8"/>
    <m/>
    <d v="1973-01-25T00:00:00"/>
    <s v="F"/>
    <s v="N"/>
    <s v="Staff"/>
    <n v="16197"/>
    <n v="16197"/>
    <n v="9718"/>
    <n v="4859"/>
    <n v="648"/>
    <n v="486"/>
    <n v="0"/>
    <n v="0"/>
    <n v="486"/>
    <n v="486"/>
    <n v="0"/>
    <n v="0"/>
    <n v="0"/>
    <n v="0"/>
    <n v="0"/>
    <n v="0"/>
    <n v="0"/>
    <n v="0"/>
    <n v="0"/>
    <n v="16197"/>
    <n v="16197"/>
    <n v="0"/>
  </r>
  <r>
    <n v="11"/>
    <s v="ABC Textile Ltd."/>
    <n v="8167313"/>
    <s v="Ashfaq"/>
    <s v="Admin"/>
    <s v="Canteen"/>
    <s v="Assistant"/>
    <s v="9993204000004140"/>
    <n v="1900"/>
    <x v="9"/>
    <m/>
    <d v="1999-01-18T00:00:00"/>
    <s v="M"/>
    <s v="N"/>
    <s v="Staff"/>
    <n v="16260"/>
    <n v="14260"/>
    <n v="9756"/>
    <n v="4878"/>
    <n v="650"/>
    <n v="488"/>
    <n v="0"/>
    <n v="0"/>
    <n v="488"/>
    <n v="488"/>
    <n v="0"/>
    <n v="0"/>
    <n v="-2000"/>
    <n v="0"/>
    <n v="0"/>
    <n v="0"/>
    <n v="0"/>
    <n v="0"/>
    <n v="0"/>
    <n v="18260"/>
    <n v="14260"/>
    <n v="0"/>
  </r>
  <r>
    <n v="12"/>
    <s v="ABC Textile Ltd."/>
    <n v="7225567"/>
    <s v="Asif"/>
    <s v="Admin"/>
    <s v="Canteen"/>
    <s v="Assistant Cook"/>
    <s v="9993204000004140"/>
    <n v="1900"/>
    <x v="10"/>
    <m/>
    <d v="1977-05-10T00:00:00"/>
    <s v="F"/>
    <s v="N"/>
    <s v="Staff"/>
    <n v="15976"/>
    <n v="15976"/>
    <n v="9586"/>
    <n v="4793"/>
    <n v="639"/>
    <n v="479"/>
    <n v="0"/>
    <n v="0"/>
    <n v="479"/>
    <n v="479"/>
    <n v="0"/>
    <n v="0"/>
    <n v="0"/>
    <n v="0"/>
    <n v="0"/>
    <n v="0"/>
    <n v="0"/>
    <n v="0"/>
    <n v="0"/>
    <n v="15976"/>
    <n v="15976"/>
    <n v="0"/>
  </r>
  <r>
    <n v="13"/>
    <s v="ABC Textile Ltd."/>
    <n v="8864098"/>
    <s v="Aziz"/>
    <s v="Admin"/>
    <s v="Canteen"/>
    <s v="Cook"/>
    <s v="9993201000060010"/>
    <n v="1900"/>
    <x v="11"/>
    <m/>
    <d v="1984-03-05T00:00:00"/>
    <s v="M"/>
    <s v="N"/>
    <s v="Staff"/>
    <n v="33791"/>
    <n v="33791"/>
    <n v="20274"/>
    <n v="10137"/>
    <n v="1352"/>
    <n v="1014"/>
    <n v="0"/>
    <n v="0"/>
    <n v="1014"/>
    <n v="1014"/>
    <n v="0"/>
    <n v="0"/>
    <n v="0"/>
    <n v="0"/>
    <n v="0"/>
    <n v="0"/>
    <n v="0"/>
    <n v="0"/>
    <n v="0"/>
    <n v="33791"/>
    <n v="33791"/>
    <n v="0"/>
  </r>
  <r>
    <n v="14"/>
    <s v="ABC Textile Ltd."/>
    <n v="6516432"/>
    <s v="Badrul"/>
    <s v="Admin"/>
    <s v="Canteen"/>
    <s v="Assistant Cook"/>
    <m/>
    <n v="1900"/>
    <x v="12"/>
    <m/>
    <d v="1990-01-01T00:00:00"/>
    <s v="F"/>
    <s v="N"/>
    <s v="Staff"/>
    <n v="15976"/>
    <n v="15976"/>
    <n v="9586"/>
    <n v="4793"/>
    <n v="639"/>
    <n v="479"/>
    <n v="0"/>
    <n v="0"/>
    <n v="479"/>
    <n v="479"/>
    <n v="0"/>
    <n v="0"/>
    <n v="0"/>
    <n v="0"/>
    <n v="0"/>
    <n v="0"/>
    <n v="0"/>
    <n v="0"/>
    <n v="0"/>
    <n v="15976"/>
    <n v="15976"/>
    <n v="0"/>
  </r>
  <r>
    <n v="15"/>
    <s v="ABC Textile Ltd."/>
    <n v="7580318"/>
    <s v="Bashir"/>
    <s v="Admin"/>
    <s v="Factory Affairs"/>
    <s v="Deputy General Manager"/>
    <s v="563201000085448"/>
    <n v="2022"/>
    <x v="13"/>
    <d v="2022-12-10T00:00:00"/>
    <d v="1977-12-10T00:00:00"/>
    <s v="M"/>
    <s v="N"/>
    <s v="Staff"/>
    <n v="135000"/>
    <n v="135000"/>
    <n v="81000"/>
    <n v="40500"/>
    <n v="5400"/>
    <n v="4050"/>
    <n v="0"/>
    <n v="0"/>
    <n v="4050"/>
    <n v="4050"/>
    <n v="0"/>
    <n v="0"/>
    <n v="0"/>
    <n v="0"/>
    <n v="0"/>
    <n v="0"/>
    <n v="0"/>
    <n v="3000"/>
    <n v="0"/>
    <n v="132000"/>
    <n v="132000"/>
    <n v="0"/>
  </r>
  <r>
    <n v="16"/>
    <s v="ABC Textile Ltd."/>
    <n v="7769663"/>
    <s v="Belal"/>
    <s v="Admin"/>
    <s v="Security"/>
    <s v="Lady Checker"/>
    <s v="9993204000010980"/>
    <n v="1900"/>
    <x v="14"/>
    <m/>
    <d v="1998-01-01T00:00:00"/>
    <s v="F"/>
    <s v="N"/>
    <s v="Staff"/>
    <n v="14300"/>
    <n v="8171"/>
    <n v="8580"/>
    <n v="4290"/>
    <n v="572"/>
    <n v="429"/>
    <n v="0"/>
    <n v="0"/>
    <n v="429"/>
    <n v="429"/>
    <n v="0"/>
    <n v="0"/>
    <n v="0"/>
    <n v="0"/>
    <n v="6129"/>
    <n v="0"/>
    <n v="0"/>
    <n v="0"/>
    <n v="0"/>
    <n v="8171"/>
    <n v="8171"/>
    <n v="0"/>
  </r>
  <r>
    <n v="17"/>
    <s v="ABC Textile Ltd."/>
    <n v="8771000"/>
    <s v="Fahim"/>
    <s v="Admin"/>
    <s v="Supports"/>
    <s v="Loader"/>
    <s v="9993204000010070"/>
    <n v="1900"/>
    <x v="15"/>
    <m/>
    <d v="1994-08-24T00:00:00"/>
    <s v="M"/>
    <s v="N"/>
    <s v="Staff"/>
    <n v="15931"/>
    <n v="15931"/>
    <n v="9559"/>
    <n v="4779"/>
    <n v="637"/>
    <n v="478"/>
    <n v="0"/>
    <n v="0"/>
    <n v="478"/>
    <n v="478"/>
    <n v="0"/>
    <n v="0"/>
    <n v="0"/>
    <n v="0"/>
    <n v="0"/>
    <n v="0"/>
    <n v="0"/>
    <n v="0"/>
    <n v="0"/>
    <n v="15931"/>
    <n v="15931"/>
    <n v="0"/>
  </r>
  <r>
    <n v="18"/>
    <s v="ABC Textile Ltd."/>
    <n v="8569356"/>
    <s v="Farhan"/>
    <s v="Admin"/>
    <s v="Supports"/>
    <s v="Loader"/>
    <s v="9993204000009970"/>
    <n v="1900"/>
    <x v="15"/>
    <m/>
    <d v="1973-02-23T00:00:00"/>
    <s v="M"/>
    <s v="N"/>
    <s v="Staff"/>
    <n v="15931"/>
    <n v="15931"/>
    <n v="9559"/>
    <n v="4779"/>
    <n v="637"/>
    <n v="478"/>
    <n v="0"/>
    <n v="0"/>
    <n v="478"/>
    <n v="478"/>
    <n v="0"/>
    <n v="0"/>
    <n v="0"/>
    <n v="0"/>
    <n v="0"/>
    <n v="0"/>
    <n v="0"/>
    <n v="0"/>
    <n v="0"/>
    <n v="15931"/>
    <n v="15931"/>
    <n v="0"/>
  </r>
  <r>
    <n v="19"/>
    <s v="ABC Textile Ltd."/>
    <n v="9779338"/>
    <s v="Faruk"/>
    <s v="Admin"/>
    <s v="Supports"/>
    <s v="Loader"/>
    <s v="9993204000010400"/>
    <n v="1900"/>
    <x v="16"/>
    <m/>
    <d v="1986-01-01T00:00:00"/>
    <s v="M"/>
    <s v="N"/>
    <s v="Staff"/>
    <n v="15931"/>
    <n v="15590"/>
    <n v="9559"/>
    <n v="4779"/>
    <n v="637"/>
    <n v="478"/>
    <n v="0"/>
    <n v="0"/>
    <n v="478"/>
    <n v="478"/>
    <n v="0"/>
    <n v="0"/>
    <n v="0"/>
    <n v="0"/>
    <n v="341"/>
    <n v="0"/>
    <n v="0"/>
    <n v="0"/>
    <n v="0"/>
    <n v="15590"/>
    <n v="15590"/>
    <n v="0"/>
  </r>
  <r>
    <n v="20"/>
    <s v="ABC Textile Ltd."/>
    <n v="5974872"/>
    <s v="Firoz"/>
    <s v="Admin"/>
    <s v="Supports"/>
    <s v="Loader"/>
    <s v="9993204000010440"/>
    <n v="1900"/>
    <x v="17"/>
    <m/>
    <d v="1982-08-22T00:00:00"/>
    <s v="M"/>
    <s v="N"/>
    <s v="Staff"/>
    <n v="16031"/>
    <n v="16031"/>
    <n v="9619"/>
    <n v="4809"/>
    <n v="641"/>
    <n v="481"/>
    <n v="0"/>
    <n v="0"/>
    <n v="481"/>
    <n v="481"/>
    <n v="0"/>
    <n v="0"/>
    <n v="0"/>
    <n v="0"/>
    <n v="0"/>
    <n v="0"/>
    <n v="0"/>
    <n v="0"/>
    <n v="0"/>
    <n v="16031"/>
    <n v="16031"/>
    <n v="0"/>
  </r>
  <r>
    <n v="21"/>
    <s v="ABC Textile Ltd."/>
    <n v="5341375"/>
    <s v="Habib"/>
    <s v="Admin"/>
    <s v="Supports"/>
    <s v="Loader"/>
    <s v="9993204000010490"/>
    <n v="2022"/>
    <x v="18"/>
    <d v="2022-10-20T00:00:00"/>
    <d v="1977-10-20T00:00:00"/>
    <s v="M"/>
    <s v="N"/>
    <s v="Staff"/>
    <n v="16231"/>
    <n v="16231"/>
    <n v="9739"/>
    <n v="4869"/>
    <n v="649"/>
    <n v="487"/>
    <n v="0"/>
    <n v="0"/>
    <n v="487"/>
    <n v="487"/>
    <n v="0"/>
    <n v="0"/>
    <n v="0"/>
    <n v="0"/>
    <n v="0"/>
    <n v="0"/>
    <n v="0"/>
    <n v="0"/>
    <n v="0"/>
    <n v="16231"/>
    <n v="16231"/>
    <n v="0"/>
  </r>
  <r>
    <n v="22"/>
    <s v="ABC Textile Ltd."/>
    <n v="8755179"/>
    <s v="Hafiz"/>
    <s v="Admin"/>
    <s v="Vehicle Management"/>
    <s v="Driver"/>
    <s v="9993204000004970"/>
    <n v="2022"/>
    <x v="19"/>
    <d v="2022-01-01T00:00:00"/>
    <d v="1989-12-10T00:00:00"/>
    <s v="M"/>
    <s v="N"/>
    <s v="Staff"/>
    <n v="18000"/>
    <n v="13371"/>
    <n v="10800"/>
    <n v="5400"/>
    <n v="720"/>
    <n v="540"/>
    <n v="0"/>
    <n v="0"/>
    <n v="540"/>
    <n v="540"/>
    <n v="0"/>
    <n v="0"/>
    <n v="0"/>
    <n v="0"/>
    <n v="4629"/>
    <n v="0"/>
    <n v="0"/>
    <n v="0"/>
    <n v="10"/>
    <n v="13361"/>
    <n v="0"/>
    <n v="13361"/>
  </r>
  <r>
    <n v="23"/>
    <s v="ABC Textile Ltd."/>
    <n v="6841704"/>
    <s v="Halim"/>
    <s v="Admin"/>
    <s v="Vehicle Management"/>
    <s v="Driver"/>
    <s v="703204000030835"/>
    <n v="1900"/>
    <x v="20"/>
    <m/>
    <d v="1989-06-01T00:00:00"/>
    <s v="M"/>
    <s v="N"/>
    <s v="Staff"/>
    <n v="21256"/>
    <n v="20301"/>
    <n v="12753"/>
    <n v="6377"/>
    <n v="850"/>
    <n v="638"/>
    <n v="0"/>
    <n v="0"/>
    <n v="638"/>
    <n v="638"/>
    <n v="0"/>
    <n v="0"/>
    <n v="-500"/>
    <n v="0"/>
    <n v="0"/>
    <n v="455"/>
    <n v="0"/>
    <n v="0"/>
    <n v="0"/>
    <n v="21301"/>
    <n v="20301"/>
    <n v="0"/>
  </r>
  <r>
    <n v="24"/>
    <s v="ABC Textile Ltd."/>
    <n v="9572996"/>
    <s v="Hasan"/>
    <s v="Admin"/>
    <s v="Vehicle Management"/>
    <s v="Driver"/>
    <s v="703204000030460"/>
    <n v="1900"/>
    <x v="21"/>
    <m/>
    <d v="1989-02-10T00:00:00"/>
    <s v="M"/>
    <s v="N"/>
    <s v="Staff"/>
    <n v="22496"/>
    <n v="22496"/>
    <n v="13497"/>
    <n v="6749"/>
    <n v="900"/>
    <n v="675"/>
    <n v="0"/>
    <n v="0"/>
    <n v="675"/>
    <n v="675"/>
    <n v="0"/>
    <n v="0"/>
    <n v="0"/>
    <n v="0"/>
    <n v="0"/>
    <n v="0"/>
    <n v="0"/>
    <n v="0"/>
    <n v="0"/>
    <n v="22496"/>
    <n v="22496"/>
    <n v="0"/>
  </r>
  <r>
    <n v="25"/>
    <s v="ABC Textile Ltd."/>
    <n v="9836296"/>
    <s v="Helal"/>
    <s v="Admin"/>
    <s v="Vehicle Management"/>
    <s v="Assistant Forklift Driver"/>
    <s v="703204000031248"/>
    <n v="1900"/>
    <x v="9"/>
    <m/>
    <d v="1975-12-12T00:00:00"/>
    <s v="M"/>
    <s v="N"/>
    <s v="Staff"/>
    <n v="21951"/>
    <n v="21951"/>
    <n v="13170"/>
    <n v="6585"/>
    <n v="878"/>
    <n v="659"/>
    <n v="0"/>
    <n v="0"/>
    <n v="659"/>
    <n v="659"/>
    <n v="0"/>
    <n v="0"/>
    <n v="0"/>
    <n v="0"/>
    <n v="0"/>
    <n v="0"/>
    <n v="0"/>
    <n v="0"/>
    <n v="0"/>
    <n v="21951"/>
    <n v="21951"/>
    <n v="0"/>
  </r>
  <r>
    <n v="26"/>
    <s v="ABC Textile Ltd."/>
    <n v="5420911"/>
    <s v="Hossain"/>
    <s v="Delivery"/>
    <s v="Delivery"/>
    <s v="Trainee Officer"/>
    <s v="703204000031237"/>
    <n v="1900"/>
    <x v="22"/>
    <m/>
    <d v="2001-01-25T00:00:00"/>
    <s v="M"/>
    <s v="N"/>
    <s v="Staff"/>
    <n v="16351"/>
    <n v="16351"/>
    <n v="9810"/>
    <n v="4905"/>
    <n v="654"/>
    <n v="491"/>
    <n v="0"/>
    <n v="0"/>
    <n v="491"/>
    <n v="491"/>
    <n v="0"/>
    <n v="0"/>
    <n v="0"/>
    <n v="0"/>
    <n v="0"/>
    <n v="0"/>
    <n v="0"/>
    <n v="0"/>
    <n v="0"/>
    <n v="16351"/>
    <n v="16351"/>
    <n v="0"/>
  </r>
  <r>
    <n v="27"/>
    <s v="ABC Textile Ltd."/>
    <n v="9713316"/>
    <s v="Iftekhar"/>
    <s v="HR &amp; Compliance"/>
    <s v="Administration"/>
    <s v="Asst. Admin Officer"/>
    <s v="9993204000003200"/>
    <n v="1900"/>
    <x v="23"/>
    <m/>
    <d v="1985-12-21T00:00:00"/>
    <s v="M"/>
    <s v="N"/>
    <s v="Staff"/>
    <n v="22345"/>
    <n v="22345"/>
    <n v="13407"/>
    <n v="6704"/>
    <n v="894"/>
    <n v="670"/>
    <n v="0"/>
    <n v="0"/>
    <n v="670"/>
    <n v="670"/>
    <n v="0"/>
    <n v="0"/>
    <n v="0"/>
    <n v="0"/>
    <n v="0"/>
    <n v="0"/>
    <n v="0"/>
    <n v="0"/>
    <n v="0"/>
    <n v="22345"/>
    <n v="22345"/>
    <n v="0"/>
  </r>
  <r>
    <n v="28"/>
    <s v="ABC Textile Ltd."/>
    <n v="7034621"/>
    <s v="Imran"/>
    <s v="HR &amp; Compliance"/>
    <s v="HR"/>
    <s v="Executive"/>
    <s v="9993204000003160"/>
    <n v="1900"/>
    <x v="24"/>
    <m/>
    <d v="1989-09-01T00:00:00"/>
    <s v="M"/>
    <s v="N"/>
    <s v="Staff"/>
    <n v="27251"/>
    <n v="27251"/>
    <n v="16350"/>
    <n v="8175"/>
    <n v="1090"/>
    <n v="818"/>
    <n v="0"/>
    <n v="0"/>
    <n v="818"/>
    <n v="818"/>
    <n v="0"/>
    <n v="0"/>
    <n v="0"/>
    <n v="0"/>
    <n v="0"/>
    <n v="0"/>
    <n v="2500"/>
    <n v="0"/>
    <n v="0"/>
    <n v="24751"/>
    <n v="24751"/>
    <n v="0"/>
  </r>
  <r>
    <n v="29"/>
    <s v="ABC Textile Ltd."/>
    <n v="8555326"/>
    <s v="Iqbal"/>
    <s v="IT"/>
    <s v="Information Technology"/>
    <s v="Executive"/>
    <s v="9993201000341460"/>
    <n v="1900"/>
    <x v="25"/>
    <m/>
    <d v="1997-01-01T00:00:00"/>
    <s v="M"/>
    <s v="N"/>
    <s v="Staff"/>
    <n v="32700"/>
    <n v="32700"/>
    <n v="19620"/>
    <n v="9810"/>
    <n v="1308"/>
    <n v="981"/>
    <n v="0"/>
    <n v="0"/>
    <n v="981"/>
    <n v="981"/>
    <n v="0"/>
    <n v="0"/>
    <n v="0"/>
    <n v="0"/>
    <n v="0"/>
    <n v="0"/>
    <n v="0"/>
    <n v="0"/>
    <n v="0"/>
    <n v="32700"/>
    <n v="32700"/>
    <n v="0"/>
  </r>
  <r>
    <n v="30"/>
    <s v="ABC Textile Ltd."/>
    <n v="7352540"/>
    <s v="Ishtiaq"/>
    <s v="Production"/>
    <s v="Andritz Geo"/>
    <s v="Shift Engineer"/>
    <s v="7863241000026650"/>
    <n v="1900"/>
    <x v="26"/>
    <m/>
    <d v="1991-03-16T00:00:00"/>
    <s v="M"/>
    <s v="N"/>
    <s v="Staff"/>
    <n v="34879"/>
    <n v="34879"/>
    <n v="20928"/>
    <n v="10464"/>
    <n v="1395"/>
    <n v="1046"/>
    <n v="0"/>
    <n v="0"/>
    <n v="1046"/>
    <n v="1046"/>
    <n v="0"/>
    <n v="0"/>
    <n v="0"/>
    <n v="0"/>
    <n v="0"/>
    <n v="0"/>
    <n v="0"/>
    <n v="0"/>
    <n v="0"/>
    <n v="34879"/>
    <n v="34879"/>
    <n v="0"/>
  </r>
  <r>
    <n v="31"/>
    <s v="ABC Textile Ltd."/>
    <n v="6659696"/>
    <s v="Jakir"/>
    <s v="Production"/>
    <s v="Andritz Geo"/>
    <s v="Shift Engineer"/>
    <s v="9993204000003310"/>
    <n v="1900"/>
    <x v="27"/>
    <m/>
    <d v="2001-02-10T00:00:00"/>
    <s v="M"/>
    <s v="N"/>
    <s v="Staff"/>
    <n v="21256"/>
    <n v="21256"/>
    <n v="12753"/>
    <n v="6377"/>
    <n v="850"/>
    <n v="638"/>
    <n v="0"/>
    <n v="0"/>
    <n v="638"/>
    <n v="638"/>
    <n v="0"/>
    <n v="0"/>
    <n v="0"/>
    <n v="0"/>
    <n v="0"/>
    <n v="0"/>
    <n v="0"/>
    <n v="0"/>
    <n v="0"/>
    <n v="21256"/>
    <n v="21256"/>
    <n v="0"/>
  </r>
  <r>
    <n v="32"/>
    <s v="ABC Textile Ltd."/>
    <n v="8252375"/>
    <s v="Jalal"/>
    <s v="Production"/>
    <s v="Andritz Geo"/>
    <s v="Trainee Shift Engineer"/>
    <s v="9993201000466550"/>
    <n v="1900"/>
    <x v="28"/>
    <m/>
    <d v="1999-08-21T00:00:00"/>
    <s v="M"/>
    <s v="N"/>
    <s v="Staff"/>
    <n v="27251"/>
    <n v="27251"/>
    <n v="16350"/>
    <n v="8175"/>
    <n v="1090"/>
    <n v="818"/>
    <n v="0"/>
    <n v="0"/>
    <n v="818"/>
    <n v="818"/>
    <n v="0"/>
    <n v="0"/>
    <n v="0"/>
    <n v="0"/>
    <n v="0"/>
    <n v="0"/>
    <n v="0"/>
    <n v="0"/>
    <n v="0"/>
    <n v="27251"/>
    <n v="27251"/>
    <n v="0"/>
  </r>
  <r>
    <n v="33"/>
    <s v="ABC Textile Ltd."/>
    <n v="7953821"/>
    <s v="Jahangir"/>
    <s v="Production"/>
    <s v="Andritz Geo"/>
    <s v="Shift Engineer"/>
    <s v="9993201000306610"/>
    <n v="1900"/>
    <x v="29"/>
    <m/>
    <d v="1994-04-04T00:00:00"/>
    <s v="M"/>
    <s v="N"/>
    <s v="Staff"/>
    <n v="26787"/>
    <n v="21787"/>
    <n v="16072"/>
    <n v="8036"/>
    <n v="1071"/>
    <n v="804"/>
    <n v="0"/>
    <n v="0"/>
    <n v="804"/>
    <n v="804"/>
    <n v="0"/>
    <n v="0"/>
    <n v="-5000"/>
    <n v="0"/>
    <n v="0"/>
    <n v="0"/>
    <n v="0"/>
    <n v="0"/>
    <n v="0"/>
    <n v="31787"/>
    <n v="21787"/>
    <n v="0"/>
  </r>
  <r>
    <n v="34"/>
    <s v="ABC Textile Ltd."/>
    <n v="8949990"/>
    <s v="Jahid"/>
    <s v="Production"/>
    <s v="Andritz Geo"/>
    <s v="Sr. Shift Engineer"/>
    <s v="9993201000061280"/>
    <n v="1900"/>
    <x v="30"/>
    <m/>
    <d v="1990-04-06T00:00:00"/>
    <s v="M"/>
    <s v="N"/>
    <s v="Staff"/>
    <n v="36461"/>
    <n v="36461"/>
    <n v="21877"/>
    <n v="10938"/>
    <n v="1458"/>
    <n v="1094"/>
    <n v="0"/>
    <n v="0"/>
    <n v="1094"/>
    <n v="1094"/>
    <n v="0"/>
    <n v="0"/>
    <n v="0"/>
    <n v="0"/>
    <n v="0"/>
    <n v="0"/>
    <n v="0"/>
    <n v="0"/>
    <n v="0"/>
    <n v="36461"/>
    <n v="36461"/>
    <n v="0"/>
  </r>
  <r>
    <n v="35"/>
    <s v="ABC Textile Ltd."/>
    <n v="8369043"/>
    <s v="Jamil"/>
    <s v="Production"/>
    <s v="Finishing Geo"/>
    <s v="Assistant Bundleman"/>
    <s v="9993204000010420"/>
    <n v="1900"/>
    <x v="31"/>
    <m/>
    <d v="2001-03-05T00:00:00"/>
    <s v="M"/>
    <s v="N"/>
    <s v="Staff"/>
    <n v="15904"/>
    <n v="15904"/>
    <n v="9543"/>
    <n v="4771"/>
    <n v="636"/>
    <n v="477"/>
    <n v="0"/>
    <n v="0"/>
    <n v="477"/>
    <n v="477"/>
    <n v="0"/>
    <n v="0"/>
    <n v="0"/>
    <n v="0"/>
    <n v="0"/>
    <n v="0"/>
    <n v="0"/>
    <n v="0"/>
    <n v="0"/>
    <n v="15904"/>
    <n v="15904"/>
    <n v="0"/>
  </r>
  <r>
    <n v="36"/>
    <s v="ABC Textile Ltd."/>
    <n v="6239299"/>
    <s v="Kabir"/>
    <s v="Production"/>
    <s v="Geo Local"/>
    <s v="Designer"/>
    <s v="7863241000215250"/>
    <n v="1900"/>
    <x v="32"/>
    <m/>
    <d v="1988-08-22T00:00:00"/>
    <s v="M"/>
    <s v="N"/>
    <s v="Staff"/>
    <n v="30467"/>
    <n v="30467"/>
    <n v="18280"/>
    <n v="9140"/>
    <n v="1219"/>
    <n v="914"/>
    <n v="0"/>
    <n v="0"/>
    <n v="914"/>
    <n v="914"/>
    <n v="0"/>
    <n v="0"/>
    <n v="0"/>
    <n v="0"/>
    <n v="0"/>
    <n v="0"/>
    <n v="0"/>
    <n v="0"/>
    <n v="0"/>
    <n v="30467"/>
    <n v="30467"/>
    <n v="0"/>
  </r>
  <r>
    <n v="37"/>
    <s v="ABC Textile Ltd."/>
    <n v="8857815"/>
    <s v="Kamal"/>
    <s v="Production"/>
    <s v="Geo Local"/>
    <s v="Supervisor"/>
    <s v="9993201000307850"/>
    <n v="1900"/>
    <x v="33"/>
    <m/>
    <d v="1986-10-22T00:00:00"/>
    <s v="M"/>
    <s v="N"/>
    <s v="Staff"/>
    <n v="28340"/>
    <n v="28340"/>
    <n v="17004"/>
    <n v="8502"/>
    <n v="1134"/>
    <n v="850"/>
    <n v="0"/>
    <n v="0"/>
    <n v="850"/>
    <n v="850"/>
    <n v="0"/>
    <n v="0"/>
    <n v="0"/>
    <n v="0"/>
    <n v="0"/>
    <n v="0"/>
    <n v="0"/>
    <n v="0"/>
    <n v="0"/>
    <n v="28340"/>
    <n v="28340"/>
    <n v="0"/>
  </r>
  <r>
    <n v="38"/>
    <s v="ABC Textile Ltd."/>
    <n v="8679428"/>
    <s v="Karim"/>
    <s v="Production"/>
    <s v="Geo Local"/>
    <s v="Laser Cutting Machine Operator"/>
    <s v="9993201000308140"/>
    <n v="1900"/>
    <x v="34"/>
    <m/>
    <d v="1997-09-03T00:00:00"/>
    <s v="M"/>
    <s v="N"/>
    <s v="Staff"/>
    <n v="23979"/>
    <n v="22951"/>
    <n v="14388"/>
    <n v="7194"/>
    <n v="959"/>
    <n v="719"/>
    <n v="0"/>
    <n v="0"/>
    <n v="719"/>
    <n v="719"/>
    <n v="0"/>
    <n v="0"/>
    <n v="0"/>
    <n v="0"/>
    <n v="1028"/>
    <n v="0"/>
    <n v="0"/>
    <n v="0"/>
    <n v="0"/>
    <n v="22951"/>
    <n v="22951"/>
    <n v="0"/>
  </r>
  <r>
    <n v="39"/>
    <s v="ABC Textile Ltd."/>
    <n v="6897300"/>
    <s v="Khalid"/>
    <s v="Production"/>
    <s v="Geo Local"/>
    <s v="Quality Inspector"/>
    <s v="703204000030992"/>
    <n v="1900"/>
    <x v="35"/>
    <m/>
    <d v="1981-04-22T00:00:00"/>
    <s v="M"/>
    <s v="N"/>
    <s v="Staff"/>
    <n v="22891"/>
    <n v="17891"/>
    <n v="13734"/>
    <n v="6867"/>
    <n v="916"/>
    <n v="687"/>
    <n v="0"/>
    <n v="0"/>
    <n v="687"/>
    <n v="687"/>
    <n v="250"/>
    <n v="0"/>
    <n v="-5000"/>
    <n v="0"/>
    <n v="0"/>
    <n v="0"/>
    <n v="0"/>
    <n v="0"/>
    <n v="0"/>
    <n v="28141"/>
    <n v="18141"/>
    <n v="0"/>
  </r>
  <r>
    <n v="40"/>
    <s v="ABC Textile Ltd."/>
    <n v="8017877"/>
    <s v="Liton"/>
    <s v="Production"/>
    <s v="Needle Punch"/>
    <s v="Operator"/>
    <s v="9993204000006610"/>
    <n v="1900"/>
    <x v="36"/>
    <m/>
    <d v="1971-01-01T00:00:00"/>
    <s v="M"/>
    <s v="N"/>
    <s v="Staff"/>
    <n v="26421"/>
    <n v="26421"/>
    <n v="15852"/>
    <n v="7926"/>
    <n v="1057"/>
    <n v="793"/>
    <n v="0"/>
    <n v="0"/>
    <n v="793"/>
    <n v="793"/>
    <n v="0"/>
    <n v="0"/>
    <n v="0"/>
    <n v="0"/>
    <n v="0"/>
    <n v="0"/>
    <n v="3000"/>
    <n v="0"/>
    <n v="0"/>
    <n v="23421"/>
    <n v="23421"/>
    <n v="0"/>
  </r>
  <r>
    <n v="41"/>
    <s v="ABC Textile Ltd."/>
    <n v="6776594"/>
    <s v="Mahbub"/>
    <s v="Production"/>
    <s v="Needle Punch"/>
    <s v="Supervisor"/>
    <s v="9993201000321990"/>
    <n v="1900"/>
    <x v="37"/>
    <m/>
    <d v="1987-10-01T00:00:00"/>
    <s v="M"/>
    <s v="N"/>
    <s v="Staff"/>
    <n v="40875"/>
    <n v="40875"/>
    <n v="24525"/>
    <n v="12263"/>
    <n v="1635"/>
    <n v="1226"/>
    <n v="0"/>
    <n v="0"/>
    <n v="1226"/>
    <n v="1226"/>
    <n v="0"/>
    <n v="0"/>
    <n v="0"/>
    <n v="0"/>
    <n v="0"/>
    <n v="0"/>
    <n v="0"/>
    <n v="0"/>
    <n v="0"/>
    <n v="40875"/>
    <n v="40875"/>
    <n v="0"/>
  </r>
  <r>
    <n v="42"/>
    <s v="ABC Textile Ltd."/>
    <n v="8801301"/>
    <s v="Mahdi"/>
    <s v="Production"/>
    <s v="Sewing Geo"/>
    <s v="Assistant Operator"/>
    <s v="9993204000006530"/>
    <n v="2022"/>
    <x v="38"/>
    <d v="2022-01-11T00:00:00"/>
    <d v="1995-07-15T00:00:00"/>
    <s v="M"/>
    <s v="N"/>
    <s v="Staff"/>
    <n v="16097"/>
    <n v="16097"/>
    <n v="9658"/>
    <n v="4829"/>
    <n v="644"/>
    <n v="483"/>
    <n v="0"/>
    <n v="0"/>
    <n v="483"/>
    <n v="483"/>
    <n v="0"/>
    <n v="0"/>
    <n v="0"/>
    <n v="0"/>
    <n v="0"/>
    <n v="0"/>
    <n v="0"/>
    <n v="0"/>
    <n v="0"/>
    <n v="16097"/>
    <n v="16097"/>
    <n v="0"/>
  </r>
  <r>
    <n v="43"/>
    <s v="ABC Textile Ltd."/>
    <n v="9717095"/>
    <s v="Mahfuz"/>
    <s v="Production"/>
    <s v="Sewing Geo"/>
    <s v="Quality Inspector"/>
    <s v="703204000030493"/>
    <n v="1900"/>
    <x v="39"/>
    <m/>
    <d v="1997-08-06T00:00:00"/>
    <s v="M"/>
    <s v="N"/>
    <s v="Staff"/>
    <n v="16532"/>
    <n v="16178"/>
    <n v="9919"/>
    <n v="4960"/>
    <n v="661"/>
    <n v="496"/>
    <n v="0"/>
    <n v="0"/>
    <n v="496"/>
    <n v="496"/>
    <n v="0"/>
    <n v="0"/>
    <n v="0"/>
    <n v="0"/>
    <n v="354"/>
    <n v="0"/>
    <n v="0"/>
    <n v="0"/>
    <n v="0"/>
    <n v="16178"/>
    <n v="16178"/>
    <n v="0"/>
  </r>
  <r>
    <n v="44"/>
    <s v="ABC Textile Ltd."/>
    <n v="7773498"/>
    <s v="Mamun"/>
    <s v="Production"/>
    <s v="Sewing Geo"/>
    <s v="Assistant Supervisor"/>
    <s v="703204000030518"/>
    <n v="1900"/>
    <x v="40"/>
    <m/>
    <d v="1995-02-15T00:00:00"/>
    <s v="M"/>
    <s v="N"/>
    <s v="Staff"/>
    <n v="22891"/>
    <n v="22891"/>
    <n v="13734"/>
    <n v="6867"/>
    <n v="916"/>
    <n v="687"/>
    <n v="0"/>
    <n v="0"/>
    <n v="687"/>
    <n v="687"/>
    <n v="0"/>
    <n v="0"/>
    <n v="0"/>
    <n v="0"/>
    <n v="0"/>
    <n v="0"/>
    <n v="0"/>
    <n v="0"/>
    <n v="0"/>
    <n v="22891"/>
    <n v="22891"/>
    <n v="0"/>
  </r>
  <r>
    <n v="45"/>
    <s v="ABC Textile Ltd."/>
    <n v="6974260"/>
    <s v="Maruf"/>
    <s v="Production"/>
    <s v="Sewing Geo"/>
    <s v="Quality Inspector"/>
    <s v="703204000030970"/>
    <n v="1900"/>
    <x v="41"/>
    <m/>
    <d v="1999-03-20T00:00:00"/>
    <s v="M"/>
    <s v="N"/>
    <s v="Staff"/>
    <n v="16532"/>
    <n v="16532"/>
    <n v="9919"/>
    <n v="4960"/>
    <n v="661"/>
    <n v="496"/>
    <n v="0"/>
    <n v="0"/>
    <n v="496"/>
    <n v="496"/>
    <n v="0"/>
    <n v="0"/>
    <n v="0"/>
    <n v="0"/>
    <n v="0"/>
    <n v="0"/>
    <n v="0"/>
    <n v="0"/>
    <n v="0"/>
    <n v="16532"/>
    <n v="16532"/>
    <n v="0"/>
  </r>
  <r>
    <n v="46"/>
    <s v="ABC Textile Ltd."/>
    <n v="9531431"/>
    <s v="Mehedi"/>
    <s v="Production"/>
    <s v="Sewing Geo"/>
    <s v="Supervisor"/>
    <s v="9993201000307840"/>
    <n v="1900"/>
    <x v="42"/>
    <m/>
    <d v="1983-12-19T00:00:00"/>
    <s v="M"/>
    <s v="N"/>
    <s v="Staff"/>
    <n v="25070"/>
    <n v="25070"/>
    <n v="15042"/>
    <n v="7521"/>
    <n v="1003"/>
    <n v="752"/>
    <n v="0"/>
    <n v="0"/>
    <n v="752"/>
    <n v="752"/>
    <n v="0"/>
    <n v="0"/>
    <n v="0"/>
    <n v="0"/>
    <n v="0"/>
    <n v="0"/>
    <n v="0"/>
    <n v="0"/>
    <n v="0"/>
    <n v="25070"/>
    <n v="25070"/>
    <n v="0"/>
  </r>
  <r>
    <n v="47"/>
    <s v="ABC Textile Ltd."/>
    <n v="7243992"/>
    <s v="Minhaj"/>
    <s v="Production"/>
    <s v="Sewing Geo"/>
    <s v="Mechanic"/>
    <s v="9993201000060310"/>
    <n v="1900"/>
    <x v="43"/>
    <m/>
    <d v="1994-11-12T00:00:00"/>
    <s v="M"/>
    <s v="N"/>
    <s v="Staff"/>
    <n v="24264"/>
    <n v="24264"/>
    <n v="14558"/>
    <n v="7279"/>
    <n v="971"/>
    <n v="728"/>
    <n v="0"/>
    <n v="0"/>
    <n v="728"/>
    <n v="728"/>
    <n v="0"/>
    <n v="0"/>
    <n v="0"/>
    <n v="0"/>
    <n v="0"/>
    <n v="0"/>
    <n v="0"/>
    <n v="0"/>
    <n v="0"/>
    <n v="24264"/>
    <n v="24264"/>
    <n v="0"/>
  </r>
  <r>
    <n v="48"/>
    <s v="ABC Textile Ltd."/>
    <n v="6758752"/>
    <s v="Miraz"/>
    <s v="Production"/>
    <s v="Sewing Geo"/>
    <s v="General Quality Inspector"/>
    <m/>
    <n v="1900"/>
    <x v="44"/>
    <m/>
    <d v="2005-01-12T00:00:00"/>
    <s v="M"/>
    <s v="N"/>
    <s v="Staff"/>
    <n v="16048"/>
    <n v="16048"/>
    <n v="9629"/>
    <n v="4815"/>
    <n v="642"/>
    <n v="481"/>
    <n v="0"/>
    <n v="0"/>
    <n v="481"/>
    <n v="481"/>
    <n v="0"/>
    <n v="0"/>
    <n v="0"/>
    <n v="0"/>
    <n v="0"/>
    <n v="0"/>
    <n v="0"/>
    <n v="0"/>
    <n v="0"/>
    <n v="16048"/>
    <n v="16048"/>
    <n v="0"/>
  </r>
  <r>
    <n v="49"/>
    <s v="ABC Textile Ltd."/>
    <n v="6089090"/>
    <s v="Mizan"/>
    <s v="Store"/>
    <s v="Store"/>
    <s v="Store Co-Ordinator(Assistant)"/>
    <s v="9993204000003320"/>
    <n v="1900"/>
    <x v="45"/>
    <m/>
    <d v="1989-06-05T00:00:00"/>
    <s v="M"/>
    <s v="N"/>
    <s v="Staff"/>
    <n v="17386"/>
    <n v="17212"/>
    <n v="10431"/>
    <n v="5216"/>
    <n v="695"/>
    <n v="522"/>
    <n v="0"/>
    <n v="0"/>
    <n v="522"/>
    <n v="522"/>
    <n v="0"/>
    <n v="0"/>
    <n v="-174"/>
    <n v="0"/>
    <n v="0"/>
    <n v="0"/>
    <n v="0"/>
    <n v="0"/>
    <n v="0"/>
    <n v="17560"/>
    <n v="17212"/>
    <n v="0"/>
  </r>
  <r>
    <n v="50"/>
    <s v="ABC Textile Ltd."/>
    <n v="8660049"/>
    <s v="Monir"/>
    <s v="Store"/>
    <s v="Store"/>
    <s v="Store Officer"/>
    <s v="9993201000063560"/>
    <n v="2022"/>
    <x v="46"/>
    <d v="2022-09-08T00:00:00"/>
    <d v="1992-09-08T00:00:00"/>
    <s v="M"/>
    <s v="N"/>
    <s v="Staff"/>
    <n v="29103"/>
    <n v="25103"/>
    <n v="17462"/>
    <n v="8731"/>
    <n v="1164"/>
    <n v="873"/>
    <n v="0"/>
    <n v="0"/>
    <n v="873"/>
    <n v="873"/>
    <n v="0"/>
    <n v="0"/>
    <n v="-4000"/>
    <n v="0"/>
    <n v="0"/>
    <n v="0"/>
    <n v="0"/>
    <n v="0"/>
    <n v="0"/>
    <n v="33103"/>
    <n v="25103"/>
    <n v="0"/>
  </r>
  <r>
    <n v="51"/>
    <s v="ABC Textile Ltd."/>
    <n v="6570653"/>
    <s v="Mosharraf"/>
    <s v="Store"/>
    <s v="Store"/>
    <s v="Store Co-Ordinator(Assistant)"/>
    <s v="703204000030540"/>
    <n v="1900"/>
    <x v="47"/>
    <m/>
    <d v="1997-12-01T00:00:00"/>
    <s v="M"/>
    <s v="N"/>
    <s v="Staff"/>
    <n v="23001"/>
    <n v="22771"/>
    <n v="13801"/>
    <n v="6900"/>
    <n v="920"/>
    <n v="690"/>
    <n v="0"/>
    <n v="0"/>
    <n v="690"/>
    <n v="690"/>
    <n v="0"/>
    <n v="0"/>
    <n v="-230"/>
    <n v="0"/>
    <n v="0"/>
    <n v="0"/>
    <n v="0"/>
    <n v="0"/>
    <n v="0"/>
    <n v="23231"/>
    <n v="22771"/>
    <n v="0"/>
  </r>
  <r>
    <n v="52"/>
    <s v="ABC Textile Ltd."/>
    <n v="6168569"/>
    <s v="Mostafa"/>
    <s v="Utility &amp; Maintenance"/>
    <s v="Electrical"/>
    <s v="Shift Engineer"/>
    <s v="9993204000009530"/>
    <n v="1900"/>
    <x v="48"/>
    <m/>
    <d v="2000-04-20T00:00:00"/>
    <s v="M"/>
    <s v="N"/>
    <s v="Staff"/>
    <n v="22000"/>
    <n v="16500"/>
    <n v="13200"/>
    <n v="6600"/>
    <n v="880"/>
    <n v="660"/>
    <n v="0"/>
    <n v="0"/>
    <n v="660"/>
    <n v="660"/>
    <n v="0"/>
    <n v="0"/>
    <n v="0"/>
    <n v="0"/>
    <n v="5500"/>
    <n v="0"/>
    <n v="0"/>
    <n v="0"/>
    <n v="0"/>
    <n v="16500"/>
    <n v="16500"/>
    <n v="0"/>
  </r>
  <r>
    <n v="53"/>
    <s v="ABC Textile Ltd."/>
    <n v="5909965"/>
    <s v="Muktadir"/>
    <s v="Utility &amp; Maintenance"/>
    <s v="Electrical"/>
    <s v="Junior Executive (Electrical)"/>
    <s v="703204000031099"/>
    <n v="2022"/>
    <x v="49"/>
    <d v="2022-09-27T00:00:00"/>
    <d v="1996-01-01T00:00:00"/>
    <s v="M"/>
    <s v="N"/>
    <s v="Staff"/>
    <n v="23654"/>
    <n v="18654"/>
    <n v="14192"/>
    <n v="7096"/>
    <n v="946"/>
    <n v="710"/>
    <n v="0"/>
    <n v="0"/>
    <n v="710"/>
    <n v="710"/>
    <n v="0"/>
    <n v="0"/>
    <n v="-5000"/>
    <n v="0"/>
    <n v="0"/>
    <n v="0"/>
    <n v="0"/>
    <n v="0"/>
    <n v="0"/>
    <n v="28654"/>
    <n v="18654"/>
    <n v="0"/>
  </r>
  <r>
    <n v="54"/>
    <s v="ABC Textile Ltd."/>
    <n v="7554976"/>
    <s v="Munna"/>
    <s v="Utility &amp; Maintenance"/>
    <s v="Electrical"/>
    <s v="Junior Executive (Electrical)"/>
    <s v="9993201000307920"/>
    <n v="1900"/>
    <x v="50"/>
    <m/>
    <d v="1994-01-10T00:00:00"/>
    <s v="M"/>
    <s v="N"/>
    <s v="Staff"/>
    <n v="25070"/>
    <n v="25070"/>
    <n v="15042"/>
    <n v="7521"/>
    <n v="1003"/>
    <n v="752"/>
    <n v="0"/>
    <n v="0"/>
    <n v="752"/>
    <n v="752"/>
    <n v="0"/>
    <n v="0"/>
    <n v="0"/>
    <n v="0"/>
    <n v="0"/>
    <n v="0"/>
    <n v="0"/>
    <n v="0"/>
    <n v="0"/>
    <n v="25070"/>
    <n v="25070"/>
    <n v="0"/>
  </r>
  <r>
    <n v="55"/>
    <s v="ABC Textile Ltd."/>
    <n v="5122456"/>
    <s v="Murad"/>
    <s v="Utility &amp; Maintenance"/>
    <s v="Electrical"/>
    <s v="Junior Executive (Electrical)"/>
    <s v="9993201000307860"/>
    <n v="2025"/>
    <x v="51"/>
    <d v="2025-02-09T00:00:00"/>
    <d v="1998-02-07T00:00:00"/>
    <s v="M"/>
    <s v="N"/>
    <s v="Staff"/>
    <n v="24700"/>
    <n v="7939"/>
    <n v="14820"/>
    <n v="7410"/>
    <n v="988"/>
    <n v="741"/>
    <n v="0"/>
    <n v="0"/>
    <n v="741"/>
    <n v="741"/>
    <n v="0"/>
    <n v="0"/>
    <n v="0"/>
    <n v="0"/>
    <n v="16761"/>
    <n v="0"/>
    <n v="0"/>
    <n v="0"/>
    <n v="10"/>
    <n v="7929"/>
    <n v="0"/>
    <n v="7929"/>
  </r>
  <r>
    <n v="56"/>
    <s v="ABC Textile Ltd."/>
    <n v="7876756"/>
    <s v="Mustafiz"/>
    <s v="Utility &amp; Maintenance"/>
    <s v="Electrical"/>
    <s v="Assistant Electrician"/>
    <s v="1343204000011520"/>
    <n v="1900"/>
    <x v="52"/>
    <m/>
    <d v="1996-03-18T00:00:00"/>
    <s v="M"/>
    <s v="N"/>
    <s v="Staff"/>
    <n v="18535"/>
    <n v="18535"/>
    <n v="11121"/>
    <n v="5561"/>
    <n v="741"/>
    <n v="556"/>
    <n v="0"/>
    <n v="0"/>
    <n v="556"/>
    <n v="556"/>
    <n v="0"/>
    <n v="0"/>
    <n v="0"/>
    <n v="0"/>
    <n v="0"/>
    <n v="0"/>
    <n v="0"/>
    <n v="0"/>
    <n v="0"/>
    <n v="18535"/>
    <n v="18535"/>
    <n v="0"/>
  </r>
  <r>
    <n v="57"/>
    <s v="ABC Textile Ltd."/>
    <n v="5456525"/>
    <s v="Naim"/>
    <s v="Utility &amp; Maintenance"/>
    <s v="Electrical"/>
    <s v="Assistant Electrician"/>
    <s v="703204000030948"/>
    <n v="1900"/>
    <x v="53"/>
    <m/>
    <d v="1985-06-13T00:00:00"/>
    <s v="M"/>
    <s v="N"/>
    <s v="Staff"/>
    <n v="21309"/>
    <n v="21309"/>
    <n v="12786"/>
    <n v="6393"/>
    <n v="852"/>
    <n v="639"/>
    <n v="0"/>
    <n v="0"/>
    <n v="639"/>
    <n v="639"/>
    <n v="0"/>
    <n v="0"/>
    <n v="0"/>
    <n v="0"/>
    <n v="0"/>
    <n v="0"/>
    <n v="0"/>
    <n v="0"/>
    <n v="0"/>
    <n v="21309"/>
    <n v="21309"/>
    <n v="0"/>
  </r>
  <r>
    <n v="58"/>
    <s v="ABC Textile Ltd."/>
    <n v="8766545"/>
    <s v="Nasir"/>
    <s v="Utility &amp; Maintenance"/>
    <s v="Electrical"/>
    <s v="Sr. Shift Engineer"/>
    <s v="703204000031102"/>
    <n v="1900"/>
    <x v="54"/>
    <m/>
    <d v="1994-08-08T00:00:00"/>
    <s v="M"/>
    <s v="N"/>
    <s v="Staff"/>
    <n v="43056"/>
    <n v="43056"/>
    <n v="25833"/>
    <n v="12917"/>
    <n v="1722"/>
    <n v="1292"/>
    <n v="0"/>
    <n v="0"/>
    <n v="1292"/>
    <n v="1292"/>
    <n v="0"/>
    <n v="0"/>
    <n v="0"/>
    <n v="0"/>
    <n v="0"/>
    <n v="0"/>
    <n v="0"/>
    <n v="0"/>
    <n v="0"/>
    <n v="43056"/>
    <n v="43056"/>
    <n v="0"/>
  </r>
  <r>
    <n v="59"/>
    <s v="ABC Textile Ltd."/>
    <n v="9983256"/>
    <s v="Nazmul"/>
    <s v="Utility &amp; Maintenance"/>
    <s v="Electrical"/>
    <s v="Assistant Electrician"/>
    <s v="703204000030471"/>
    <n v="1900"/>
    <x v="55"/>
    <m/>
    <d v="1995-01-01T00:00:00"/>
    <s v="M"/>
    <s v="N"/>
    <s v="Staff"/>
    <n v="21256"/>
    <n v="16256"/>
    <n v="12753"/>
    <n v="6377"/>
    <n v="850"/>
    <n v="638"/>
    <n v="0"/>
    <n v="0"/>
    <n v="638"/>
    <n v="638"/>
    <n v="0"/>
    <n v="0"/>
    <n v="-5000"/>
    <n v="0"/>
    <n v="0"/>
    <n v="0"/>
    <n v="0"/>
    <n v="0"/>
    <n v="0"/>
    <n v="26256"/>
    <n v="16256"/>
    <n v="0"/>
  </r>
  <r>
    <n v="60"/>
    <s v="ABC Textile Ltd."/>
    <n v="7769442"/>
    <s v="Niaz"/>
    <s v="Utility &amp; Maintenance"/>
    <s v="Electrical"/>
    <s v="Electrician"/>
    <s v="7863241000346900"/>
    <n v="1900"/>
    <x v="56"/>
    <m/>
    <d v="1997-07-06T00:00:00"/>
    <s v="M"/>
    <s v="N"/>
    <s v="Staff"/>
    <n v="30259"/>
    <n v="30259"/>
    <n v="18155"/>
    <n v="9078"/>
    <n v="1210"/>
    <n v="908"/>
    <n v="0"/>
    <n v="0"/>
    <n v="908"/>
    <n v="908"/>
    <n v="0"/>
    <n v="0"/>
    <n v="0"/>
    <n v="0"/>
    <n v="0"/>
    <n v="0"/>
    <n v="0"/>
    <n v="0"/>
    <n v="0"/>
    <n v="30259"/>
    <n v="30259"/>
    <n v="0"/>
  </r>
  <r>
    <n v="61"/>
    <s v="ABC Textile Ltd."/>
    <n v="5377015"/>
    <s v="Nurul"/>
    <s v="Utility &amp; Maintenance"/>
    <s v="Electrical"/>
    <s v="Maintenance Officer"/>
    <s v="9993201000374800"/>
    <n v="1900"/>
    <x v="57"/>
    <m/>
    <d v="1982-04-15T00:00:00"/>
    <s v="M"/>
    <s v="N"/>
    <s v="Staff"/>
    <n v="41966"/>
    <n v="41966"/>
    <n v="25179"/>
    <n v="12590"/>
    <n v="1679"/>
    <n v="1259"/>
    <n v="0"/>
    <n v="0"/>
    <n v="1259"/>
    <n v="1259"/>
    <n v="0"/>
    <n v="0"/>
    <n v="0"/>
    <n v="0"/>
    <n v="0"/>
    <n v="0"/>
    <n v="0"/>
    <n v="0"/>
    <n v="0"/>
    <n v="41966"/>
    <n v="41966"/>
    <n v="0"/>
  </r>
  <r>
    <n v="62"/>
    <s v="ABC Textile Ltd."/>
    <n v="7321525"/>
    <s v="Parvez"/>
    <s v="Utility &amp; Maintenance"/>
    <s v="Electrical"/>
    <s v="Asst. Manager"/>
    <s v="9993201000364090"/>
    <n v="1900"/>
    <x v="58"/>
    <m/>
    <d v="1990-10-01T00:00:00"/>
    <s v="M"/>
    <s v="N"/>
    <s v="Staff"/>
    <n v="51230"/>
    <n v="51230"/>
    <n v="30738"/>
    <n v="15369"/>
    <n v="2049"/>
    <n v="1537"/>
    <n v="0"/>
    <n v="0"/>
    <n v="1537"/>
    <n v="1537"/>
    <n v="0"/>
    <n v="0"/>
    <n v="0"/>
    <n v="0"/>
    <n v="0"/>
    <n v="0"/>
    <n v="0"/>
    <n v="556"/>
    <n v="0"/>
    <n v="50674"/>
    <n v="50674"/>
    <n v="0"/>
  </r>
  <r>
    <n v="63"/>
    <s v="ABC Textile Ltd."/>
    <n v="9785895"/>
    <s v="Pritom"/>
    <s v="Utility &amp; Maintenance"/>
    <s v="Mechanical"/>
    <s v="Head Fitter"/>
    <s v="9993201000366020"/>
    <n v="1900"/>
    <x v="59"/>
    <m/>
    <d v="1994-03-10T00:00:00"/>
    <s v="M"/>
    <s v="N"/>
    <s v="Staff"/>
    <n v="27576"/>
    <n v="27576"/>
    <n v="16546"/>
    <n v="8273"/>
    <n v="1103"/>
    <n v="827"/>
    <n v="0"/>
    <n v="0"/>
    <n v="827"/>
    <n v="827"/>
    <n v="0"/>
    <n v="0"/>
    <n v="0"/>
    <n v="0"/>
    <n v="0"/>
    <n v="0"/>
    <n v="0"/>
    <n v="0"/>
    <n v="0"/>
    <n v="27576"/>
    <n v="27576"/>
    <n v="0"/>
  </r>
  <r>
    <n v="64"/>
    <s v="ABC Textile Ltd."/>
    <n v="8952953"/>
    <s v="Rahat"/>
    <s v="Utility &amp; Maintenance"/>
    <s v="Mechanical"/>
    <s v=" Assistant Fitter Man"/>
    <s v="703204000030999"/>
    <n v="1900"/>
    <x v="60"/>
    <m/>
    <d v="1990-08-28T00:00:00"/>
    <s v="M"/>
    <s v="N"/>
    <s v="Staff"/>
    <n v="16126"/>
    <n v="16126"/>
    <n v="9675"/>
    <n v="4838"/>
    <n v="645"/>
    <n v="484"/>
    <n v="0"/>
    <n v="0"/>
    <n v="484"/>
    <n v="484"/>
    <n v="0"/>
    <n v="0"/>
    <n v="0"/>
    <n v="0"/>
    <n v="0"/>
    <n v="0"/>
    <n v="0"/>
    <n v="0"/>
    <n v="0"/>
    <n v="16126"/>
    <n v="16126"/>
    <n v="0"/>
  </r>
  <r>
    <n v="65"/>
    <s v="ABC Textile Ltd."/>
    <n v="8351522"/>
    <s v="Rakib"/>
    <s v="Utility &amp; Maintenance"/>
    <s v="Mechanical"/>
    <s v=" Assistant Fitter Man"/>
    <s v="9993204000003100"/>
    <n v="1900"/>
    <x v="61"/>
    <m/>
    <d v="1995-01-01T00:00:00"/>
    <s v="M"/>
    <s v="N"/>
    <s v="Staff"/>
    <n v="18530"/>
    <n v="18530"/>
    <n v="11118"/>
    <n v="5559"/>
    <n v="741"/>
    <n v="556"/>
    <n v="0"/>
    <n v="0"/>
    <n v="556"/>
    <n v="556"/>
    <n v="0"/>
    <n v="0"/>
    <n v="0"/>
    <n v="0"/>
    <n v="0"/>
    <n v="0"/>
    <n v="0"/>
    <n v="0"/>
    <n v="0"/>
    <n v="18530"/>
    <n v="18530"/>
    <n v="0"/>
  </r>
  <r>
    <n v="66"/>
    <s v="ABC Textile Ltd."/>
    <n v="5603019"/>
    <s v="Rashid"/>
    <s v="Utility &amp; Maintenance"/>
    <s v="Mechanical"/>
    <s v="Mechanical Fitter Man"/>
    <s v="783204000012196"/>
    <n v="1900"/>
    <x v="62"/>
    <m/>
    <d v="1979-06-02T00:00:00"/>
    <s v="M"/>
    <s v="N"/>
    <s v="Staff"/>
    <n v="35533"/>
    <n v="35533"/>
    <n v="21320"/>
    <n v="10660"/>
    <n v="1421"/>
    <n v="1066"/>
    <n v="0"/>
    <n v="0"/>
    <n v="1066"/>
    <n v="1066"/>
    <n v="0"/>
    <n v="0"/>
    <n v="0"/>
    <n v="0"/>
    <n v="0"/>
    <n v="0"/>
    <n v="5000"/>
    <n v="0"/>
    <n v="0"/>
    <n v="30533"/>
    <n v="30533"/>
    <n v="0"/>
  </r>
  <r>
    <n v="67"/>
    <s v="ABC Textile Ltd."/>
    <n v="8751987"/>
    <s v="Rayhan"/>
    <s v="Utility &amp; Maintenance"/>
    <s v="Mechanical"/>
    <s v="Sr. Shift Engineer"/>
    <s v="703204000031055"/>
    <n v="1900"/>
    <x v="63"/>
    <m/>
    <d v="1993-05-12T00:00:00"/>
    <s v="M"/>
    <s v="N"/>
    <s v="Staff"/>
    <n v="37060"/>
    <n v="37060"/>
    <n v="22236"/>
    <n v="11118"/>
    <n v="1482"/>
    <n v="1112"/>
    <n v="0"/>
    <n v="0"/>
    <n v="1112"/>
    <n v="1112"/>
    <n v="0"/>
    <n v="0"/>
    <n v="0"/>
    <n v="0"/>
    <n v="0"/>
    <n v="0"/>
    <n v="0"/>
    <n v="0"/>
    <n v="0"/>
    <n v="37060"/>
    <n v="37060"/>
    <n v="0"/>
  </r>
  <r>
    <n v="68"/>
    <s v="ABC Textile Ltd."/>
    <n v="9143499"/>
    <s v="Reaz"/>
    <s v="Utility &amp; Maintenance"/>
    <s v="Mechanical"/>
    <s v=" Assistant Fitter Man"/>
    <s v="703204000030482"/>
    <n v="1900"/>
    <x v="64"/>
    <m/>
    <d v="1997-10-07T00:00:00"/>
    <s v="M"/>
    <s v="N"/>
    <s v="Staff"/>
    <n v="21256"/>
    <n v="21256"/>
    <n v="12753"/>
    <n v="6377"/>
    <n v="850"/>
    <n v="638"/>
    <n v="0"/>
    <n v="0"/>
    <n v="638"/>
    <n v="638"/>
    <n v="0"/>
    <n v="0"/>
    <n v="0"/>
    <n v="0"/>
    <n v="0"/>
    <n v="0"/>
    <n v="0"/>
    <n v="0"/>
    <n v="0"/>
    <n v="21256"/>
    <n v="21256"/>
    <n v="0"/>
  </r>
  <r>
    <n v="69"/>
    <s v="ABC J (Bangladesh) Ltd."/>
    <n v="5484198"/>
    <s v="Ridwan"/>
    <s v="Accounts"/>
    <s v="Accounts"/>
    <s v="Senior Executive"/>
    <s v="9993204000003410"/>
    <n v="2023"/>
    <x v="65"/>
    <d v="2023-12-31T00:00:00"/>
    <d v="1988-12-31T00:00:00"/>
    <s v="M"/>
    <s v="N"/>
    <s v="Staff"/>
    <n v="46870"/>
    <n v="46870"/>
    <n v="28122"/>
    <n v="14061"/>
    <n v="1875"/>
    <n v="1406"/>
    <n v="0"/>
    <n v="0"/>
    <n v="1406"/>
    <n v="1406"/>
    <n v="0"/>
    <n v="0"/>
    <n v="0"/>
    <n v="0"/>
    <n v="0"/>
    <n v="0"/>
    <n v="0"/>
    <n v="0"/>
    <n v="0"/>
    <n v="46870"/>
    <n v="46870"/>
    <n v="0"/>
  </r>
  <r>
    <n v="70"/>
    <s v="ABC J (Bangladesh) Ltd."/>
    <n v="7798029"/>
    <s v="Rifat"/>
    <s v="Accounts"/>
    <s v="Accounts"/>
    <s v="Assistant Manager"/>
    <s v="703204000030799"/>
    <n v="1900"/>
    <x v="66"/>
    <m/>
    <d v="1984-09-25T00:00:00"/>
    <s v="M"/>
    <s v="N"/>
    <s v="Staff"/>
    <n v="48941"/>
    <n v="48941"/>
    <n v="29365"/>
    <n v="14682"/>
    <n v="1958"/>
    <n v="1468"/>
    <n v="0"/>
    <n v="0"/>
    <n v="1468"/>
    <n v="1468"/>
    <n v="0"/>
    <n v="0"/>
    <n v="0"/>
    <n v="0"/>
    <n v="0"/>
    <n v="0"/>
    <n v="0"/>
    <n v="300"/>
    <n v="0"/>
    <n v="48641"/>
    <n v="48641"/>
    <n v="0"/>
  </r>
  <r>
    <n v="71"/>
    <s v="ABC J (Bangladesh) Ltd."/>
    <n v="5514537"/>
    <s v="Ripon"/>
    <s v="Admin"/>
    <s v="Canteen"/>
    <s v="Canteen Boy"/>
    <s v="703204000030458"/>
    <n v="1900"/>
    <x v="67"/>
    <m/>
    <d v="1995-01-01T00:00:00"/>
    <s v="M"/>
    <s v="N"/>
    <s v="Staff"/>
    <n v="17991"/>
    <n v="12991"/>
    <n v="10794"/>
    <n v="5397"/>
    <n v="720"/>
    <n v="540"/>
    <n v="0"/>
    <n v="0"/>
    <n v="540"/>
    <n v="540"/>
    <n v="0"/>
    <n v="0"/>
    <n v="-5000"/>
    <n v="0"/>
    <n v="0"/>
    <n v="0"/>
    <n v="0"/>
    <n v="0"/>
    <n v="0"/>
    <n v="22991"/>
    <n v="12991"/>
    <n v="0"/>
  </r>
  <r>
    <n v="72"/>
    <s v="ABC J (Bangladesh) Ltd."/>
    <n v="7731098"/>
    <s v="Rizvi"/>
    <s v="Admin"/>
    <s v="Child Care"/>
    <s v="Governess"/>
    <s v="9993204000003210"/>
    <n v="1900"/>
    <x v="68"/>
    <m/>
    <d v="1993-01-15T00:00:00"/>
    <s v="F"/>
    <s v="N"/>
    <s v="Staff"/>
    <n v="17767"/>
    <n v="13325"/>
    <n v="10660"/>
    <n v="5330"/>
    <n v="711"/>
    <n v="533"/>
    <n v="0"/>
    <n v="0"/>
    <n v="533"/>
    <n v="533"/>
    <n v="0"/>
    <n v="0"/>
    <n v="-4442"/>
    <n v="0"/>
    <n v="0"/>
    <n v="0"/>
    <n v="0"/>
    <n v="0"/>
    <n v="0"/>
    <n v="22209"/>
    <n v="13325"/>
    <n v="0"/>
  </r>
  <r>
    <n v="73"/>
    <s v="ABC J (Bangladesh) Ltd."/>
    <n v="9454142"/>
    <s v="Rubel"/>
    <s v="Admin"/>
    <s v="Factory Affairs"/>
    <s v="General Manager"/>
    <s v="703204000030904"/>
    <n v="2023"/>
    <x v="69"/>
    <d v="2023-01-01T00:00:00"/>
    <d v="1967-06-02T00:00:00"/>
    <s v="M"/>
    <s v="N"/>
    <s v="Staff"/>
    <n v="185000"/>
    <n v="185000"/>
    <n v="111000"/>
    <n v="55500"/>
    <n v="7400"/>
    <n v="5550"/>
    <n v="0"/>
    <n v="0"/>
    <n v="5550"/>
    <n v="5550"/>
    <n v="0"/>
    <n v="0"/>
    <n v="0"/>
    <n v="0"/>
    <n v="0"/>
    <n v="0"/>
    <n v="0"/>
    <n v="16000"/>
    <n v="0"/>
    <n v="169000"/>
    <n v="169000"/>
    <n v="0"/>
  </r>
  <r>
    <n v="74"/>
    <s v="ABC J (Bangladesh) Ltd."/>
    <n v="6334717"/>
    <s v="Rumman"/>
    <s v="Admin"/>
    <s v="Medical"/>
    <s v="Nurse"/>
    <s v="703204000029461"/>
    <n v="1900"/>
    <x v="70"/>
    <m/>
    <d v="1995-03-15T00:00:00"/>
    <s v="F"/>
    <s v="N"/>
    <s v="Staff"/>
    <n v="32179"/>
    <n v="32179"/>
    <n v="19308"/>
    <n v="9654"/>
    <n v="1287"/>
    <n v="965"/>
    <n v="0"/>
    <n v="0"/>
    <n v="965"/>
    <n v="965"/>
    <n v="0"/>
    <n v="0"/>
    <n v="0"/>
    <n v="0"/>
    <n v="0"/>
    <n v="0"/>
    <n v="0"/>
    <n v="0"/>
    <n v="0"/>
    <n v="32179"/>
    <n v="32179"/>
    <n v="0"/>
  </r>
  <r>
    <n v="75"/>
    <s v="ABC J (Bangladesh) Ltd."/>
    <n v="9274196"/>
    <s v="Saad"/>
    <s v="Admin"/>
    <s v="Security"/>
    <s v="Security Trainee Supervisor"/>
    <s v="703204000029528"/>
    <n v="1900"/>
    <x v="71"/>
    <m/>
    <d v="1975-05-11T00:00:00"/>
    <s v="M"/>
    <s v="N"/>
    <s v="Staff"/>
    <n v="24198"/>
    <n v="24198"/>
    <n v="14519"/>
    <n v="7259"/>
    <n v="968"/>
    <n v="726"/>
    <n v="0"/>
    <n v="0"/>
    <n v="726"/>
    <n v="726"/>
    <n v="0"/>
    <n v="0"/>
    <n v="0"/>
    <n v="0"/>
    <n v="0"/>
    <n v="0"/>
    <n v="0"/>
    <n v="0"/>
    <n v="0"/>
    <n v="24198"/>
    <n v="24198"/>
    <n v="0"/>
  </r>
  <r>
    <n v="76"/>
    <s v="ABC J (Bangladesh) Ltd."/>
    <n v="5804642"/>
    <s v="Sabbir"/>
    <s v="Admin"/>
    <s v="Security"/>
    <s v="Security Guard"/>
    <s v="703204000029348"/>
    <n v="2023"/>
    <x v="72"/>
    <d v="2023-01-01T00:00:00"/>
    <d v="1968-03-04T00:00:00"/>
    <s v="M"/>
    <s v="N"/>
    <s v="Staff"/>
    <n v="23226"/>
    <n v="23226"/>
    <n v="13935"/>
    <n v="6968"/>
    <n v="929"/>
    <n v="697"/>
    <n v="0"/>
    <n v="0"/>
    <n v="697"/>
    <n v="697"/>
    <n v="0"/>
    <n v="0"/>
    <n v="0"/>
    <n v="0"/>
    <n v="0"/>
    <n v="0"/>
    <n v="0"/>
    <n v="0"/>
    <n v="0"/>
    <n v="23226"/>
    <n v="23226"/>
    <n v="0"/>
  </r>
  <r>
    <n v="77"/>
    <s v="ABC J (Bangladesh) Ltd."/>
    <n v="5345011"/>
    <s v="Sadman"/>
    <s v="Admin"/>
    <s v="Security"/>
    <s v="Security Guard"/>
    <s v="703204000029417"/>
    <n v="2023"/>
    <x v="73"/>
    <d v="2023-01-01T00:00:00"/>
    <d v="1966-05-10T00:00:00"/>
    <s v="M"/>
    <s v="N"/>
    <s v="Staff"/>
    <n v="24184"/>
    <n v="24184"/>
    <n v="14510"/>
    <n v="7255"/>
    <n v="967"/>
    <n v="726"/>
    <n v="0"/>
    <n v="0"/>
    <n v="726"/>
    <n v="726"/>
    <n v="0"/>
    <n v="0"/>
    <n v="0"/>
    <n v="0"/>
    <n v="0"/>
    <n v="0"/>
    <n v="0"/>
    <n v="0"/>
    <n v="0"/>
    <n v="24184"/>
    <n v="24184"/>
    <n v="0"/>
  </r>
  <r>
    <n v="78"/>
    <s v="ABC J (Bangladesh) Ltd."/>
    <n v="9110823"/>
    <s v="Saeed"/>
    <s v="Admin"/>
    <s v="Security"/>
    <s v="Security In charge"/>
    <s v="9993204000003500"/>
    <n v="2023"/>
    <x v="74"/>
    <d v="2023-01-01T00:00:00"/>
    <d v="1980-03-05T00:00:00"/>
    <s v="M"/>
    <s v="N"/>
    <s v="Staff"/>
    <n v="25000"/>
    <n v="25000"/>
    <n v="14500"/>
    <n v="7250"/>
    <n v="1450"/>
    <n v="1800"/>
    <n v="0"/>
    <n v="0"/>
    <n v="0"/>
    <n v="1800"/>
    <n v="0"/>
    <n v="0"/>
    <n v="0"/>
    <n v="0"/>
    <n v="0"/>
    <n v="0"/>
    <n v="0"/>
    <n v="0"/>
    <n v="0"/>
    <n v="25000"/>
    <n v="25000"/>
    <n v="0"/>
  </r>
  <r>
    <n v="79"/>
    <s v="ABC J (Bangladesh) Ltd."/>
    <n v="6416473"/>
    <s v="Sagor"/>
    <s v="Admin"/>
    <s v="Security"/>
    <s v="Lady Checker"/>
    <s v="703204000029392"/>
    <n v="1900"/>
    <x v="57"/>
    <m/>
    <d v="1992-06-15T00:00:00"/>
    <s v="F"/>
    <s v="N"/>
    <s v="Staff"/>
    <n v="16153"/>
    <n v="8365"/>
    <n v="9691"/>
    <n v="4846"/>
    <n v="646"/>
    <n v="485"/>
    <n v="0"/>
    <n v="0"/>
    <n v="485"/>
    <n v="485"/>
    <n v="0"/>
    <n v="0"/>
    <n v="-7788"/>
    <n v="0"/>
    <n v="0"/>
    <n v="0"/>
    <n v="500"/>
    <n v="0"/>
    <n v="0"/>
    <n v="23441"/>
    <n v="7865"/>
    <n v="0"/>
  </r>
  <r>
    <n v="80"/>
    <s v="ABC J (Bangladesh) Ltd."/>
    <n v="9427349"/>
    <s v="Sajib"/>
    <s v="Admin"/>
    <s v="Supports"/>
    <s v="Lift Operator"/>
    <s v="703204000029541"/>
    <n v="1900"/>
    <x v="75"/>
    <m/>
    <d v="2003-10-20T00:00:00"/>
    <s v="M"/>
    <s v="N"/>
    <s v="Staff"/>
    <n v="18608"/>
    <n v="18608"/>
    <n v="11165"/>
    <n v="5583"/>
    <n v="744"/>
    <n v="558"/>
    <n v="0"/>
    <n v="0"/>
    <n v="558"/>
    <n v="558"/>
    <n v="0"/>
    <n v="0"/>
    <n v="0"/>
    <n v="0"/>
    <n v="0"/>
    <n v="0"/>
    <n v="0"/>
    <n v="0"/>
    <n v="0"/>
    <n v="18608"/>
    <n v="18608"/>
    <n v="0"/>
  </r>
  <r>
    <n v="81"/>
    <s v="ABC J (Bangladesh) Ltd."/>
    <n v="7594421"/>
    <s v="Sajjad"/>
    <s v="Admin"/>
    <s v="Supports"/>
    <s v="Loader"/>
    <s v="70320400031000"/>
    <n v="1900"/>
    <x v="76"/>
    <m/>
    <d v="1984-05-15T00:00:00"/>
    <s v="M"/>
    <s v="N"/>
    <s v="Staff"/>
    <n v="16248"/>
    <n v="16248"/>
    <n v="9749"/>
    <n v="4875"/>
    <n v="650"/>
    <n v="487"/>
    <n v="0"/>
    <n v="0"/>
    <n v="487"/>
    <n v="487"/>
    <n v="0"/>
    <n v="0"/>
    <n v="0"/>
    <n v="0"/>
    <n v="0"/>
    <n v="0"/>
    <n v="0"/>
    <n v="0"/>
    <n v="0"/>
    <n v="16248"/>
    <n v="16248"/>
    <n v="0"/>
  </r>
  <r>
    <n v="82"/>
    <s v="ABC J (Bangladesh) Ltd."/>
    <n v="5109286"/>
    <s v="Saleh"/>
    <s v="Admin"/>
    <s v="Vehicle Management"/>
    <s v="Driver"/>
    <s v="9993204000004930"/>
    <n v="2023"/>
    <x v="77"/>
    <d v="2023-01-01T00:00:00"/>
    <d v="1975-08-30T00:00:00"/>
    <s v="M"/>
    <s v="N"/>
    <s v="Staff"/>
    <n v="20000"/>
    <n v="20000"/>
    <n v="11600"/>
    <n v="5800"/>
    <n v="1160"/>
    <n v="1440"/>
    <n v="0"/>
    <n v="0"/>
    <n v="0"/>
    <n v="1440"/>
    <n v="0"/>
    <n v="0"/>
    <n v="0"/>
    <n v="0"/>
    <n v="0"/>
    <n v="0"/>
    <n v="0"/>
    <n v="0"/>
    <n v="0"/>
    <n v="20000"/>
    <n v="20000"/>
    <n v="0"/>
  </r>
  <r>
    <n v="83"/>
    <s v="ABC J (Bangladesh) Ltd."/>
    <n v="6379063"/>
    <s v="Salim"/>
    <s v="Delivery"/>
    <s v="Delivery"/>
    <s v="Asst. Manager Operation (Bottle &amp; Logistic Support"/>
    <s v="703204000029337"/>
    <n v="1900"/>
    <x v="78"/>
    <m/>
    <d v="1974-03-15T00:00:00"/>
    <s v="M"/>
    <s v="N"/>
    <s v="Staff"/>
    <n v="73087"/>
    <n v="73087"/>
    <n v="43852"/>
    <n v="21926"/>
    <n v="2923"/>
    <n v="2193"/>
    <n v="0"/>
    <n v="0"/>
    <n v="2193"/>
    <n v="2193"/>
    <n v="0"/>
    <n v="0"/>
    <n v="0"/>
    <n v="0"/>
    <n v="0"/>
    <n v="0"/>
    <n v="0"/>
    <n v="1000"/>
    <n v="0"/>
    <n v="72087"/>
    <n v="72087"/>
    <n v="0"/>
  </r>
  <r>
    <n v="84"/>
    <s v="ABC J (Bangladesh) Ltd."/>
    <n v="6852588"/>
    <s v="Samir"/>
    <s v="Delivery"/>
    <s v="Delivery"/>
    <s v="Delivery Executive"/>
    <s v="703204000030788"/>
    <n v="1900"/>
    <x v="79"/>
    <m/>
    <d v="1985-09-28T00:00:00"/>
    <s v="M"/>
    <s v="N"/>
    <s v="Staff"/>
    <n v="30476"/>
    <n v="30476"/>
    <n v="18286"/>
    <n v="9143"/>
    <n v="1219"/>
    <n v="914"/>
    <n v="0"/>
    <n v="0"/>
    <n v="914"/>
    <n v="914"/>
    <n v="0"/>
    <n v="0"/>
    <n v="0"/>
    <n v="0"/>
    <n v="0"/>
    <n v="0"/>
    <n v="0"/>
    <n v="0"/>
    <n v="0"/>
    <n v="30476"/>
    <n v="30476"/>
    <n v="0"/>
  </r>
  <r>
    <n v="85"/>
    <s v="ABC J (Bangladesh) Ltd."/>
    <n v="6472986"/>
    <s v="Sarwar"/>
    <s v="HR &amp; Compliance"/>
    <s v="Administration"/>
    <s v="Assistant Manager"/>
    <s v="7863241000485150"/>
    <n v="1900"/>
    <x v="80"/>
    <m/>
    <d v="1985-01-01T00:00:00"/>
    <s v="M"/>
    <s v="N"/>
    <s v="Staff"/>
    <n v="45235"/>
    <n v="45235"/>
    <n v="27141"/>
    <n v="13571"/>
    <n v="1809"/>
    <n v="1357"/>
    <n v="0"/>
    <n v="0"/>
    <n v="1357"/>
    <n v="1357"/>
    <n v="0"/>
    <n v="0"/>
    <n v="0"/>
    <n v="0"/>
    <n v="0"/>
    <n v="0"/>
    <n v="0"/>
    <n v="0"/>
    <n v="0"/>
    <n v="45235"/>
    <n v="45235"/>
    <n v="0"/>
  </r>
  <r>
    <n v="86"/>
    <s v="ABC J (Bangladesh) Ltd."/>
    <n v="9810044"/>
    <s v="Shafayet"/>
    <s v="HR &amp; Compliance"/>
    <s v="HR"/>
    <s v="Senior Executive"/>
    <s v="7863241000488270"/>
    <n v="1900"/>
    <x v="81"/>
    <m/>
    <d v="1989-01-30T00:00:00"/>
    <s v="M"/>
    <s v="N"/>
    <s v="Staff"/>
    <n v="36515"/>
    <n v="31515"/>
    <n v="21909"/>
    <n v="10955"/>
    <n v="1461"/>
    <n v="1095"/>
    <n v="0"/>
    <n v="0"/>
    <n v="1095"/>
    <n v="1095"/>
    <n v="0"/>
    <n v="0"/>
    <n v="-5000"/>
    <n v="0"/>
    <n v="0"/>
    <n v="0"/>
    <n v="4000"/>
    <n v="0"/>
    <n v="0"/>
    <n v="37515"/>
    <n v="27515"/>
    <n v="0"/>
  </r>
  <r>
    <n v="87"/>
    <s v="ABC J (Bangladesh) Ltd."/>
    <n v="8984117"/>
    <s v="Shahadat"/>
    <s v="IT"/>
    <s v="IT"/>
    <s v="Senior Executive"/>
    <s v="1063204000022580"/>
    <n v="2023"/>
    <x v="82"/>
    <d v="2023-06-06T00:00:00"/>
    <d v="1992-06-06T00:00:00"/>
    <s v="M"/>
    <s v="N"/>
    <s v="Staff"/>
    <n v="50140"/>
    <n v="50140"/>
    <n v="30084"/>
    <n v="15042"/>
    <n v="2006"/>
    <n v="1504"/>
    <n v="0"/>
    <n v="0"/>
    <n v="1504"/>
    <n v="1504"/>
    <n v="0"/>
    <n v="0"/>
    <n v="0"/>
    <n v="0"/>
    <n v="0"/>
    <n v="0"/>
    <n v="0"/>
    <n v="333"/>
    <n v="0"/>
    <n v="49807"/>
    <n v="49807"/>
    <n v="0"/>
  </r>
  <r>
    <n v="88"/>
    <s v="ABC J (Bangladesh) Ltd."/>
    <n v="6856712"/>
    <s v="Shahid"/>
    <s v="Production"/>
    <s v="Cutting Export"/>
    <s v="Senior Supervisor"/>
    <s v="703204000029632"/>
    <n v="1900"/>
    <x v="83"/>
    <m/>
    <d v="1981-11-22T00:00:00"/>
    <s v="M"/>
    <s v="N"/>
    <s v="Staff"/>
    <n v="32321"/>
    <n v="32321"/>
    <n v="19392"/>
    <n v="9696"/>
    <n v="1293"/>
    <n v="970"/>
    <n v="0"/>
    <n v="0"/>
    <n v="970"/>
    <n v="970"/>
    <n v="0"/>
    <n v="0"/>
    <n v="0"/>
    <n v="0"/>
    <n v="0"/>
    <n v="0"/>
    <n v="0"/>
    <n v="0"/>
    <n v="0"/>
    <n v="32321"/>
    <n v="32321"/>
    <n v="0"/>
  </r>
  <r>
    <n v="89"/>
    <s v="ABC J (Bangladesh) Ltd."/>
    <n v="8588679"/>
    <s v="Shahriar"/>
    <s v="Production"/>
    <s v="Finishing Export"/>
    <s v="Senior Supervisor"/>
    <s v="703204000030926"/>
    <n v="1900"/>
    <x v="84"/>
    <m/>
    <d v="1990-10-17T00:00:00"/>
    <s v="M"/>
    <s v="N"/>
    <s v="Staff"/>
    <n v="31282"/>
    <n v="31282"/>
    <n v="18770"/>
    <n v="9385"/>
    <n v="1251"/>
    <n v="938"/>
    <n v="0"/>
    <n v="0"/>
    <n v="938"/>
    <n v="938"/>
    <n v="0"/>
    <n v="0"/>
    <n v="0"/>
    <n v="0"/>
    <n v="0"/>
    <n v="0"/>
    <n v="0"/>
    <n v="0"/>
    <n v="0"/>
    <n v="31282"/>
    <n v="31282"/>
    <n v="0"/>
  </r>
  <r>
    <n v="90"/>
    <s v="ABC J (Bangladesh) Ltd."/>
    <n v="5120038"/>
    <s v="Shaon"/>
    <s v="Production"/>
    <s v="Finishing Export"/>
    <s v="Senior Packingman"/>
    <s v="9993204000003110"/>
    <n v="1900"/>
    <x v="85"/>
    <m/>
    <d v="1987-03-17T00:00:00"/>
    <s v="M"/>
    <s v="N"/>
    <s v="Staff"/>
    <n v="20618"/>
    <n v="20618"/>
    <n v="12370"/>
    <n v="6185"/>
    <n v="825"/>
    <n v="619"/>
    <n v="0"/>
    <n v="0"/>
    <n v="619"/>
    <n v="619"/>
    <n v="0"/>
    <n v="0"/>
    <n v="0"/>
    <n v="0"/>
    <n v="0"/>
    <n v="0"/>
    <n v="0"/>
    <n v="0"/>
    <n v="0"/>
    <n v="20618"/>
    <n v="20618"/>
    <n v="0"/>
  </r>
  <r>
    <n v="91"/>
    <s v="ABC J (Bangladesh) Ltd."/>
    <n v="8797049"/>
    <s v="Sharif"/>
    <s v="Production"/>
    <s v="Padding A"/>
    <s v="Senior Operator"/>
    <s v="9993204000006600"/>
    <n v="2023"/>
    <x v="86"/>
    <d v="2023-05-20T00:00:00"/>
    <d v="1977-05-20T00:00:00"/>
    <s v="M"/>
    <s v="N"/>
    <s v="Staff"/>
    <n v="27187"/>
    <n v="27187"/>
    <n v="16312"/>
    <n v="8156"/>
    <n v="1087"/>
    <n v="816"/>
    <n v="0"/>
    <n v="0"/>
    <n v="816"/>
    <n v="816"/>
    <n v="0"/>
    <n v="0"/>
    <n v="0"/>
    <n v="0"/>
    <n v="0"/>
    <n v="0"/>
    <n v="0"/>
    <n v="0"/>
    <n v="0"/>
    <n v="27187"/>
    <n v="27187"/>
    <n v="0"/>
  </r>
  <r>
    <n v="92"/>
    <s v="ABC J (Bangladesh) Ltd."/>
    <n v="8718947"/>
    <s v="Shihab"/>
    <s v="Production"/>
    <s v="Padding A"/>
    <s v="Padding Machine Operator"/>
    <s v="9993204000006560"/>
    <n v="2023"/>
    <x v="87"/>
    <d v="2023-05-02T00:00:00"/>
    <d v="1988-05-02T00:00:00"/>
    <s v="M"/>
    <s v="N"/>
    <s v="Staff"/>
    <n v="22357"/>
    <n v="22357"/>
    <n v="13414"/>
    <n v="6707"/>
    <n v="894"/>
    <n v="671"/>
    <n v="0"/>
    <n v="0"/>
    <n v="671"/>
    <n v="671"/>
    <n v="350"/>
    <n v="0"/>
    <n v="0"/>
    <n v="0"/>
    <n v="0"/>
    <n v="0"/>
    <n v="0"/>
    <n v="0"/>
    <n v="0"/>
    <n v="22707"/>
    <n v="22707"/>
    <n v="0"/>
  </r>
  <r>
    <n v="93"/>
    <s v="ABC J (Bangladesh) Ltd."/>
    <n v="7419442"/>
    <s v="Shohag"/>
    <s v="Production"/>
    <s v="Padding A"/>
    <s v="Senior Carding Operator"/>
    <s v="9993204000006590"/>
    <n v="2023"/>
    <x v="88"/>
    <d v="2023-10-10T00:00:00"/>
    <d v="1977-10-10T00:00:00"/>
    <s v="M"/>
    <s v="N"/>
    <s v="Staff"/>
    <n v="25274"/>
    <n v="25274"/>
    <n v="15165"/>
    <n v="7582"/>
    <n v="1011"/>
    <n v="758"/>
    <n v="0"/>
    <n v="0"/>
    <n v="758"/>
    <n v="758"/>
    <n v="350"/>
    <n v="0"/>
    <n v="0"/>
    <n v="0"/>
    <n v="0"/>
    <n v="0"/>
    <n v="0"/>
    <n v="0"/>
    <n v="0"/>
    <n v="25624"/>
    <n v="25624"/>
    <n v="0"/>
  </r>
  <r>
    <n v="94"/>
    <s v="ABC J (Bangladesh) Ltd."/>
    <n v="5598582"/>
    <s v="Shuvo"/>
    <s v="Production"/>
    <s v="Padding A"/>
    <s v="Asst. Production Incharge"/>
    <s v="703204000029563"/>
    <n v="1900"/>
    <x v="89"/>
    <m/>
    <d v="1983-05-04T00:00:00"/>
    <s v="M"/>
    <s v="N"/>
    <s v="Staff"/>
    <n v="49018"/>
    <n v="49018"/>
    <n v="29410"/>
    <n v="14705"/>
    <n v="1961"/>
    <n v="1471"/>
    <n v="0"/>
    <n v="0"/>
    <n v="1471"/>
    <n v="1471"/>
    <n v="0"/>
    <n v="0"/>
    <n v="0"/>
    <n v="0"/>
    <n v="0"/>
    <n v="0"/>
    <n v="0"/>
    <n v="333"/>
    <n v="0"/>
    <n v="48685"/>
    <n v="48685"/>
    <n v="0"/>
  </r>
  <r>
    <n v="95"/>
    <s v="ABC J (Bangladesh) Ltd."/>
    <n v="5410569"/>
    <s v="Siam"/>
    <s v="Production"/>
    <s v="Padding A"/>
    <s v="In Charge"/>
    <s v="783204000012108"/>
    <n v="1900"/>
    <x v="90"/>
    <m/>
    <d v="1995-06-01T00:00:00"/>
    <s v="M"/>
    <s v="N"/>
    <s v="Staff"/>
    <n v="88727"/>
    <n v="88727"/>
    <n v="53236"/>
    <n v="26618"/>
    <n v="3549"/>
    <n v="2662"/>
    <n v="0"/>
    <n v="0"/>
    <n v="2662"/>
    <n v="2662"/>
    <n v="0"/>
    <n v="0"/>
    <n v="0"/>
    <n v="0"/>
    <n v="0"/>
    <n v="0"/>
    <n v="5000"/>
    <n v="1800"/>
    <n v="0"/>
    <n v="81927"/>
    <n v="81927"/>
    <n v="0"/>
  </r>
  <r>
    <n v="96"/>
    <s v="ABC J (Bangladesh) Ltd."/>
    <n v="6894601"/>
    <s v="Siraj"/>
    <s v="Production"/>
    <s v="Padding A"/>
    <s v="Deputy Production Incharge"/>
    <s v="703204000029483"/>
    <n v="1900"/>
    <x v="91"/>
    <m/>
    <d v="1972-07-14T00:00:00"/>
    <s v="M"/>
    <s v="N"/>
    <s v="Staff"/>
    <n v="57770"/>
    <n v="57770"/>
    <n v="34662"/>
    <n v="17331"/>
    <n v="2311"/>
    <n v="1733"/>
    <n v="0"/>
    <n v="0"/>
    <n v="1733"/>
    <n v="1733"/>
    <n v="0"/>
    <n v="0"/>
    <n v="0"/>
    <n v="0"/>
    <n v="0"/>
    <n v="0"/>
    <n v="0"/>
    <n v="350"/>
    <n v="0"/>
    <n v="57420"/>
    <n v="57420"/>
    <n v="0"/>
  </r>
  <r>
    <n v="97"/>
    <s v="ABC J (Bangladesh) Ltd."/>
    <n v="5694269"/>
    <s v="Sohail"/>
    <s v="Production"/>
    <s v="Padding A"/>
    <s v="Supervisor"/>
    <s v="703204000029381"/>
    <n v="1900"/>
    <x v="92"/>
    <m/>
    <d v="1990-04-07T00:00:00"/>
    <s v="M"/>
    <s v="N"/>
    <s v="Staff"/>
    <n v="32700"/>
    <n v="32700"/>
    <n v="19620"/>
    <n v="9810"/>
    <n v="1308"/>
    <n v="981"/>
    <n v="0"/>
    <n v="0"/>
    <n v="981"/>
    <n v="981"/>
    <n v="0"/>
    <n v="0"/>
    <n v="0"/>
    <n v="0"/>
    <n v="0"/>
    <n v="0"/>
    <n v="0"/>
    <n v="0"/>
    <n v="0"/>
    <n v="32700"/>
    <n v="32700"/>
    <n v="0"/>
  </r>
  <r>
    <n v="98"/>
    <s v="ABC J (Bangladesh) Ltd."/>
    <n v="5422664"/>
    <s v="Sohan"/>
    <s v="Production"/>
    <s v="Padding A"/>
    <s v="Senior Quality Inspector"/>
    <s v="703204000029100"/>
    <n v="1900"/>
    <x v="93"/>
    <m/>
    <d v="1987-05-07T00:00:00"/>
    <s v="M"/>
    <s v="N"/>
    <s v="Staff"/>
    <n v="19620"/>
    <n v="19620"/>
    <n v="11771"/>
    <n v="5886"/>
    <n v="785"/>
    <n v="589"/>
    <n v="0"/>
    <n v="0"/>
    <n v="589"/>
    <n v="589"/>
    <n v="350"/>
    <n v="0"/>
    <n v="0"/>
    <n v="0"/>
    <n v="0"/>
    <n v="0"/>
    <n v="0"/>
    <n v="0"/>
    <n v="0"/>
    <n v="19970"/>
    <n v="19970"/>
    <n v="0"/>
  </r>
  <r>
    <n v="99"/>
    <s v="ABC J (Bangladesh) Ltd."/>
    <n v="8157677"/>
    <s v="Sujan"/>
    <s v="Production"/>
    <s v="Padding A"/>
    <s v="Senior Quality Inspector"/>
    <s v="703204000029246"/>
    <n v="1900"/>
    <x v="94"/>
    <m/>
    <d v="1980-04-03T00:00:00"/>
    <s v="M"/>
    <s v="N"/>
    <s v="Staff"/>
    <n v="20279"/>
    <n v="16368"/>
    <n v="12168"/>
    <n v="6084"/>
    <n v="811"/>
    <n v="608"/>
    <n v="0"/>
    <n v="0"/>
    <n v="608"/>
    <n v="608"/>
    <n v="0"/>
    <n v="0"/>
    <n v="0"/>
    <n v="0"/>
    <n v="3911"/>
    <n v="0"/>
    <n v="1500"/>
    <n v="0"/>
    <n v="0"/>
    <n v="14868"/>
    <n v="14868"/>
    <n v="0"/>
  </r>
  <r>
    <n v="100"/>
    <s v="ABC J (Bangladesh) Ltd."/>
    <n v="7277752"/>
    <s v="Sumon"/>
    <s v="Production"/>
    <s v="Quality"/>
    <s v="General Quality Inspector"/>
    <s v="703204000030959"/>
    <n v="2022"/>
    <x v="95"/>
    <d v="2022-01-01T00:00:00"/>
    <d v="2001-09-20T00:00:00"/>
    <s v="F"/>
    <s v="N"/>
    <s v="Staff"/>
    <n v="16299"/>
    <n v="16299"/>
    <n v="9779"/>
    <n v="4890"/>
    <n v="652"/>
    <n v="489"/>
    <n v="0"/>
    <n v="0"/>
    <n v="489"/>
    <n v="489"/>
    <n v="0"/>
    <n v="0"/>
    <n v="0"/>
    <n v="0"/>
    <n v="0"/>
    <n v="0"/>
    <n v="0"/>
    <n v="0"/>
    <n v="0"/>
    <n v="16299"/>
    <n v="16299"/>
    <n v="0"/>
  </r>
  <r>
    <n v="101"/>
    <s v="ABC J (Bangladesh) Ltd."/>
    <n v="6857802"/>
    <s v="Tarek"/>
    <s v="Production"/>
    <s v="Quality"/>
    <s v="Quality Inspector"/>
    <s v="703204000030507"/>
    <n v="2022"/>
    <x v="96"/>
    <d v="2022-01-01T00:00:00"/>
    <d v="1995-07-05T00:00:00"/>
    <s v="M"/>
    <s v="N"/>
    <s v="Staff"/>
    <n v="17406"/>
    <n v="17406"/>
    <n v="10444"/>
    <n v="5222"/>
    <n v="696"/>
    <n v="522"/>
    <n v="0"/>
    <n v="0"/>
    <n v="522"/>
    <n v="522"/>
    <n v="0"/>
    <n v="0"/>
    <n v="0"/>
    <n v="0"/>
    <n v="0"/>
    <n v="0"/>
    <n v="0"/>
    <n v="0"/>
    <n v="0"/>
    <n v="17406"/>
    <n v="17406"/>
    <n v="0"/>
  </r>
  <r>
    <n v="102"/>
    <s v="ABC J (Bangladesh) Ltd."/>
    <n v="6822006"/>
    <s v="Tariqul"/>
    <s v="Production"/>
    <s v="Quality"/>
    <s v="Quality Inspector"/>
    <s v="703204000030378"/>
    <n v="2022"/>
    <x v="97"/>
    <d v="2022-01-01T00:00:00"/>
    <d v="1980-11-20T00:00:00"/>
    <s v="M"/>
    <s v="N"/>
    <s v="Staff"/>
    <n v="20054"/>
    <n v="20054"/>
    <n v="12032"/>
    <n v="6016"/>
    <n v="802"/>
    <n v="602"/>
    <n v="0"/>
    <n v="0"/>
    <n v="602"/>
    <n v="602"/>
    <n v="0"/>
    <n v="0"/>
    <n v="0"/>
    <n v="0"/>
    <n v="0"/>
    <n v="0"/>
    <n v="0"/>
    <n v="0"/>
    <n v="0"/>
    <n v="20054"/>
    <n v="20054"/>
    <n v="0"/>
  </r>
  <r>
    <n v="103"/>
    <s v="ABC J (Bangladesh) Ltd."/>
    <n v="5336453"/>
    <s v="Towhid"/>
    <s v="Production"/>
    <s v="Quality"/>
    <s v="General Quality Inspector"/>
    <s v="9993204000006640"/>
    <n v="2022"/>
    <x v="98"/>
    <d v="2022-01-01T00:00:00"/>
    <d v="2001-06-15T00:00:00"/>
    <s v="F"/>
    <s v="N"/>
    <s v="Staff"/>
    <n v="16048"/>
    <n v="8024"/>
    <n v="9629"/>
    <n v="4815"/>
    <n v="642"/>
    <n v="481"/>
    <n v="0"/>
    <n v="0"/>
    <n v="481"/>
    <n v="481"/>
    <n v="0"/>
    <n v="0"/>
    <n v="-8024"/>
    <n v="0"/>
    <n v="0"/>
    <n v="0"/>
    <n v="0"/>
    <n v="0"/>
    <n v="0"/>
    <n v="24072"/>
    <n v="8024"/>
    <n v="0"/>
  </r>
  <r>
    <n v="104"/>
    <s v="ABC J (Bangladesh) Ltd."/>
    <n v="5279757"/>
    <s v="Wahid"/>
    <s v="Production"/>
    <s v="Quality"/>
    <s v="Quality Inspector"/>
    <s v="703204000029009"/>
    <n v="1900"/>
    <x v="38"/>
    <m/>
    <d v="1996-06-06T00:00:00"/>
    <s v="M"/>
    <s v="N"/>
    <s v="Staff"/>
    <n v="17136"/>
    <n v="14136"/>
    <n v="10282"/>
    <n v="5141"/>
    <n v="685"/>
    <n v="514"/>
    <n v="0"/>
    <n v="0"/>
    <n v="514"/>
    <n v="514"/>
    <n v="0"/>
    <n v="0"/>
    <n v="-3000"/>
    <n v="0"/>
    <n v="0"/>
    <n v="0"/>
    <n v="3000"/>
    <n v="0"/>
    <n v="0"/>
    <n v="17136"/>
    <n v="11136"/>
    <n v="0"/>
  </r>
  <r>
    <n v="105"/>
    <s v="ABC J (Bangladesh) Ltd."/>
    <n v="5186144"/>
    <s v="Yasin"/>
    <s v="Production"/>
    <s v="Quality"/>
    <s v="General Quality Inspector"/>
    <s v="703204000029097"/>
    <n v="1900"/>
    <x v="95"/>
    <m/>
    <d v="1998-10-06T00:00:00"/>
    <s v="M"/>
    <s v="N"/>
    <s v="Staff"/>
    <n v="16265"/>
    <n v="16265"/>
    <n v="9759"/>
    <n v="4879"/>
    <n v="651"/>
    <n v="488"/>
    <n v="0"/>
    <n v="0"/>
    <n v="488"/>
    <n v="488"/>
    <n v="0"/>
    <n v="0"/>
    <n v="0"/>
    <n v="0"/>
    <n v="0"/>
    <n v="0"/>
    <n v="0"/>
    <n v="0"/>
    <n v="0"/>
    <n v="16265"/>
    <n v="16265"/>
    <n v="0"/>
  </r>
  <r>
    <n v="106"/>
    <s v="ABC J (Bangladesh) Ltd."/>
    <n v="9670094"/>
    <s v="Zakaria"/>
    <s v="Production"/>
    <s v="Quality"/>
    <s v="General Quality Inspector"/>
    <s v="703204000029596"/>
    <n v="1900"/>
    <x v="99"/>
    <m/>
    <d v="1999-05-10T00:00:00"/>
    <s v="M"/>
    <s v="N"/>
    <s v="Staff"/>
    <n v="16265"/>
    <n v="16265"/>
    <n v="9759"/>
    <n v="4879"/>
    <n v="651"/>
    <n v="488"/>
    <n v="0"/>
    <n v="0"/>
    <n v="488"/>
    <n v="488"/>
    <n v="0"/>
    <n v="0"/>
    <n v="0"/>
    <n v="0"/>
    <n v="0"/>
    <n v="0"/>
    <n v="0"/>
    <n v="0"/>
    <n v="0"/>
    <n v="16265"/>
    <n v="16265"/>
    <n v="0"/>
  </r>
  <r>
    <n v="107"/>
    <s v="ABC J (Bangladesh) Ltd."/>
    <n v="9288878"/>
    <s v="Zia"/>
    <s v="Production"/>
    <s v="Quality"/>
    <s v="Quality Inspector"/>
    <s v="703204000028988"/>
    <n v="2022"/>
    <x v="100"/>
    <d v="2022-12-10T00:00:00"/>
    <d v="1977-12-10T00:00:00"/>
    <s v="F"/>
    <s v="N"/>
    <s v="Staff"/>
    <n v="17811"/>
    <n v="17811"/>
    <n v="10687"/>
    <n v="5344"/>
    <n v="712"/>
    <n v="534"/>
    <n v="0"/>
    <n v="0"/>
    <n v="534"/>
    <n v="534"/>
    <n v="0"/>
    <n v="0"/>
    <n v="0"/>
    <n v="0"/>
    <n v="0"/>
    <n v="0"/>
    <n v="0"/>
    <n v="0"/>
    <n v="0"/>
    <n v="17811"/>
    <n v="17811"/>
    <n v="0"/>
  </r>
  <r>
    <n v="108"/>
    <s v="ABC J (Bangladesh) Ltd."/>
    <n v="5562863"/>
    <s v="Names:"/>
    <s v="Production"/>
    <s v="Quality"/>
    <s v="Quality Inspector"/>
    <s v="703204000028990"/>
    <n v="1900"/>
    <x v="101"/>
    <m/>
    <d v="1961-06-01T00:00:00"/>
    <s v="M"/>
    <s v="N"/>
    <s v="Staff"/>
    <n v="18533"/>
    <n v="18533"/>
    <n v="11120"/>
    <n v="5560"/>
    <n v="741"/>
    <n v="556"/>
    <n v="0"/>
    <n v="0"/>
    <n v="556"/>
    <n v="556"/>
    <n v="0"/>
    <n v="0"/>
    <n v="0"/>
    <n v="0"/>
    <n v="0"/>
    <n v="0"/>
    <n v="0"/>
    <n v="0"/>
    <n v="0"/>
    <n v="18533"/>
    <n v="18533"/>
    <n v="0"/>
  </r>
  <r>
    <n v="109"/>
    <s v="ABC J (Bangladesh) Ltd."/>
    <n v="6258279"/>
    <s v="Afsana"/>
    <s v="Production"/>
    <s v="Quilting Export"/>
    <s v="In Charge"/>
    <s v="703204000030449"/>
    <n v="1900"/>
    <x v="102"/>
    <m/>
    <d v="1970-06-12T00:00:00"/>
    <s v="M"/>
    <s v="N"/>
    <s v="Staff"/>
    <n v="82731"/>
    <n v="82731"/>
    <n v="49639"/>
    <n v="24819"/>
    <n v="3309"/>
    <n v="2482"/>
    <n v="0"/>
    <n v="0"/>
    <n v="2482"/>
    <n v="2482"/>
    <n v="0"/>
    <n v="0"/>
    <n v="0"/>
    <n v="0"/>
    <n v="0"/>
    <n v="0"/>
    <n v="0"/>
    <n v="1500"/>
    <n v="0"/>
    <n v="81231"/>
    <n v="81231"/>
    <n v="0"/>
  </r>
  <r>
    <n v="110"/>
    <s v="ABC J (Bangladesh) Ltd."/>
    <n v="7630707"/>
    <s v="Aisha"/>
    <s v="Production"/>
    <s v="Quilting Export"/>
    <s v="Mechanic"/>
    <s v="703204000029326"/>
    <n v="1900"/>
    <x v="103"/>
    <m/>
    <d v="1984-12-10T00:00:00"/>
    <s v="M"/>
    <s v="N"/>
    <s v="Staff"/>
    <n v="25406"/>
    <n v="23406"/>
    <n v="15244"/>
    <n v="7622"/>
    <n v="1016"/>
    <n v="762"/>
    <n v="0"/>
    <n v="0"/>
    <n v="762"/>
    <n v="762"/>
    <n v="0"/>
    <n v="0"/>
    <n v="-2000"/>
    <n v="0"/>
    <n v="0"/>
    <n v="0"/>
    <n v="0"/>
    <n v="0"/>
    <n v="0"/>
    <n v="27406"/>
    <n v="23406"/>
    <n v="0"/>
  </r>
  <r>
    <n v="111"/>
    <s v="ABC J (Bangladesh) Ltd."/>
    <n v="5923238"/>
    <s v="Akhi"/>
    <s v="Production"/>
    <s v="Quilting Export"/>
    <s v="Supervisor"/>
    <s v="703204000029018"/>
    <n v="1900"/>
    <x v="43"/>
    <m/>
    <d v="1973-03-25T00:00:00"/>
    <s v="M"/>
    <s v="N"/>
    <s v="Staff"/>
    <n v="29975"/>
    <n v="29975"/>
    <n v="17985"/>
    <n v="8993"/>
    <n v="1199"/>
    <n v="899"/>
    <n v="0"/>
    <n v="0"/>
    <n v="899"/>
    <n v="899"/>
    <n v="0"/>
    <n v="0"/>
    <n v="0"/>
    <n v="0"/>
    <n v="0"/>
    <n v="0"/>
    <n v="0"/>
    <n v="0"/>
    <n v="0"/>
    <n v="29975"/>
    <n v="29975"/>
    <n v="0"/>
  </r>
  <r>
    <n v="112"/>
    <s v="ABC J (Bangladesh) Ltd."/>
    <n v="9279504"/>
    <s v="Alia"/>
    <s v="Production"/>
    <s v="Sewing Export"/>
    <s v="Senior Supervisor"/>
    <s v="703204000030325"/>
    <n v="1900"/>
    <x v="104"/>
    <m/>
    <d v="1987-03-08T00:00:00"/>
    <s v="M"/>
    <s v="N"/>
    <s v="Staff"/>
    <n v="37942"/>
    <n v="37942"/>
    <n v="22765"/>
    <n v="11383"/>
    <n v="1518"/>
    <n v="1138"/>
    <n v="0"/>
    <n v="0"/>
    <n v="1138"/>
    <n v="1138"/>
    <n v="0"/>
    <n v="0"/>
    <n v="0"/>
    <n v="0"/>
    <n v="0"/>
    <n v="0"/>
    <n v="3000"/>
    <n v="0"/>
    <n v="0"/>
    <n v="34942"/>
    <n v="34942"/>
    <n v="0"/>
  </r>
  <r>
    <n v="113"/>
    <s v="ABC J (Bangladesh) Ltd."/>
    <n v="8727656"/>
    <s v="Anika"/>
    <s v="Store"/>
    <s v="Store"/>
    <s v="Store Officer"/>
    <s v="703204000031113"/>
    <n v="2022"/>
    <x v="105"/>
    <d v="2022-04-03T00:00:00"/>
    <d v="1988-04-03T00:00:00"/>
    <s v="M"/>
    <s v="N"/>
    <s v="Staff"/>
    <n v="26597"/>
    <n v="21457"/>
    <n v="15958"/>
    <n v="7979"/>
    <n v="1064"/>
    <n v="798"/>
    <n v="0"/>
    <n v="0"/>
    <n v="798"/>
    <n v="798"/>
    <n v="0"/>
    <n v="0"/>
    <n v="-4000"/>
    <n v="0"/>
    <n v="1140"/>
    <n v="0"/>
    <n v="2000"/>
    <n v="0"/>
    <n v="0"/>
    <n v="27457"/>
    <n v="19457"/>
    <n v="0"/>
  </r>
  <r>
    <n v="114"/>
    <s v="ABC J (Bangladesh) Ltd."/>
    <n v="6742404"/>
    <s v="Arifa"/>
    <s v="Store"/>
    <s v="Store"/>
    <s v="Store Co-Ordinator(Assistant)"/>
    <s v="703204000029086"/>
    <n v="1900"/>
    <x v="106"/>
    <m/>
    <d v="1998-05-22T00:00:00"/>
    <s v="M"/>
    <s v="N"/>
    <s v="Staff"/>
    <n v="19566"/>
    <n v="19566"/>
    <n v="11739"/>
    <n v="5870"/>
    <n v="783"/>
    <n v="587"/>
    <n v="0"/>
    <n v="0"/>
    <n v="587"/>
    <n v="587"/>
    <n v="0"/>
    <n v="0"/>
    <n v="0"/>
    <n v="0"/>
    <n v="0"/>
    <n v="0"/>
    <n v="0"/>
    <n v="0"/>
    <n v="0"/>
    <n v="19566"/>
    <n v="19566"/>
    <n v="0"/>
  </r>
  <r>
    <n v="115"/>
    <s v="ABC J (Bangladesh) Ltd."/>
    <n v="6088827"/>
    <s v="Asma"/>
    <s v="Store"/>
    <s v="Store"/>
    <s v="Trainee officer"/>
    <s v="9993204000004210"/>
    <n v="2022"/>
    <x v="107"/>
    <d v="2022-01-01T00:00:00"/>
    <d v="1997-02-05T00:00:00"/>
    <s v="M"/>
    <s v="N"/>
    <s v="Staff"/>
    <n v="15000"/>
    <n v="15000"/>
    <n v="8700"/>
    <n v="4350"/>
    <n v="870"/>
    <n v="1080"/>
    <n v="0"/>
    <n v="0"/>
    <n v="0"/>
    <n v="1080"/>
    <n v="0"/>
    <n v="0"/>
    <n v="0"/>
    <n v="0"/>
    <n v="0"/>
    <n v="0"/>
    <n v="0"/>
    <n v="0"/>
    <n v="0"/>
    <n v="15000"/>
    <n v="15000"/>
    <n v="0"/>
  </r>
  <r>
    <n v="116"/>
    <s v="ABC J (Bangladesh) Ltd."/>
    <n v="7448988"/>
    <s v="Atia"/>
    <s v="Store"/>
    <s v="Store"/>
    <s v="Asst. Production Officer"/>
    <s v="7863241000346950"/>
    <n v="2022"/>
    <x v="108"/>
    <d v="2022-01-01T00:00:00"/>
    <d v="1995-04-17T00:00:00"/>
    <s v="M"/>
    <s v="N"/>
    <s v="Staff"/>
    <n v="25454"/>
    <n v="25454"/>
    <n v="15272"/>
    <n v="7636"/>
    <n v="1018"/>
    <n v="764"/>
    <n v="0"/>
    <n v="0"/>
    <n v="764"/>
    <n v="764"/>
    <n v="0"/>
    <n v="0"/>
    <n v="0"/>
    <n v="0"/>
    <n v="0"/>
    <n v="0"/>
    <n v="0"/>
    <n v="0"/>
    <n v="0"/>
    <n v="25454"/>
    <n v="25454"/>
    <n v="0"/>
  </r>
  <r>
    <n v="117"/>
    <s v="ABC J (Bangladesh) Ltd."/>
    <n v="9389418"/>
    <s v="Aziza"/>
    <s v="Store"/>
    <s v="Store"/>
    <s v="Trainee officer"/>
    <s v="703204000029359"/>
    <n v="2022"/>
    <x v="109"/>
    <d v="2022-01-01T00:00:00"/>
    <d v="1998-05-29T00:00:00"/>
    <s v="M"/>
    <s v="N"/>
    <s v="Staff"/>
    <n v="19184"/>
    <n v="19184"/>
    <n v="11510"/>
    <n v="5755"/>
    <n v="767"/>
    <n v="576"/>
    <n v="0"/>
    <n v="0"/>
    <n v="576"/>
    <n v="576"/>
    <n v="0"/>
    <n v="0"/>
    <n v="0"/>
    <n v="0"/>
    <n v="0"/>
    <n v="0"/>
    <n v="0"/>
    <n v="0"/>
    <n v="0"/>
    <n v="19184"/>
    <n v="19184"/>
    <n v="0"/>
  </r>
  <r>
    <n v="118"/>
    <s v="ABC J (Bangladesh) Ltd."/>
    <n v="7606365"/>
    <s v="Bashira"/>
    <s v="Utility &amp; Maintenance"/>
    <s v="Electrical"/>
    <s v="Junior Executive"/>
    <s v="9993204000004160"/>
    <n v="2022"/>
    <x v="110"/>
    <d v="2022-01-01T00:00:00"/>
    <d v="1990-07-13T00:00:00"/>
    <s v="M"/>
    <s v="N"/>
    <s v="Staff"/>
    <n v="20000"/>
    <n v="18000"/>
    <n v="11600"/>
    <n v="5800"/>
    <n v="1160"/>
    <n v="1440"/>
    <n v="0"/>
    <n v="0"/>
    <n v="0"/>
    <n v="1440"/>
    <n v="0"/>
    <n v="0"/>
    <n v="-2000"/>
    <n v="0"/>
    <n v="0"/>
    <n v="0"/>
    <n v="0"/>
    <n v="0"/>
    <n v="0"/>
    <n v="22000"/>
    <n v="18000"/>
    <n v="0"/>
  </r>
  <r>
    <n v="119"/>
    <s v="ABC J (Bangladesh) Ltd."/>
    <n v="6432769"/>
    <s v="Bushra"/>
    <s v="Utility &amp; Maintenance"/>
    <s v="Electrical"/>
    <s v="Assistant Manager"/>
    <s v="703204000029610"/>
    <n v="1900"/>
    <x v="111"/>
    <m/>
    <d v="1991-01-16T00:00:00"/>
    <s v="M"/>
    <s v="N"/>
    <s v="Staff"/>
    <n v="60496"/>
    <n v="60496"/>
    <n v="36297"/>
    <n v="18149"/>
    <n v="2420"/>
    <n v="1815"/>
    <n v="0"/>
    <n v="0"/>
    <n v="1815"/>
    <n v="1815"/>
    <n v="0"/>
    <n v="0"/>
    <n v="0"/>
    <n v="0"/>
    <n v="0"/>
    <n v="0"/>
    <n v="0"/>
    <n v="350"/>
    <n v="0"/>
    <n v="60146"/>
    <n v="60146"/>
    <n v="0"/>
  </r>
  <r>
    <n v="120"/>
    <s v="ABC J (Bangladesh) Ltd."/>
    <n v="7862388"/>
    <s v="Dilruba"/>
    <s v="Utility &amp; Maintenance"/>
    <s v="Electrical"/>
    <s v="Assistant Electrician"/>
    <s v="703204000029368"/>
    <n v="1900"/>
    <x v="112"/>
    <m/>
    <d v="1991-07-10T00:00:00"/>
    <s v="M"/>
    <s v="N"/>
    <s v="Staff"/>
    <n v="21800"/>
    <n v="21800"/>
    <n v="13080"/>
    <n v="6540"/>
    <n v="872"/>
    <n v="654"/>
    <n v="0"/>
    <n v="0"/>
    <n v="654"/>
    <n v="654"/>
    <n v="0"/>
    <n v="0"/>
    <n v="0"/>
    <n v="0"/>
    <n v="0"/>
    <n v="0"/>
    <n v="0"/>
    <n v="0"/>
    <n v="0"/>
    <n v="21800"/>
    <n v="21800"/>
    <n v="0"/>
  </r>
  <r>
    <n v="121"/>
    <s v="ABC J (Bangladesh) Ltd."/>
    <n v="9918017"/>
    <s v="Elma"/>
    <s v="Utility &amp; Maintenance"/>
    <s v="Mechanical"/>
    <s v="Chief Mechanic"/>
    <s v="9993204000003290"/>
    <n v="1900"/>
    <x v="113"/>
    <m/>
    <d v="1979-10-23T00:00:00"/>
    <s v="M"/>
    <s v="N"/>
    <s v="Staff"/>
    <n v="54500"/>
    <n v="54500"/>
    <n v="32700"/>
    <n v="16350"/>
    <n v="2180"/>
    <n v="1635"/>
    <n v="0"/>
    <n v="0"/>
    <n v="1635"/>
    <n v="1635"/>
    <n v="0"/>
    <n v="0"/>
    <n v="0"/>
    <n v="0"/>
    <n v="0"/>
    <n v="0"/>
    <n v="0"/>
    <n v="333"/>
    <n v="0"/>
    <n v="54167"/>
    <n v="54167"/>
    <n v="0"/>
  </r>
  <r>
    <n v="122"/>
    <s v="ABC J Padding &amp; Quilting Ltd."/>
    <n v="9056007"/>
    <s v="Fahmida"/>
    <s v="Admin"/>
    <s v="Security"/>
    <s v="Junior Security Guard"/>
    <s v="9993204000007460"/>
    <n v="2022"/>
    <x v="114"/>
    <d v="2022-01-01T00:00:00"/>
    <d v="1996-05-21T00:00:00"/>
    <s v="M"/>
    <s v="N"/>
    <s v="Staff"/>
    <n v="14500"/>
    <n v="14500"/>
    <n v="8700"/>
    <n v="4350"/>
    <n v="580"/>
    <n v="435"/>
    <n v="0"/>
    <n v="0"/>
    <n v="435"/>
    <n v="435"/>
    <n v="0"/>
    <n v="0"/>
    <n v="0"/>
    <n v="0"/>
    <n v="0"/>
    <n v="0"/>
    <n v="0"/>
    <n v="0"/>
    <n v="0"/>
    <n v="14500"/>
    <n v="14500"/>
    <n v="0"/>
  </r>
  <r>
    <n v="123"/>
    <s v="ABC J Padding &amp; Quilting Ltd."/>
    <n v="6992184"/>
    <s v="Farhana"/>
    <s v="Admin"/>
    <s v="Security"/>
    <s v="Junior Security Guard"/>
    <s v="9993204000007490"/>
    <n v="2022"/>
    <x v="114"/>
    <d v="2022-01-01T00:00:00"/>
    <d v="2003-08-05T00:00:00"/>
    <s v="M"/>
    <s v="N"/>
    <s v="Staff"/>
    <n v="14500"/>
    <n v="14500"/>
    <n v="8700"/>
    <n v="4350"/>
    <n v="580"/>
    <n v="435"/>
    <n v="0"/>
    <n v="0"/>
    <n v="435"/>
    <n v="435"/>
    <n v="0"/>
    <n v="0"/>
    <n v="0"/>
    <n v="0"/>
    <n v="0"/>
    <n v="0"/>
    <n v="0"/>
    <n v="0"/>
    <n v="0"/>
    <n v="14500"/>
    <n v="14500"/>
    <n v="0"/>
  </r>
  <r>
    <n v="124"/>
    <s v="ABC J Padding &amp; Quilting Ltd."/>
    <n v="6173490"/>
    <s v="Faria"/>
    <s v="Admin"/>
    <s v="Security"/>
    <s v="Junior Security Guard"/>
    <s v="9993204000007450"/>
    <n v="2022"/>
    <x v="114"/>
    <d v="2022-01-01T00:00:00"/>
    <d v="1998-09-29T00:00:00"/>
    <s v="M"/>
    <s v="N"/>
    <s v="Staff"/>
    <n v="14500"/>
    <n v="12636"/>
    <n v="8700"/>
    <n v="4350"/>
    <n v="580"/>
    <n v="435"/>
    <n v="0"/>
    <n v="0"/>
    <n v="435"/>
    <n v="435"/>
    <n v="0"/>
    <n v="0"/>
    <n v="0"/>
    <n v="0"/>
    <n v="1864"/>
    <n v="0"/>
    <n v="0"/>
    <n v="0"/>
    <n v="10"/>
    <n v="12626"/>
    <n v="0"/>
    <n v="12626"/>
  </r>
  <r>
    <n v="125"/>
    <s v="ABC J Padding &amp; Quilting Ltd."/>
    <n v="8671534"/>
    <s v="Fatema"/>
    <s v="Admin"/>
    <s v="Security"/>
    <s v="Junior Security Guard"/>
    <s v="23201000035331"/>
    <n v="2022"/>
    <x v="114"/>
    <d v="2022-01-01T00:00:00"/>
    <d v="2002-05-27T00:00:00"/>
    <s v="M"/>
    <s v="N"/>
    <s v="Staff"/>
    <n v="14500"/>
    <n v="14500"/>
    <n v="8700"/>
    <n v="4350"/>
    <n v="580"/>
    <n v="435"/>
    <n v="0"/>
    <n v="0"/>
    <n v="435"/>
    <n v="435"/>
    <n v="0"/>
    <n v="0"/>
    <n v="0"/>
    <n v="0"/>
    <n v="0"/>
    <n v="0"/>
    <n v="0"/>
    <n v="0"/>
    <n v="0"/>
    <n v="14500"/>
    <n v="14500"/>
    <n v="0"/>
  </r>
  <r>
    <n v="126"/>
    <s v="ABC J Padding &amp; Quilting Ltd."/>
    <n v="9194082"/>
    <s v="Firoza"/>
    <s v="Admin"/>
    <s v="Security"/>
    <s v="Security Guard"/>
    <s v="703204000030755"/>
    <n v="2022"/>
    <x v="115"/>
    <d v="2022-01-01T00:00:00"/>
    <d v="1978-01-10T00:00:00"/>
    <s v="M"/>
    <s v="N"/>
    <s v="Staff"/>
    <n v="17576"/>
    <n v="17576"/>
    <n v="10546"/>
    <n v="5273"/>
    <n v="703"/>
    <n v="527"/>
    <n v="0"/>
    <n v="0"/>
    <n v="527"/>
    <n v="527"/>
    <n v="0"/>
    <n v="0"/>
    <n v="0"/>
    <n v="0"/>
    <n v="0"/>
    <n v="0"/>
    <n v="0"/>
    <n v="0"/>
    <n v="0"/>
    <n v="17576"/>
    <n v="17576"/>
    <n v="0"/>
  </r>
  <r>
    <n v="127"/>
    <s v="ABC J Padding &amp; Quilting Ltd."/>
    <n v="9698134"/>
    <s v="Habiba"/>
    <s v="Admin"/>
    <s v="Security"/>
    <s v="Security Guard"/>
    <s v="703204000030733"/>
    <n v="2022"/>
    <x v="116"/>
    <d v="2022-01-01T00:00:00"/>
    <d v="1972-09-15T00:00:00"/>
    <s v="M"/>
    <s v="N"/>
    <s v="Staff"/>
    <n v="17989"/>
    <n v="17989"/>
    <n v="10793"/>
    <n v="5396"/>
    <n v="720"/>
    <n v="540"/>
    <n v="0"/>
    <n v="0"/>
    <n v="540"/>
    <n v="540"/>
    <n v="0"/>
    <n v="0"/>
    <n v="0"/>
    <n v="0"/>
    <n v="0"/>
    <n v="0"/>
    <n v="0"/>
    <n v="0"/>
    <n v="0"/>
    <n v="17989"/>
    <n v="17989"/>
    <n v="0"/>
  </r>
  <r>
    <n v="128"/>
    <s v="ABC J Padding &amp; Quilting Ltd."/>
    <n v="8226008"/>
    <s v="Hafsa"/>
    <s v="Admin"/>
    <s v="Security"/>
    <s v="Security Guard"/>
    <s v="703204000030584"/>
    <n v="1900"/>
    <x v="117"/>
    <m/>
    <d v="1972-05-21T00:00:00"/>
    <s v="M"/>
    <s v="N"/>
    <s v="Staff"/>
    <n v="17989"/>
    <n v="17989"/>
    <n v="10793"/>
    <n v="5396"/>
    <n v="720"/>
    <n v="540"/>
    <n v="0"/>
    <n v="0"/>
    <n v="540"/>
    <n v="540"/>
    <n v="0"/>
    <n v="0"/>
    <n v="0"/>
    <n v="0"/>
    <n v="0"/>
    <n v="0"/>
    <n v="0"/>
    <n v="0"/>
    <n v="0"/>
    <n v="17989"/>
    <n v="17989"/>
    <n v="0"/>
  </r>
  <r>
    <n v="129"/>
    <s v="ABC J Padding &amp; Quilting Ltd."/>
    <n v="6207276"/>
    <s v="Halima"/>
    <s v="Admin"/>
    <s v="Security"/>
    <s v="Security Guard"/>
    <s v="703204000030700"/>
    <n v="2022"/>
    <x v="118"/>
    <d v="2022-01-01T00:00:00"/>
    <d v="1980-01-02T00:00:00"/>
    <s v="M"/>
    <s v="N"/>
    <s v="Staff"/>
    <n v="20241"/>
    <n v="20241"/>
    <n v="12145"/>
    <n v="6072"/>
    <n v="810"/>
    <n v="607"/>
    <n v="0"/>
    <n v="0"/>
    <n v="607"/>
    <n v="607"/>
    <n v="0"/>
    <n v="0"/>
    <n v="0"/>
    <n v="0"/>
    <n v="0"/>
    <n v="0"/>
    <n v="0"/>
    <n v="0"/>
    <n v="0"/>
    <n v="20241"/>
    <n v="20241"/>
    <n v="0"/>
  </r>
  <r>
    <n v="130"/>
    <s v="ABC J Padding &amp; Quilting Ltd."/>
    <n v="8231907"/>
    <s v="Hasina"/>
    <s v="Admin"/>
    <s v="Security"/>
    <s v="Security Guard"/>
    <s v="703204000030620"/>
    <n v="2022"/>
    <x v="119"/>
    <d v="2022-01-01T00:00:00"/>
    <d v="1980-01-02T00:00:00"/>
    <s v="M"/>
    <s v="N"/>
    <s v="Staff"/>
    <n v="20241"/>
    <n v="15241"/>
    <n v="12145"/>
    <n v="6072"/>
    <n v="810"/>
    <n v="607"/>
    <n v="0"/>
    <n v="0"/>
    <n v="607"/>
    <n v="607"/>
    <n v="0"/>
    <n v="0"/>
    <n v="-5000"/>
    <n v="0"/>
    <n v="0"/>
    <n v="0"/>
    <n v="0"/>
    <n v="0"/>
    <n v="0"/>
    <n v="25241"/>
    <n v="15241"/>
    <n v="0"/>
  </r>
  <r>
    <n v="131"/>
    <s v="ABC J Padding &amp; Quilting Ltd."/>
    <n v="8347161"/>
    <s v="Hena"/>
    <s v="Admin"/>
    <s v="Security"/>
    <s v="Security Guard"/>
    <s v="703204000031077"/>
    <n v="2022"/>
    <x v="120"/>
    <d v="2022-01-01T00:00:00"/>
    <d v="1980-01-02T00:00:00"/>
    <s v="M"/>
    <s v="N"/>
    <s v="Staff"/>
    <n v="19792"/>
    <n v="19792"/>
    <n v="11875"/>
    <n v="5937"/>
    <n v="792"/>
    <n v="594"/>
    <n v="0"/>
    <n v="0"/>
    <n v="594"/>
    <n v="594"/>
    <n v="0"/>
    <n v="0"/>
    <n v="0"/>
    <n v="0"/>
    <n v="0"/>
    <n v="0"/>
    <n v="0"/>
    <n v="0"/>
    <n v="0"/>
    <n v="19792"/>
    <n v="19792"/>
    <n v="0"/>
  </r>
  <r>
    <n v="132"/>
    <s v="ABC J Padding &amp; Quilting Ltd."/>
    <n v="8754943"/>
    <s v="Hira"/>
    <s v="Admin"/>
    <s v="Security"/>
    <s v="Security Guard"/>
    <s v="703204000030653"/>
    <n v="2022"/>
    <x v="121"/>
    <d v="2022-05-03T00:00:00"/>
    <d v="1969-05-03T00:00:00"/>
    <s v="M"/>
    <s v="N"/>
    <s v="Staff"/>
    <n v="17989"/>
    <n v="17989"/>
    <n v="10793"/>
    <n v="5396"/>
    <n v="720"/>
    <n v="540"/>
    <n v="0"/>
    <n v="0"/>
    <n v="540"/>
    <n v="540"/>
    <n v="0"/>
    <n v="0"/>
    <n v="0"/>
    <n v="0"/>
    <n v="0"/>
    <n v="0"/>
    <n v="0"/>
    <n v="0"/>
    <n v="0"/>
    <n v="17989"/>
    <n v="17989"/>
    <n v="0"/>
  </r>
  <r>
    <n v="133"/>
    <s v="ABC J Padding &amp; Quilting Ltd."/>
    <n v="9604784"/>
    <s v="Humaira"/>
    <s v="Admin"/>
    <s v="Security"/>
    <s v="Security Guard"/>
    <s v="703204000030722"/>
    <n v="2022"/>
    <x v="122"/>
    <d v="2022-01-01T00:00:00"/>
    <d v="1996-10-21T00:00:00"/>
    <s v="M"/>
    <s v="N"/>
    <s v="Staff"/>
    <n v="16568"/>
    <n v="16568"/>
    <n v="9941"/>
    <n v="4970"/>
    <n v="663"/>
    <n v="497"/>
    <n v="0"/>
    <n v="0"/>
    <n v="497"/>
    <n v="497"/>
    <n v="0"/>
    <n v="0"/>
    <n v="0"/>
    <n v="0"/>
    <n v="0"/>
    <n v="0"/>
    <n v="0"/>
    <n v="0"/>
    <n v="0"/>
    <n v="16568"/>
    <n v="16568"/>
    <n v="0"/>
  </r>
  <r>
    <n v="134"/>
    <s v="ABC J Padding &amp; Quilting Ltd."/>
    <n v="7054904"/>
    <s v="Ifat"/>
    <s v="Admin"/>
    <s v="Security"/>
    <s v="Junior Security Guard"/>
    <s v="9993204000003880"/>
    <n v="2022"/>
    <x v="123"/>
    <d v="2022-01-01T00:00:00"/>
    <d v="2001-06-05T00:00:00"/>
    <s v="M"/>
    <s v="N"/>
    <s v="Staff"/>
    <n v="15000"/>
    <n v="15000"/>
    <n v="9000"/>
    <n v="4500"/>
    <n v="600"/>
    <n v="450"/>
    <n v="0"/>
    <n v="0"/>
    <n v="450"/>
    <n v="450"/>
    <n v="0"/>
    <n v="0"/>
    <n v="0"/>
    <n v="0"/>
    <n v="0"/>
    <n v="0"/>
    <n v="0"/>
    <n v="0"/>
    <n v="0"/>
    <n v="15000"/>
    <n v="15000"/>
    <n v="0"/>
  </r>
  <r>
    <n v="135"/>
    <s v="ABC J Padding &amp; Quilting Ltd."/>
    <n v="6488897"/>
    <s v="Iffat"/>
    <s v="Admin"/>
    <s v="Security"/>
    <s v="Security Supervisor "/>
    <s v="9993204000003890"/>
    <n v="2022"/>
    <x v="124"/>
    <d v="2022-01-01T00:00:00"/>
    <d v="1981-08-30T00:00:00"/>
    <s v="M"/>
    <s v="N"/>
    <s v="Staff"/>
    <n v="18570"/>
    <n v="18570"/>
    <n v="11142"/>
    <n v="5571"/>
    <n v="743"/>
    <n v="557"/>
    <n v="0"/>
    <n v="0"/>
    <n v="557"/>
    <n v="557"/>
    <n v="0"/>
    <n v="0"/>
    <n v="0"/>
    <n v="0"/>
    <n v="0"/>
    <n v="0"/>
    <n v="0"/>
    <n v="0"/>
    <n v="0"/>
    <n v="18570"/>
    <n v="18570"/>
    <n v="0"/>
  </r>
  <r>
    <n v="136"/>
    <s v="ABC J Padding &amp; Quilting Ltd."/>
    <n v="7618823"/>
    <s v="Ishrat"/>
    <s v="Admin"/>
    <s v="Security"/>
    <s v="Security Guard"/>
    <s v="703204000030711"/>
    <n v="2024"/>
    <x v="122"/>
    <d v="2024-01-01T00:00:00"/>
    <d v="1990-12-10T00:00:00"/>
    <s v="M"/>
    <s v="N"/>
    <s v="Staff"/>
    <n v="16568"/>
    <n v="16568"/>
    <n v="9941"/>
    <n v="4970"/>
    <n v="663"/>
    <n v="497"/>
    <n v="0"/>
    <n v="0"/>
    <n v="497"/>
    <n v="497"/>
    <n v="0"/>
    <n v="0"/>
    <n v="0"/>
    <n v="0"/>
    <n v="0"/>
    <n v="0"/>
    <n v="0"/>
    <n v="0"/>
    <n v="0"/>
    <n v="16568"/>
    <n v="16568"/>
    <n v="0"/>
  </r>
  <r>
    <n v="137"/>
    <s v="ABC J Padding &amp; Quilting Ltd."/>
    <n v="5754799"/>
    <s v="Jannat"/>
    <s v="Admin"/>
    <s v="Security"/>
    <s v="Security Guard"/>
    <s v="9993204000003070"/>
    <n v="2024"/>
    <x v="125"/>
    <d v="2024-01-01T00:00:00"/>
    <d v="1983-09-19T00:00:00"/>
    <s v="M"/>
    <s v="N"/>
    <s v="Staff"/>
    <n v="16568"/>
    <n v="16568"/>
    <n v="9941"/>
    <n v="4970"/>
    <n v="663"/>
    <n v="497"/>
    <n v="0"/>
    <n v="0"/>
    <n v="497"/>
    <n v="497"/>
    <n v="0"/>
    <n v="0"/>
    <n v="0"/>
    <n v="0"/>
    <n v="0"/>
    <n v="0"/>
    <n v="0"/>
    <n v="0"/>
    <n v="0"/>
    <n v="16568"/>
    <n v="16568"/>
    <n v="0"/>
  </r>
  <r>
    <n v="138"/>
    <s v="ABC J Padding &amp; Quilting Ltd."/>
    <n v="8247819"/>
    <s v="Jasmin"/>
    <s v="Admin"/>
    <s v="Security"/>
    <s v="Security Guard"/>
    <s v="9993204000003060"/>
    <n v="2024"/>
    <x v="126"/>
    <d v="2024-01-01T00:00:00"/>
    <d v="1997-10-16T00:00:00"/>
    <s v="M"/>
    <s v="N"/>
    <s v="Staff"/>
    <n v="16568"/>
    <n v="16568"/>
    <n v="9941"/>
    <n v="4970"/>
    <n v="663"/>
    <n v="497"/>
    <n v="0"/>
    <n v="0"/>
    <n v="497"/>
    <n v="497"/>
    <n v="0"/>
    <n v="0"/>
    <n v="0"/>
    <n v="0"/>
    <n v="0"/>
    <n v="0"/>
    <n v="0"/>
    <n v="0"/>
    <n v="0"/>
    <n v="16568"/>
    <n v="16568"/>
    <n v="0"/>
  </r>
  <r>
    <n v="139"/>
    <s v="ABC J Padding &amp; Quilting Ltd."/>
    <n v="8428443"/>
    <s v="Kaniz"/>
    <s v="Admin"/>
    <s v="Supports"/>
    <s v="Assistant delivery man"/>
    <s v="9993204000009990"/>
    <n v="2024"/>
    <x v="127"/>
    <d v="2024-01-01T00:00:00"/>
    <d v="1988-06-04T00:00:00"/>
    <s v="M"/>
    <s v="N"/>
    <s v="Staff"/>
    <n v="15904"/>
    <n v="15904"/>
    <n v="9543"/>
    <n v="4771"/>
    <n v="636"/>
    <n v="477"/>
    <n v="0"/>
    <n v="0"/>
    <n v="477"/>
    <n v="477"/>
    <n v="0"/>
    <n v="0"/>
    <n v="0"/>
    <n v="0"/>
    <n v="0"/>
    <n v="0"/>
    <n v="0"/>
    <n v="0"/>
    <n v="0"/>
    <n v="15904"/>
    <n v="15904"/>
    <n v="0"/>
  </r>
  <r>
    <n v="140"/>
    <s v="ABC J Padding &amp; Quilting Ltd."/>
    <n v="8065887"/>
    <s v="Karima"/>
    <s v="Admin"/>
    <s v="Supports"/>
    <s v="Assistant delivery man"/>
    <s v="9993204000010000"/>
    <n v="2024"/>
    <x v="128"/>
    <d v="2024-01-01T00:00:00"/>
    <d v="1995-01-01T00:00:00"/>
    <s v="M"/>
    <s v="N"/>
    <s v="Staff"/>
    <n v="15904"/>
    <n v="15904"/>
    <n v="9543"/>
    <n v="4771"/>
    <n v="636"/>
    <n v="477"/>
    <n v="0"/>
    <n v="0"/>
    <n v="477"/>
    <n v="477"/>
    <n v="0"/>
    <n v="0"/>
    <n v="0"/>
    <n v="0"/>
    <n v="0"/>
    <n v="0"/>
    <n v="0"/>
    <n v="0"/>
    <n v="0"/>
    <n v="15904"/>
    <n v="15904"/>
    <n v="0"/>
  </r>
  <r>
    <n v="141"/>
    <s v="ABC J Padding &amp; Quilting Ltd."/>
    <n v="9608580"/>
    <s v="Labiba"/>
    <s v="Admin"/>
    <s v="Supports"/>
    <s v="Assistant delivery man"/>
    <s v="9993204000009980"/>
    <n v="2024"/>
    <x v="129"/>
    <d v="2024-01-01T00:00:00"/>
    <d v="1968-01-01T00:00:00"/>
    <s v="M"/>
    <s v="N"/>
    <s v="Staff"/>
    <n v="15904"/>
    <n v="15563"/>
    <n v="9543"/>
    <n v="4771"/>
    <n v="636"/>
    <n v="477"/>
    <n v="0"/>
    <n v="0"/>
    <n v="477"/>
    <n v="477"/>
    <n v="0"/>
    <n v="0"/>
    <n v="0"/>
    <n v="0"/>
    <n v="341"/>
    <n v="0"/>
    <n v="500"/>
    <n v="0"/>
    <n v="0"/>
    <n v="15063"/>
    <n v="15063"/>
    <n v="0"/>
  </r>
  <r>
    <n v="142"/>
    <s v="ABC J Padding &amp; Quilting Ltd."/>
    <n v="7271915"/>
    <s v="Lamia"/>
    <s v="Admin"/>
    <s v="Supports"/>
    <s v="Assistant delivery man"/>
    <s v="703204000029428"/>
    <n v="2024"/>
    <x v="130"/>
    <d v="2024-01-01T00:00:00"/>
    <d v="1988-08-27T00:00:00"/>
    <s v="M"/>
    <s v="N"/>
    <s v="Staff"/>
    <n v="16197"/>
    <n v="14462"/>
    <n v="9718"/>
    <n v="4859"/>
    <n v="648"/>
    <n v="486"/>
    <n v="0"/>
    <n v="0"/>
    <n v="486"/>
    <n v="486"/>
    <n v="0"/>
    <n v="0"/>
    <n v="0"/>
    <n v="0"/>
    <n v="1735"/>
    <n v="0"/>
    <n v="0"/>
    <n v="0"/>
    <n v="0"/>
    <n v="14462"/>
    <n v="14462"/>
    <n v="0"/>
  </r>
  <r>
    <n v="143"/>
    <s v="ABC J Padding &amp; Quilting Ltd."/>
    <n v="8402321"/>
    <s v="Lata"/>
    <s v="Admin"/>
    <s v="Supports"/>
    <s v="Assistant delivery man"/>
    <s v="9993204000004180"/>
    <n v="2024"/>
    <x v="131"/>
    <d v="2024-01-01T00:00:00"/>
    <d v="2000-12-10T00:00:00"/>
    <s v="M"/>
    <s v="N"/>
    <s v="Staff"/>
    <n v="15000"/>
    <n v="15000"/>
    <n v="9000"/>
    <n v="4500"/>
    <n v="600"/>
    <n v="450"/>
    <n v="0"/>
    <n v="0"/>
    <n v="450"/>
    <n v="450"/>
    <n v="0"/>
    <n v="0"/>
    <n v="0"/>
    <n v="0"/>
    <n v="0"/>
    <n v="0"/>
    <n v="0"/>
    <n v="0"/>
    <n v="0"/>
    <n v="15000"/>
    <n v="15000"/>
    <n v="0"/>
  </r>
  <r>
    <n v="144"/>
    <s v="ABC J Padding &amp; Quilting Ltd."/>
    <n v="6309817"/>
    <s v="Liza"/>
    <s v="Admin"/>
    <s v="Supports"/>
    <s v="Assistant delivery man"/>
    <s v="9993204000004170"/>
    <n v="2024"/>
    <x v="132"/>
    <d v="2024-01-01T00:00:00"/>
    <d v="1993-04-04T00:00:00"/>
    <s v="M"/>
    <s v="N"/>
    <s v="Staff"/>
    <n v="15000"/>
    <n v="15000"/>
    <n v="9000"/>
    <n v="4500"/>
    <n v="600"/>
    <n v="450"/>
    <n v="0"/>
    <n v="0"/>
    <n v="450"/>
    <n v="450"/>
    <n v="0"/>
    <n v="0"/>
    <n v="0"/>
    <n v="0"/>
    <n v="0"/>
    <n v="0"/>
    <n v="0"/>
    <n v="0"/>
    <n v="0"/>
    <n v="15000"/>
    <n v="15000"/>
    <n v="0"/>
  </r>
  <r>
    <n v="145"/>
    <s v="ABC J Padding &amp; Quilting Ltd."/>
    <n v="6226741"/>
    <s v="Lubna"/>
    <s v="Admin"/>
    <s v="Supports"/>
    <s v="Assistant delivery man"/>
    <s v="703204000029472"/>
    <n v="2024"/>
    <x v="122"/>
    <d v="2024-01-01T00:00:00"/>
    <d v="1994-12-10T00:00:00"/>
    <s v="M"/>
    <s v="N"/>
    <s v="Staff"/>
    <n v="16197"/>
    <n v="15197"/>
    <n v="9718"/>
    <n v="4859"/>
    <n v="648"/>
    <n v="486"/>
    <n v="0"/>
    <n v="0"/>
    <n v="486"/>
    <n v="486"/>
    <n v="0"/>
    <n v="0"/>
    <n v="-1000"/>
    <n v="0"/>
    <n v="0"/>
    <n v="0"/>
    <n v="0"/>
    <n v="0"/>
    <n v="0"/>
    <n v="17197"/>
    <n v="15197"/>
    <n v="0"/>
  </r>
  <r>
    <n v="146"/>
    <s v="ABC J Padding &amp; Quilting Ltd."/>
    <n v="7106841"/>
    <s v="Mahmuda"/>
    <s v="Admin"/>
    <s v="Supports"/>
    <s v="Assistant delivery man"/>
    <s v="703204000029268"/>
    <n v="1900"/>
    <x v="133"/>
    <m/>
    <d v="1991-07-10T00:00:00"/>
    <s v="M"/>
    <s v="N"/>
    <s v="Staff"/>
    <n v="16197"/>
    <n v="16197"/>
    <n v="9718"/>
    <n v="4859"/>
    <n v="648"/>
    <n v="486"/>
    <n v="0"/>
    <n v="0"/>
    <n v="486"/>
    <n v="486"/>
    <n v="0"/>
    <n v="0"/>
    <n v="0"/>
    <n v="0"/>
    <n v="0"/>
    <n v="0"/>
    <n v="0"/>
    <n v="0"/>
    <n v="0"/>
    <n v="16197"/>
    <n v="16197"/>
    <n v="0"/>
  </r>
  <r>
    <n v="147"/>
    <s v="ABC J Padding &amp; Quilting Ltd."/>
    <n v="8119457"/>
    <s v="Mahjabin"/>
    <s v="Admin"/>
    <s v="Supports"/>
    <s v="Assistant delivery man"/>
    <s v="703204000029279"/>
    <n v="2022"/>
    <x v="17"/>
    <d v="2022-06-15T00:00:00"/>
    <d v="1987-06-15T00:00:00"/>
    <s v="M"/>
    <s v="N"/>
    <s v="Staff"/>
    <n v="16197"/>
    <n v="16197"/>
    <n v="9718"/>
    <n v="4859"/>
    <n v="648"/>
    <n v="486"/>
    <n v="0"/>
    <n v="0"/>
    <n v="486"/>
    <n v="486"/>
    <n v="0"/>
    <n v="0"/>
    <n v="0"/>
    <n v="0"/>
    <n v="0"/>
    <n v="0"/>
    <n v="0"/>
    <n v="0"/>
    <n v="0"/>
    <n v="16197"/>
    <n v="16197"/>
    <n v="0"/>
  </r>
  <r>
    <n v="148"/>
    <s v="ABC J Padding &amp; Quilting Ltd."/>
    <n v="6707378"/>
    <s v="Mahua"/>
    <s v="Admin"/>
    <s v="Supports"/>
    <s v="Loader"/>
    <s v="703204000029654"/>
    <n v="2022"/>
    <x v="134"/>
    <d v="2022-01-01T00:00:00"/>
    <d v="1972-03-02T00:00:00"/>
    <s v="M"/>
    <s v="N"/>
    <s v="Staff"/>
    <n v="24447"/>
    <n v="24447"/>
    <n v="14669"/>
    <n v="7334"/>
    <n v="978"/>
    <n v="733"/>
    <n v="0"/>
    <n v="0"/>
    <n v="733"/>
    <n v="733"/>
    <n v="350"/>
    <n v="0"/>
    <n v="0"/>
    <n v="0"/>
    <n v="0"/>
    <n v="0"/>
    <n v="0"/>
    <n v="0"/>
    <n v="0"/>
    <n v="24797"/>
    <n v="24797"/>
    <n v="0"/>
  </r>
  <r>
    <n v="149"/>
    <s v="ABC J Padding &amp; Quilting Ltd."/>
    <n v="9946869"/>
    <s v="Maleka"/>
    <s v="Admin"/>
    <s v="Supports"/>
    <s v="Sample Machinist"/>
    <s v="703204000030609"/>
    <n v="2022"/>
    <x v="135"/>
    <d v="2022-01-01T00:00:00"/>
    <d v="1986-04-03T00:00:00"/>
    <s v="M"/>
    <s v="N"/>
    <s v="Staff"/>
    <n v="25461"/>
    <n v="25461"/>
    <n v="15277"/>
    <n v="7638"/>
    <n v="1018"/>
    <n v="764"/>
    <n v="0"/>
    <n v="0"/>
    <n v="764"/>
    <n v="764"/>
    <n v="0"/>
    <n v="0"/>
    <n v="0"/>
    <n v="0"/>
    <n v="0"/>
    <n v="0"/>
    <n v="5000"/>
    <n v="0"/>
    <n v="0"/>
    <n v="20461"/>
    <n v="20461"/>
    <n v="0"/>
  </r>
  <r>
    <n v="150"/>
    <s v="ABC J Padding &amp; Quilting Ltd."/>
    <n v="8498230"/>
    <s v="Maria"/>
    <s v="Admin"/>
    <s v="Supports"/>
    <s v="Peon"/>
    <s v="7863241000344960"/>
    <n v="2022"/>
    <x v="136"/>
    <d v="2022-04-19T00:00:00"/>
    <d v="1987-04-19T00:00:00"/>
    <s v="M"/>
    <s v="N"/>
    <s v="Staff"/>
    <n v="22345"/>
    <n v="17545"/>
    <n v="13407"/>
    <n v="6704"/>
    <n v="894"/>
    <n v="670"/>
    <n v="0"/>
    <n v="0"/>
    <n v="670"/>
    <n v="670"/>
    <n v="0"/>
    <n v="0"/>
    <n v="-4800"/>
    <n v="0"/>
    <n v="0"/>
    <n v="0"/>
    <n v="1000"/>
    <n v="0"/>
    <n v="0"/>
    <n v="26145"/>
    <n v="16545"/>
    <n v="0"/>
  </r>
  <r>
    <n v="151"/>
    <s v="ABC J Padding &amp; Quilting Ltd."/>
    <n v="7377773"/>
    <s v="Marufa"/>
    <s v="Admin"/>
    <s v="Supports"/>
    <s v="Peon"/>
    <s v="703204000029508"/>
    <n v="2022"/>
    <x v="137"/>
    <d v="2022-01-01T00:00:00"/>
    <d v="1974-04-06T00:00:00"/>
    <s v="M"/>
    <s v="N"/>
    <s v="Staff"/>
    <n v="18586"/>
    <n v="18586"/>
    <n v="11151"/>
    <n v="5576"/>
    <n v="743"/>
    <n v="558"/>
    <n v="0"/>
    <n v="0"/>
    <n v="558"/>
    <n v="558"/>
    <n v="0"/>
    <n v="0"/>
    <n v="0"/>
    <n v="0"/>
    <n v="0"/>
    <n v="0"/>
    <n v="0"/>
    <n v="0"/>
    <n v="0"/>
    <n v="18586"/>
    <n v="18586"/>
    <n v="0"/>
  </r>
  <r>
    <n v="152"/>
    <s v="ABC J Padding &amp; Quilting Ltd."/>
    <n v="5435280"/>
    <s v="Mehnaz"/>
    <s v="Admin"/>
    <s v="Vehicle Management"/>
    <s v="Driver"/>
    <s v="9993204000004920"/>
    <n v="2022"/>
    <x v="138"/>
    <d v="2022-01-01T00:00:00"/>
    <d v="1975-01-01T00:00:00"/>
    <s v="M"/>
    <s v="N"/>
    <s v="Staff"/>
    <n v="18000"/>
    <n v="17453"/>
    <n v="10440"/>
    <n v="5220"/>
    <n v="1044"/>
    <n v="1296"/>
    <n v="0"/>
    <n v="0"/>
    <n v="0"/>
    <n v="1296"/>
    <n v="0"/>
    <n v="0"/>
    <n v="-174"/>
    <n v="0"/>
    <n v="0"/>
    <n v="373"/>
    <n v="0"/>
    <n v="0"/>
    <n v="0"/>
    <n v="17801"/>
    <n v="17453"/>
    <n v="0"/>
  </r>
  <r>
    <n v="153"/>
    <s v="ABC J Padding &amp; Quilting Ltd."/>
    <n v="5787443"/>
    <s v="Mehrin"/>
    <s v="Admin"/>
    <s v="Vehicle Management"/>
    <s v="Driver"/>
    <s v="9993204000004940"/>
    <n v="2022"/>
    <x v="77"/>
    <d v="2022-01-01T00:00:00"/>
    <d v="1971-11-10T00:00:00"/>
    <s v="M"/>
    <s v="N"/>
    <s v="Staff"/>
    <n v="18000"/>
    <n v="18000"/>
    <n v="10440"/>
    <n v="5220"/>
    <n v="1044"/>
    <n v="1296"/>
    <n v="0"/>
    <n v="0"/>
    <n v="0"/>
    <n v="1296"/>
    <n v="0"/>
    <n v="0"/>
    <n v="0"/>
    <n v="0"/>
    <n v="0"/>
    <n v="0"/>
    <n v="0"/>
    <n v="0"/>
    <n v="0"/>
    <n v="18000"/>
    <n v="18000"/>
    <n v="0"/>
  </r>
  <r>
    <n v="154"/>
    <s v="ABC J Padding &amp; Quilting Ltd."/>
    <n v="6610072"/>
    <s v="Mehzabin"/>
    <s v="Admin"/>
    <s v="Vehicle Management"/>
    <s v="Driver"/>
    <s v="703204000029304"/>
    <n v="2022"/>
    <x v="139"/>
    <d v="2022-10-19T00:00:00"/>
    <d v="1982-10-19T00:00:00"/>
    <s v="M"/>
    <s v="N"/>
    <s v="Staff"/>
    <n v="30521"/>
    <n v="30521"/>
    <n v="18312"/>
    <n v="9156"/>
    <n v="1221"/>
    <n v="916"/>
    <n v="0"/>
    <n v="0"/>
    <n v="916"/>
    <n v="916"/>
    <n v="0"/>
    <n v="0"/>
    <n v="0"/>
    <n v="0"/>
    <n v="0"/>
    <n v="0"/>
    <n v="0"/>
    <n v="0"/>
    <n v="0"/>
    <n v="30521"/>
    <n v="30521"/>
    <n v="0"/>
  </r>
  <r>
    <n v="155"/>
    <s v="ABC J Padding &amp; Quilting Ltd."/>
    <n v="7598218"/>
    <s v="Mili"/>
    <s v="Admin"/>
    <s v="Vehicle Management"/>
    <s v="Driver"/>
    <s v="703204000030562"/>
    <n v="2022"/>
    <x v="140"/>
    <d v="2022-05-15T00:00:00"/>
    <d v="1983-05-15T00:00:00"/>
    <s v="M"/>
    <s v="N"/>
    <s v="Staff"/>
    <n v="26705"/>
    <n v="26705"/>
    <n v="16023"/>
    <n v="8012"/>
    <n v="1068"/>
    <n v="801"/>
    <n v="0"/>
    <n v="0"/>
    <n v="801"/>
    <n v="801"/>
    <n v="0"/>
    <n v="0"/>
    <n v="0"/>
    <n v="0"/>
    <n v="0"/>
    <n v="0"/>
    <n v="0"/>
    <n v="0"/>
    <n v="0"/>
    <n v="26705"/>
    <n v="26705"/>
    <n v="0"/>
  </r>
  <r>
    <n v="156"/>
    <s v="ABC J Padding &amp; Quilting Ltd."/>
    <n v="8678054"/>
    <s v="Mim"/>
    <s v="Admin"/>
    <s v="Vehicle Management"/>
    <s v="Asst. Driver"/>
    <s v="9993204000003150"/>
    <n v="1900"/>
    <x v="141"/>
    <m/>
    <d v="2002-08-07T00:00:00"/>
    <s v="M"/>
    <s v="N"/>
    <s v="Staff"/>
    <n v="15260"/>
    <n v="15260"/>
    <n v="9156"/>
    <n v="4578"/>
    <n v="610"/>
    <n v="458"/>
    <n v="0"/>
    <n v="0"/>
    <n v="458"/>
    <n v="458"/>
    <n v="0"/>
    <n v="0"/>
    <n v="0"/>
    <n v="0"/>
    <n v="0"/>
    <n v="0"/>
    <n v="0"/>
    <n v="0"/>
    <n v="0"/>
    <n v="15260"/>
    <n v="15260"/>
    <n v="0"/>
  </r>
  <r>
    <n v="157"/>
    <s v="ABC J Padding &amp; Quilting Ltd."/>
    <n v="5823974"/>
    <s v="Minhaz"/>
    <s v="Admin"/>
    <s v="Vehicle Management"/>
    <s v="Asst. Driver"/>
    <s v="703204000030937"/>
    <n v="1900"/>
    <x v="142"/>
    <m/>
    <d v="1982-07-03T00:00:00"/>
    <s v="M"/>
    <s v="N"/>
    <s v="Staff"/>
    <n v="15260"/>
    <n v="15260"/>
    <n v="9156"/>
    <n v="4578"/>
    <n v="610"/>
    <n v="458"/>
    <n v="0"/>
    <n v="0"/>
    <n v="458"/>
    <n v="458"/>
    <n v="0"/>
    <n v="0"/>
    <n v="0"/>
    <n v="0"/>
    <n v="0"/>
    <n v="0"/>
    <n v="0"/>
    <n v="0"/>
    <n v="0"/>
    <n v="15260"/>
    <n v="15260"/>
    <n v="0"/>
  </r>
  <r>
    <n v="158"/>
    <s v="ABC J Padding &amp; Quilting Ltd."/>
    <n v="5430866"/>
    <s v="Mitali"/>
    <s v="Admin"/>
    <s v="Vehicle Management"/>
    <s v="Driver"/>
    <s v="703204000029552"/>
    <n v="1900"/>
    <x v="143"/>
    <m/>
    <d v="1985-01-01T00:00:00"/>
    <s v="M"/>
    <s v="N"/>
    <s v="Staff"/>
    <n v="21800"/>
    <n v="21800"/>
    <n v="13080"/>
    <n v="6540"/>
    <n v="872"/>
    <n v="654"/>
    <n v="0"/>
    <n v="0"/>
    <n v="654"/>
    <n v="654"/>
    <n v="0"/>
    <n v="0"/>
    <n v="0"/>
    <n v="0"/>
    <n v="0"/>
    <n v="0"/>
    <n v="0"/>
    <n v="0"/>
    <n v="0"/>
    <n v="21800"/>
    <n v="21800"/>
    <n v="0"/>
  </r>
  <r>
    <n v="159"/>
    <s v="ABC J Padding &amp; Quilting Ltd."/>
    <n v="6607778"/>
    <s v="Moushumi"/>
    <s v="Admin"/>
    <s v="Vehicle Management"/>
    <s v="Asst. Driver"/>
    <s v="9993204000003220"/>
    <n v="1900"/>
    <x v="144"/>
    <m/>
    <d v="1997-04-06T00:00:00"/>
    <s v="M"/>
    <s v="N"/>
    <s v="Staff"/>
    <n v="15805"/>
    <n v="15805"/>
    <n v="9483"/>
    <n v="4742"/>
    <n v="632"/>
    <n v="474"/>
    <n v="0"/>
    <n v="0"/>
    <n v="474"/>
    <n v="474"/>
    <n v="0"/>
    <n v="0"/>
    <n v="0"/>
    <n v="0"/>
    <n v="0"/>
    <n v="0"/>
    <n v="1000"/>
    <n v="0"/>
    <n v="0"/>
    <n v="14805"/>
    <n v="14805"/>
    <n v="0"/>
  </r>
  <r>
    <n v="160"/>
    <s v="ABC J Padding &amp; Quilting Ltd."/>
    <n v="9685706"/>
    <s v="Munia"/>
    <s v="Admin"/>
    <s v="Vehicle Management"/>
    <s v="Asst. Driver"/>
    <s v="1983201000003370"/>
    <n v="2022"/>
    <x v="145"/>
    <d v="2022-01-01T00:00:00"/>
    <d v="1994-10-20T00:00:00"/>
    <s v="M"/>
    <s v="N"/>
    <s v="Staff"/>
    <n v="14000"/>
    <n v="14000"/>
    <n v="8400"/>
    <n v="4200"/>
    <n v="560"/>
    <n v="420"/>
    <n v="0"/>
    <n v="0"/>
    <n v="420"/>
    <n v="420"/>
    <n v="0"/>
    <n v="0"/>
    <n v="0"/>
    <n v="0"/>
    <n v="0"/>
    <n v="0"/>
    <n v="0"/>
    <n v="0"/>
    <n v="0"/>
    <n v="14000"/>
    <n v="14000"/>
    <n v="0"/>
  </r>
  <r>
    <n v="161"/>
    <s v="ABC J Padding &amp; Quilting Ltd."/>
    <n v="8709165"/>
    <s v="Muntaha"/>
    <s v="Admin"/>
    <s v="Vehicle Management"/>
    <s v="Asst. Driver"/>
    <s v="9993204000003180"/>
    <n v="2022"/>
    <x v="146"/>
    <d v="2022-01-01T00:00:00"/>
    <d v="1981-12-07T00:00:00"/>
    <s v="M"/>
    <s v="N"/>
    <s v="Staff"/>
    <n v="15260"/>
    <n v="15260"/>
    <n v="9156"/>
    <n v="4578"/>
    <n v="610"/>
    <n v="458"/>
    <n v="0"/>
    <n v="0"/>
    <n v="458"/>
    <n v="458"/>
    <n v="0"/>
    <n v="0"/>
    <n v="0"/>
    <n v="0"/>
    <n v="0"/>
    <n v="0"/>
    <n v="0"/>
    <n v="0"/>
    <n v="0"/>
    <n v="15260"/>
    <n v="15260"/>
    <n v="0"/>
  </r>
  <r>
    <n v="162"/>
    <s v="ABC J Padding &amp; Quilting Ltd."/>
    <n v="5435750"/>
    <s v="Nafisa"/>
    <s v="Admin"/>
    <s v="Vehicle Management"/>
    <s v="Driver"/>
    <s v="703204000029290"/>
    <n v="2022"/>
    <x v="147"/>
    <d v="2022-01-01T00:00:00"/>
    <d v="1991-06-01T00:00:00"/>
    <s v="M"/>
    <s v="N"/>
    <s v="Staff"/>
    <n v="20860"/>
    <n v="20860"/>
    <n v="12516"/>
    <n v="6258"/>
    <n v="834"/>
    <n v="626"/>
    <n v="0"/>
    <n v="0"/>
    <n v="626"/>
    <n v="626"/>
    <n v="0"/>
    <n v="0"/>
    <n v="0"/>
    <n v="0"/>
    <n v="0"/>
    <n v="0"/>
    <n v="0"/>
    <n v="0"/>
    <n v="0"/>
    <n v="20860"/>
    <n v="20860"/>
    <n v="0"/>
  </r>
  <r>
    <n v="163"/>
    <s v="ABC J Padding &amp; Quilting Ltd."/>
    <n v="7091605"/>
    <s v="Naima"/>
    <s v="Admin"/>
    <s v="Vehicle Management"/>
    <s v="Asst. Driver"/>
    <s v="9993204000003190"/>
    <n v="1900"/>
    <x v="148"/>
    <m/>
    <d v="1997-01-01T00:00:00"/>
    <s v="M"/>
    <s v="N"/>
    <s v="Staff"/>
    <n v="15260"/>
    <n v="11336"/>
    <n v="9156"/>
    <n v="4578"/>
    <n v="610"/>
    <n v="458"/>
    <n v="0"/>
    <n v="0"/>
    <n v="458"/>
    <n v="458"/>
    <n v="0"/>
    <n v="0"/>
    <n v="0"/>
    <n v="0"/>
    <n v="3924"/>
    <n v="0"/>
    <n v="0"/>
    <n v="0"/>
    <n v="0"/>
    <n v="11336"/>
    <n v="11336"/>
    <n v="0"/>
  </r>
  <r>
    <n v="164"/>
    <s v="ABC J Padding &amp; Quilting Ltd."/>
    <n v="5384948"/>
    <s v="Najma"/>
    <s v="Delivery"/>
    <s v="Delivery"/>
    <s v="Operator"/>
    <s v="1063204000022500"/>
    <n v="2022"/>
    <x v="149"/>
    <d v="2022-01-01T00:00:00"/>
    <d v="1994-09-19T00:00:00"/>
    <s v="M"/>
    <s v="N"/>
    <s v="Staff"/>
    <n v="16330"/>
    <n v="16330"/>
    <n v="9798"/>
    <n v="4899"/>
    <n v="653"/>
    <n v="490"/>
    <n v="0"/>
    <n v="0"/>
    <n v="490"/>
    <n v="490"/>
    <n v="0"/>
    <n v="0"/>
    <n v="0"/>
    <n v="0"/>
    <n v="0"/>
    <n v="0"/>
    <n v="0"/>
    <n v="0"/>
    <n v="0"/>
    <n v="16330"/>
    <n v="16330"/>
    <n v="0"/>
  </r>
  <r>
    <n v="165"/>
    <s v="ABC J Padding &amp; Quilting Ltd."/>
    <n v="6606211"/>
    <s v="Nasima"/>
    <s v="Delivery"/>
    <s v="Delivery"/>
    <s v="Delivery Executive"/>
    <s v="703204000029676"/>
    <n v="2022"/>
    <x v="150"/>
    <d v="2022-12-12T00:00:00"/>
    <d v="1981-12-12T00:00:00"/>
    <s v="M"/>
    <s v="N"/>
    <s v="Staff"/>
    <n v="36078"/>
    <n v="36078"/>
    <n v="21647"/>
    <n v="10824"/>
    <n v="1443"/>
    <n v="1082"/>
    <n v="0"/>
    <n v="0"/>
    <n v="1082"/>
    <n v="1082"/>
    <n v="0"/>
    <n v="0"/>
    <n v="0"/>
    <n v="0"/>
    <n v="0"/>
    <n v="0"/>
    <n v="5000"/>
    <n v="0"/>
    <n v="0"/>
    <n v="31078"/>
    <n v="31078"/>
    <n v="0"/>
  </r>
  <r>
    <n v="166"/>
    <s v="ABC J Padding &amp; Quilting Ltd."/>
    <n v="6324782"/>
    <s v="Nasrin"/>
    <s v="Delivery"/>
    <s v="Delivery"/>
    <s v="Delivery Executive (VAT)"/>
    <s v="703204000029224"/>
    <n v="1900"/>
    <x v="151"/>
    <m/>
    <d v="1994-02-12T00:00:00"/>
    <s v="M"/>
    <s v="N"/>
    <s v="Staff"/>
    <n v="31675"/>
    <n v="26675"/>
    <n v="19005"/>
    <n v="9503"/>
    <n v="1267"/>
    <n v="950"/>
    <n v="0"/>
    <n v="0"/>
    <n v="950"/>
    <n v="950"/>
    <n v="0"/>
    <n v="0"/>
    <n v="-5000"/>
    <n v="0"/>
    <n v="0"/>
    <n v="0"/>
    <n v="0"/>
    <n v="0"/>
    <n v="0"/>
    <n v="36675"/>
    <n v="26675"/>
    <n v="0"/>
  </r>
  <r>
    <n v="167"/>
    <s v="ABC J Padding &amp; Quilting Ltd."/>
    <n v="9564117"/>
    <s v="Nazia"/>
    <s v="Production"/>
    <s v="Padding B"/>
    <s v="Asst. Production Coordinator"/>
    <s v="703204000029519"/>
    <n v="1900"/>
    <x v="152"/>
    <m/>
    <d v="1998-05-20T00:00:00"/>
    <s v="M"/>
    <s v="N"/>
    <s v="Staff"/>
    <n v="21495"/>
    <n v="21495"/>
    <n v="12897"/>
    <n v="6448"/>
    <n v="860"/>
    <n v="645"/>
    <n v="0"/>
    <n v="0"/>
    <n v="645"/>
    <n v="645"/>
    <n v="0"/>
    <n v="0"/>
    <n v="0"/>
    <n v="0"/>
    <n v="0"/>
    <n v="0"/>
    <n v="2000"/>
    <n v="0"/>
    <n v="0"/>
    <n v="19495"/>
    <n v="19495"/>
    <n v="0"/>
  </r>
  <r>
    <n v="168"/>
    <s v="ABC J Padding &amp; Quilting Ltd."/>
    <n v="9059813"/>
    <s v="Nazma"/>
    <s v="Production"/>
    <s v="Padding B"/>
    <s v="Senior Supervisor"/>
    <s v="9993204000003400"/>
    <n v="2022"/>
    <x v="153"/>
    <d v="2022-01-01T00:00:00"/>
    <d v="1975-12-20T00:00:00"/>
    <s v="M"/>
    <s v="N"/>
    <s v="Staff"/>
    <n v="37713"/>
    <n v="32713"/>
    <n v="22628"/>
    <n v="11314"/>
    <n v="1509"/>
    <n v="1131"/>
    <n v="0"/>
    <n v="0"/>
    <n v="1131"/>
    <n v="1131"/>
    <n v="0"/>
    <n v="0"/>
    <n v="-5000"/>
    <n v="0"/>
    <n v="0"/>
    <n v="0"/>
    <n v="0"/>
    <n v="0"/>
    <n v="0"/>
    <n v="42713"/>
    <n v="32713"/>
    <n v="0"/>
  </r>
  <r>
    <n v="169"/>
    <s v="ABC J Padding &amp; Quilting Ltd."/>
    <n v="5831951"/>
    <s v="Nilima"/>
    <s v="Production"/>
    <s v="Padding B"/>
    <s v="Senior Supervisor"/>
    <s v="703204000030631"/>
    <n v="2022"/>
    <x v="154"/>
    <d v="2022-01-01T00:00:00"/>
    <d v="1981-07-05T00:00:00"/>
    <s v="M"/>
    <s v="N"/>
    <s v="Staff"/>
    <n v="32700"/>
    <n v="32700"/>
    <n v="19620"/>
    <n v="9810"/>
    <n v="1308"/>
    <n v="981"/>
    <n v="0"/>
    <n v="0"/>
    <n v="981"/>
    <n v="981"/>
    <n v="0"/>
    <n v="0"/>
    <n v="0"/>
    <n v="0"/>
    <n v="0"/>
    <n v="0"/>
    <n v="0"/>
    <n v="0"/>
    <n v="0"/>
    <n v="32700"/>
    <n v="32700"/>
    <n v="0"/>
  </r>
  <r>
    <n v="170"/>
    <s v="ABC J Padding &amp; Quilting Ltd."/>
    <n v="6419821"/>
    <s v="Nusrat"/>
    <s v="Production"/>
    <s v="Padding B"/>
    <s v="Senior Padding Machine Operator"/>
    <s v="9993204000006570"/>
    <n v="2021"/>
    <x v="155"/>
    <d v="2021-01-01T00:00:00"/>
    <d v="1977-03-10T00:00:00"/>
    <s v="M"/>
    <s v="N"/>
    <s v="Staff"/>
    <n v="22470"/>
    <n v="22470"/>
    <n v="13482"/>
    <n v="6741"/>
    <n v="899"/>
    <n v="674"/>
    <n v="0"/>
    <n v="0"/>
    <n v="674"/>
    <n v="674"/>
    <n v="350"/>
    <n v="0"/>
    <n v="0"/>
    <n v="0"/>
    <n v="0"/>
    <n v="0"/>
    <n v="0"/>
    <n v="0"/>
    <n v="0"/>
    <n v="22820"/>
    <n v="22820"/>
    <n v="0"/>
  </r>
  <r>
    <n v="171"/>
    <s v="ABC J Padding &amp; Quilting Ltd."/>
    <n v="5632166"/>
    <s v="Papiya"/>
    <s v="Production"/>
    <s v="Padding B"/>
    <s v="Winder Machine Operator"/>
    <s v="9993204000006630"/>
    <n v="2021"/>
    <x v="156"/>
    <d v="2021-01-01T00:00:00"/>
    <d v="1967-05-10T00:00:00"/>
    <s v="M"/>
    <s v="N"/>
    <s v="Staff"/>
    <n v="23369"/>
    <n v="23369"/>
    <n v="14021"/>
    <n v="7011"/>
    <n v="935"/>
    <n v="701"/>
    <n v="0"/>
    <n v="0"/>
    <n v="701"/>
    <n v="701"/>
    <n v="350"/>
    <n v="0"/>
    <n v="0"/>
    <n v="0"/>
    <n v="0"/>
    <n v="0"/>
    <n v="0"/>
    <n v="0"/>
    <n v="0"/>
    <n v="23719"/>
    <n v="23719"/>
    <n v="0"/>
  </r>
  <r>
    <n v="172"/>
    <s v="ABC J Padding &amp; Quilting Ltd."/>
    <n v="9288200"/>
    <s v="Parveen"/>
    <s v="Production"/>
    <s v="Quilting"/>
    <s v="Quality Inspector"/>
    <s v="703204000030438"/>
    <n v="1900"/>
    <x v="157"/>
    <m/>
    <d v="1995-10-25T00:00:00"/>
    <s v="M"/>
    <s v="N"/>
    <s v="Staff"/>
    <n v="17521"/>
    <n v="17521"/>
    <n v="10512"/>
    <n v="5256"/>
    <n v="701"/>
    <n v="526"/>
    <n v="0"/>
    <n v="0"/>
    <n v="526"/>
    <n v="526"/>
    <n v="0"/>
    <n v="0"/>
    <n v="0"/>
    <n v="0"/>
    <n v="0"/>
    <n v="0"/>
    <n v="0"/>
    <n v="0"/>
    <n v="0"/>
    <n v="17521"/>
    <n v="17521"/>
    <n v="0"/>
  </r>
  <r>
    <n v="173"/>
    <s v="ABC J Padding &amp; Quilting Ltd."/>
    <n v="9134199"/>
    <s v="Purnima"/>
    <s v="Production"/>
    <s v="Quilting"/>
    <s v="Assistant Supervisor"/>
    <s v="703204000029235"/>
    <n v="2021"/>
    <x v="158"/>
    <d v="2021-01-01T00:00:00"/>
    <d v="1989-02-11T00:00:00"/>
    <s v="M"/>
    <s v="N"/>
    <s v="Staff"/>
    <n v="22891"/>
    <n v="22891"/>
    <n v="13734"/>
    <n v="6867"/>
    <n v="916"/>
    <n v="687"/>
    <n v="0"/>
    <n v="0"/>
    <n v="687"/>
    <n v="687"/>
    <n v="0"/>
    <n v="0"/>
    <n v="0"/>
    <n v="0"/>
    <n v="0"/>
    <n v="0"/>
    <n v="0"/>
    <n v="0"/>
    <n v="0"/>
    <n v="22891"/>
    <n v="22891"/>
    <n v="0"/>
  </r>
  <r>
    <n v="174"/>
    <s v="ABC J Padding &amp; Quilting Ltd."/>
    <n v="8295426"/>
    <s v="Rahima"/>
    <s v="Production"/>
    <s v="Quilting"/>
    <s v="Quality Inspector"/>
    <s v="703204000030766"/>
    <n v="2021"/>
    <x v="159"/>
    <d v="2021-08-10T00:00:00"/>
    <d v="1992-08-10T00:00:00"/>
    <s v="M"/>
    <s v="N"/>
    <s v="Staff"/>
    <n v="19266"/>
    <n v="19266"/>
    <n v="11559"/>
    <n v="5780"/>
    <n v="771"/>
    <n v="578"/>
    <n v="0"/>
    <n v="0"/>
    <n v="578"/>
    <n v="578"/>
    <n v="350"/>
    <n v="0"/>
    <n v="0"/>
    <n v="0"/>
    <n v="0"/>
    <n v="0"/>
    <n v="0"/>
    <n v="0"/>
    <n v="0"/>
    <n v="19616"/>
    <n v="19616"/>
    <n v="0"/>
  </r>
  <r>
    <n v="175"/>
    <s v="ABC J Padding &amp; Quilting Ltd."/>
    <n v="8122018"/>
    <s v="Raima"/>
    <s v="Production"/>
    <s v="Quilting"/>
    <s v="Mechanic Helper"/>
    <s v="703204000029494"/>
    <n v="2021"/>
    <x v="160"/>
    <d v="2021-01-01T00:00:00"/>
    <d v="1990-05-10T00:00:00"/>
    <s v="M"/>
    <s v="N"/>
    <s v="Staff"/>
    <n v="18530"/>
    <n v="18530"/>
    <n v="11118"/>
    <n v="5559"/>
    <n v="741"/>
    <n v="556"/>
    <n v="0"/>
    <n v="0"/>
    <n v="556"/>
    <n v="556"/>
    <n v="0"/>
    <n v="0"/>
    <n v="0"/>
    <n v="0"/>
    <n v="0"/>
    <n v="0"/>
    <n v="0"/>
    <n v="0"/>
    <n v="0"/>
    <n v="18530"/>
    <n v="18530"/>
    <n v="0"/>
  </r>
  <r>
    <n v="176"/>
    <s v="ABC J Padding &amp; Quilting Ltd."/>
    <n v="8056128"/>
    <s v="Rakhi"/>
    <s v="Store"/>
    <s v="Store"/>
    <s v="Assistant"/>
    <s v="9993204000006580"/>
    <n v="2021"/>
    <x v="161"/>
    <d v="2021-01-01T00:00:00"/>
    <d v="2004-06-15T00:00:00"/>
    <s v="M"/>
    <s v="N"/>
    <s v="Staff"/>
    <n v="16294"/>
    <n v="16294"/>
    <n v="9776"/>
    <n v="4888"/>
    <n v="652"/>
    <n v="489"/>
    <n v="0"/>
    <n v="0"/>
    <n v="489"/>
    <n v="489"/>
    <n v="0"/>
    <n v="0"/>
    <n v="0"/>
    <n v="0"/>
    <n v="0"/>
    <n v="0"/>
    <n v="0"/>
    <n v="0"/>
    <n v="0"/>
    <n v="16294"/>
    <n v="16294"/>
    <n v="0"/>
  </r>
  <r>
    <n v="177"/>
    <s v="ABC J Padding &amp; Quilting Ltd."/>
    <n v="9050876"/>
    <s v="Ratna"/>
    <s v="Store"/>
    <s v="Store"/>
    <s v="Asst. Executive (Sales &amp; Marketing)"/>
    <s v="703204000030642"/>
    <n v="1900"/>
    <x v="162"/>
    <m/>
    <d v="1994-03-16T00:00:00"/>
    <s v="M"/>
    <s v="N"/>
    <s v="Staff"/>
    <n v="24606"/>
    <n v="24606"/>
    <n v="14764"/>
    <n v="7382"/>
    <n v="984"/>
    <n v="738"/>
    <n v="0"/>
    <n v="0"/>
    <n v="738"/>
    <n v="738"/>
    <n v="0"/>
    <n v="0"/>
    <n v="0"/>
    <n v="0"/>
    <n v="0"/>
    <n v="0"/>
    <n v="0"/>
    <n v="0"/>
    <n v="0"/>
    <n v="24606"/>
    <n v="24606"/>
    <n v="0"/>
  </r>
  <r>
    <n v="178"/>
    <s v="ABC J Padding &amp; Quilting Ltd."/>
    <n v="8034188"/>
    <s v="Rifa"/>
    <s v="Utility &amp; Maintenance"/>
    <s v="Electrical"/>
    <s v="Asst. Service Engineer Generator"/>
    <s v="703204000029608"/>
    <n v="2021"/>
    <x v="163"/>
    <d v="2021-01-01T00:00:00"/>
    <d v="1983-11-30T00:00:00"/>
    <s v="M"/>
    <s v="N"/>
    <s v="Staff"/>
    <n v="31884"/>
    <n v="31884"/>
    <n v="19130"/>
    <n v="9565"/>
    <n v="1275"/>
    <n v="957"/>
    <n v="0"/>
    <n v="0"/>
    <n v="957"/>
    <n v="957"/>
    <n v="0"/>
    <n v="0"/>
    <n v="0"/>
    <n v="0"/>
    <n v="0"/>
    <n v="0"/>
    <n v="0"/>
    <n v="0"/>
    <n v="0"/>
    <n v="31884"/>
    <n v="31884"/>
    <n v="0"/>
  </r>
  <r>
    <n v="179"/>
    <s v="ABC J Padding &amp; Quilting Ltd."/>
    <n v="5510884"/>
    <s v="Rifat"/>
    <s v="Utility &amp; Maintenance"/>
    <s v="Electrical"/>
    <s v="Junior Executive (Electrical)"/>
    <s v="703204000029450"/>
    <n v="1900"/>
    <x v="164"/>
    <m/>
    <d v="1996-01-20T00:00:00"/>
    <s v="M"/>
    <s v="N"/>
    <s v="Staff"/>
    <n v="27468"/>
    <n v="22879"/>
    <n v="16481"/>
    <n v="8240"/>
    <n v="1099"/>
    <n v="824"/>
    <n v="0"/>
    <n v="0"/>
    <n v="824"/>
    <n v="824"/>
    <n v="0"/>
    <n v="0"/>
    <n v="-4000"/>
    <n v="0"/>
    <n v="0"/>
    <n v="589"/>
    <n v="0"/>
    <n v="0"/>
    <n v="0"/>
    <n v="30879"/>
    <n v="22879"/>
    <n v="0"/>
  </r>
  <r>
    <n v="180"/>
    <s v="ABC J Padding &amp; Quilting Ltd."/>
    <n v="6964296"/>
    <s v="Rina"/>
    <s v="Utility &amp; Maintenance"/>
    <s v="Mechanical"/>
    <s v="Assistant"/>
    <s v="9993204000010410"/>
    <n v="2021"/>
    <x v="165"/>
    <d v="2021-01-01T00:00:00"/>
    <d v="1989-09-15T00:00:00"/>
    <s v="M"/>
    <s v="N"/>
    <s v="Staff"/>
    <n v="15904"/>
    <n v="15222"/>
    <n v="9543"/>
    <n v="4771"/>
    <n v="636"/>
    <n v="477"/>
    <n v="0"/>
    <n v="0"/>
    <n v="477"/>
    <n v="477"/>
    <n v="0"/>
    <n v="0"/>
    <n v="0"/>
    <n v="0"/>
    <n v="682"/>
    <n v="0"/>
    <n v="0"/>
    <n v="0"/>
    <n v="0"/>
    <n v="15222"/>
    <n v="15222"/>
    <n v="0"/>
  </r>
  <r>
    <n v="181"/>
    <s v="ABC J Padding &amp; Quilting Ltd."/>
    <n v="8875001"/>
    <s v="Ritu"/>
    <s v="Utility &amp; Maintenance"/>
    <s v="Mechanical"/>
    <s v="Assistant"/>
    <s v="9993204000010430"/>
    <n v="2021"/>
    <x v="133"/>
    <d v="2021-01-01T00:00:00"/>
    <d v="1993-11-10T00:00:00"/>
    <s v="M"/>
    <s v="N"/>
    <s v="Staff"/>
    <n v="15904"/>
    <n v="15563"/>
    <n v="9543"/>
    <n v="4771"/>
    <n v="636"/>
    <n v="477"/>
    <n v="0"/>
    <n v="0"/>
    <n v="477"/>
    <n v="477"/>
    <n v="0"/>
    <n v="0"/>
    <n v="0"/>
    <n v="0"/>
    <n v="0"/>
    <n v="341"/>
    <n v="500"/>
    <n v="0"/>
    <n v="0"/>
    <n v="15063"/>
    <n v="15063"/>
    <n v="0"/>
  </r>
  <r>
    <n v="182"/>
    <s v="ABC J Padding &amp; Quilting Ltd."/>
    <n v="5116308"/>
    <s v="Rokeya"/>
    <s v="Utility &amp; Maintenance"/>
    <s v="Mechanical"/>
    <s v="Assistant"/>
    <s v="9993204000010500"/>
    <n v="2022"/>
    <x v="166"/>
    <d v="2022-01-01T00:00:00"/>
    <d v="1999-12-20T00:00:00"/>
    <s v="M"/>
    <s v="N"/>
    <s v="Staff"/>
    <n v="15904"/>
    <n v="15563"/>
    <n v="9543"/>
    <n v="4771"/>
    <n v="636"/>
    <n v="477"/>
    <n v="0"/>
    <n v="0"/>
    <n v="477"/>
    <n v="477"/>
    <n v="0"/>
    <n v="0"/>
    <n v="0"/>
    <n v="0"/>
    <n v="341"/>
    <n v="0"/>
    <n v="0"/>
    <n v="0"/>
    <n v="0"/>
    <n v="15563"/>
    <n v="15563"/>
    <n v="0"/>
  </r>
  <r>
    <n v="183"/>
    <s v="ABC J Padding &amp; Quilting Ltd."/>
    <n v="6735862"/>
    <s v="Romana"/>
    <s v="Utility &amp; Maintenance"/>
    <s v="Mechanical"/>
    <s v="Fitterman"/>
    <s v="703204000029530"/>
    <n v="1900"/>
    <x v="167"/>
    <m/>
    <d v="1998-07-21T00:00:00"/>
    <s v="M"/>
    <s v="N"/>
    <s v="Staff"/>
    <n v="22891"/>
    <n v="22891"/>
    <n v="13734"/>
    <n v="6867"/>
    <n v="916"/>
    <n v="687"/>
    <n v="0"/>
    <n v="0"/>
    <n v="687"/>
    <n v="687"/>
    <n v="0"/>
    <n v="0"/>
    <n v="0"/>
    <n v="0"/>
    <n v="0"/>
    <n v="0"/>
    <n v="0"/>
    <n v="0"/>
    <n v="0"/>
    <n v="22891"/>
    <n v="22891"/>
    <n v="0"/>
  </r>
  <r>
    <n v="184"/>
    <s v="ABC J Padding &amp; Quilting Ltd."/>
    <n v="6146963"/>
    <s v="Rubina"/>
    <s v="Utility &amp; Maintenance"/>
    <s v="Mechanical"/>
    <s v="Assistant Fitter Man"/>
    <s v="703204000029687"/>
    <n v="2022"/>
    <x v="168"/>
    <d v="2022-05-13T00:00:00"/>
    <d v="1987-05-13T00:00:00"/>
    <s v="M"/>
    <s v="N"/>
    <s v="Staff"/>
    <n v="23979"/>
    <n v="23979"/>
    <n v="14388"/>
    <n v="7194"/>
    <n v="959"/>
    <n v="719"/>
    <n v="0"/>
    <n v="0"/>
    <n v="719"/>
    <n v="719"/>
    <n v="0"/>
    <n v="0"/>
    <n v="0"/>
    <n v="0"/>
    <n v="0"/>
    <n v="0"/>
    <n v="0"/>
    <n v="0"/>
    <n v="0"/>
    <n v="23979"/>
    <n v="23979"/>
    <n v="0"/>
  </r>
  <r>
    <n v="185"/>
    <s v="ABC J Padding &amp; Quilting Ltd."/>
    <n v="8077670"/>
    <s v="Rumana"/>
    <s v="Utility &amp; Maintenance"/>
    <s v="Mechanical"/>
    <s v="Leath Man"/>
    <s v="703204000030813"/>
    <n v="2022"/>
    <x v="169"/>
    <d v="2022-10-10T00:00:00"/>
    <d v="1985-10-10T00:00:00"/>
    <s v="M"/>
    <s v="N"/>
    <s v="Staff"/>
    <n v="26705"/>
    <n v="26705"/>
    <n v="16023"/>
    <n v="8012"/>
    <n v="1068"/>
    <n v="801"/>
    <n v="0"/>
    <n v="0"/>
    <n v="801"/>
    <n v="801"/>
    <n v="0"/>
    <n v="0"/>
    <n v="0"/>
    <n v="0"/>
    <n v="0"/>
    <n v="0"/>
    <n v="3000"/>
    <n v="0"/>
    <n v="0"/>
    <n v="23705"/>
    <n v="23705"/>
    <n v="0"/>
  </r>
  <r>
    <n v="186"/>
    <s v="ABC J Padding &amp; Quilting Ltd."/>
    <n v="9922248"/>
    <s v="Rupa"/>
    <s v="Utility &amp; Maintenance"/>
    <s v="Mechanical"/>
    <s v="Assistant Fitter Man"/>
    <s v="703204000029439"/>
    <n v="1900"/>
    <x v="170"/>
    <m/>
    <d v="2000-08-27T00:00:00"/>
    <s v="M"/>
    <s v="N"/>
    <s v="Staff"/>
    <n v="16126"/>
    <n v="16126"/>
    <n v="9675"/>
    <n v="4838"/>
    <n v="645"/>
    <n v="484"/>
    <n v="0"/>
    <n v="0"/>
    <n v="484"/>
    <n v="484"/>
    <n v="0"/>
    <n v="0"/>
    <n v="0"/>
    <n v="0"/>
    <n v="0"/>
    <n v="0"/>
    <n v="0"/>
    <n v="0"/>
    <n v="0"/>
    <n v="16126"/>
    <n v="16126"/>
    <n v="0"/>
  </r>
  <r>
    <n v="187"/>
    <s v="ABC J Padding &amp; Quilting Ltd."/>
    <n v="7841535"/>
    <s v="Saima"/>
    <s v="Utility &amp; Maintenance"/>
    <s v="Mechanical"/>
    <s v="Assistant Fitter Man"/>
    <s v="703204000030802"/>
    <n v="2022"/>
    <x v="171"/>
    <d v="2022-01-10T00:00:00"/>
    <d v="1985-01-10T00:00:00"/>
    <s v="M"/>
    <s v="N"/>
    <s v="Staff"/>
    <n v="20166"/>
    <n v="20166"/>
    <n v="12022"/>
    <n v="6050"/>
    <n v="807"/>
    <n v="605"/>
    <n v="0"/>
    <n v="0"/>
    <n v="605"/>
    <n v="605"/>
    <n v="0"/>
    <n v="0"/>
    <n v="0"/>
    <n v="0"/>
    <n v="0"/>
    <n v="0"/>
    <n v="0"/>
    <n v="0"/>
    <n v="0"/>
    <n v="20089"/>
    <n v="20166"/>
    <n v="0"/>
  </r>
  <r>
    <n v="188"/>
    <s v="ABC J Padding &amp; Quilting Ltd."/>
    <n v="8958834"/>
    <s v="Sajeda"/>
    <s v="Utility &amp; Maintenance"/>
    <s v="Mechanical"/>
    <s v="Assistant Fitter Man"/>
    <s v="703204000029257"/>
    <n v="1900"/>
    <x v="170"/>
    <m/>
    <d v="1998-03-21T00:00:00"/>
    <s v="M"/>
    <s v="N"/>
    <s v="Staff"/>
    <n v="16260"/>
    <n v="16260"/>
    <n v="9756"/>
    <n v="4878"/>
    <n v="650"/>
    <n v="488"/>
    <n v="0"/>
    <n v="0"/>
    <n v="488"/>
    <n v="488"/>
    <n v="0"/>
    <n v="0"/>
    <n v="0"/>
    <n v="0"/>
    <n v="0"/>
    <n v="0"/>
    <n v="0"/>
    <n v="0"/>
    <n v="0"/>
    <n v="16260"/>
    <n v="16260"/>
    <n v="0"/>
  </r>
  <r>
    <n v="189"/>
    <s v="ABC J Padding &amp; Quilting Ltd."/>
    <n v="9811733"/>
    <s v="Sajia"/>
    <s v="Utility &amp; Maintenance"/>
    <s v="Mechanical"/>
    <s v="Assistant Fitter Man"/>
    <s v="703204000030595"/>
    <n v="2022"/>
    <x v="172"/>
    <d v="2022-01-01T00:00:00"/>
    <d v="2000-09-08T00:00:00"/>
    <s v="M"/>
    <s v="N"/>
    <s v="Staff"/>
    <n v="16126"/>
    <n v="16126"/>
    <n v="9675"/>
    <n v="4838"/>
    <n v="645"/>
    <n v="484"/>
    <n v="0"/>
    <n v="0"/>
    <n v="484"/>
    <n v="484"/>
    <n v="0"/>
    <n v="0"/>
    <n v="0"/>
    <n v="0"/>
    <n v="0"/>
    <n v="0"/>
    <n v="0"/>
    <n v="0"/>
    <n v="0"/>
    <n v="16126"/>
    <n v="16126"/>
    <n v="0"/>
  </r>
  <r>
    <n v="190"/>
    <s v="ABC J Padding &amp; Quilting Ltd."/>
    <n v="9256820"/>
    <s v="Saleha"/>
    <s v="Utility &amp; Maintenance"/>
    <s v="Mechanical"/>
    <s v="Assistant Fitter Man"/>
    <s v="703204000031011"/>
    <n v="1900"/>
    <x v="173"/>
    <m/>
    <d v="2000-01-01T00:00:00"/>
    <s v="M"/>
    <s v="N"/>
    <s v="Staff"/>
    <n v="23113"/>
    <n v="23113"/>
    <n v="13868"/>
    <n v="6934"/>
    <n v="925"/>
    <n v="693"/>
    <n v="0"/>
    <n v="0"/>
    <n v="693"/>
    <n v="693"/>
    <n v="0"/>
    <n v="0"/>
    <n v="0"/>
    <n v="0"/>
    <n v="0"/>
    <n v="0"/>
    <n v="0"/>
    <n v="0"/>
    <n v="0"/>
    <n v="23113"/>
    <n v="23113"/>
    <n v="0"/>
  </r>
  <r>
    <n v="191"/>
    <s v="  Synthetic Fiber Ltd."/>
    <n v="7960480"/>
    <s v="Samia"/>
    <s v="Production"/>
    <s v="Bottle"/>
    <s v="Executive Procurement"/>
    <s v="783204000073496"/>
    <n v="1900"/>
    <x v="174"/>
    <m/>
    <d v="1988-01-01T00:00:00"/>
    <s v="M"/>
    <s v="N"/>
    <s v="Staff"/>
    <n v="31066"/>
    <n v="31066"/>
    <n v="18639"/>
    <n v="9320"/>
    <n v="1243"/>
    <n v="932"/>
    <n v="0"/>
    <n v="0"/>
    <n v="932"/>
    <n v="932"/>
    <n v="0"/>
    <n v="0"/>
    <n v="0"/>
    <n v="0"/>
    <n v="0"/>
    <n v="0"/>
    <n v="0"/>
    <n v="0"/>
    <n v="0"/>
    <n v="31066"/>
    <n v="31066"/>
    <n v="0"/>
  </r>
  <r>
    <n v="192"/>
    <s v="  Synthetic Fiber Ltd."/>
    <n v="5244005"/>
    <s v="Sanzida"/>
    <s v="Production"/>
    <s v="Bottle"/>
    <s v="Asst. Supervisor"/>
    <s v="1063204000022660"/>
    <n v="1900"/>
    <x v="13"/>
    <m/>
    <d v="1998-03-28T00:00:00"/>
    <s v="M"/>
    <s v="N"/>
    <s v="Staff"/>
    <n v="17440"/>
    <n v="14440"/>
    <n v="10464"/>
    <n v="5232"/>
    <n v="698"/>
    <n v="523"/>
    <n v="0"/>
    <n v="0"/>
    <n v="523"/>
    <n v="523"/>
    <n v="0"/>
    <n v="0"/>
    <n v="-3000"/>
    <n v="0"/>
    <n v="0"/>
    <n v="0"/>
    <n v="0"/>
    <n v="0"/>
    <n v="0"/>
    <n v="20440"/>
    <n v="14440"/>
    <n v="0"/>
  </r>
  <r>
    <n v="193"/>
    <s v="  Synthetic Fiber Ltd."/>
    <n v="9096576"/>
    <s v="Sara"/>
    <s v="Production"/>
    <s v="Bottle"/>
    <s v="Senior Supervisor"/>
    <s v="1063204000022560"/>
    <n v="1900"/>
    <x v="175"/>
    <m/>
    <d v="1993-03-26T00:00:00"/>
    <s v="M"/>
    <s v="N"/>
    <s v="Staff"/>
    <n v="32700"/>
    <n v="29700"/>
    <n v="19620"/>
    <n v="9810"/>
    <n v="1308"/>
    <n v="981"/>
    <n v="0"/>
    <n v="0"/>
    <n v="981"/>
    <n v="981"/>
    <n v="0"/>
    <n v="0"/>
    <n v="-3000"/>
    <n v="0"/>
    <n v="0"/>
    <n v="0"/>
    <n v="0"/>
    <n v="0"/>
    <n v="0"/>
    <n v="35700"/>
    <n v="29700"/>
    <n v="0"/>
  </r>
  <r>
    <n v="194"/>
    <s v="  Synthetic Fiber Ltd."/>
    <n v="6781495"/>
    <s v="Sarika"/>
    <s v="Store"/>
    <s v="Store"/>
    <s v="Assistant Scale Operator"/>
    <s v="9993204000003090"/>
    <n v="2022"/>
    <x v="176"/>
    <d v="2022-01-01T00:00:00"/>
    <d v="2001-01-16T00:00:00"/>
    <s v="M"/>
    <s v="N"/>
    <s v="Staff"/>
    <n v="16215"/>
    <n v="12393"/>
    <n v="9729"/>
    <n v="4865"/>
    <n v="649"/>
    <n v="486"/>
    <n v="0"/>
    <n v="0"/>
    <n v="486"/>
    <n v="486"/>
    <n v="0"/>
    <n v="0"/>
    <n v="0"/>
    <n v="0"/>
    <n v="3822"/>
    <n v="0"/>
    <n v="0"/>
    <n v="0"/>
    <n v="0"/>
    <n v="12393"/>
    <n v="12393"/>
    <n v="0"/>
  </r>
  <r>
    <n v="195"/>
    <s v="  Synthetic Fiber Ltd."/>
    <n v="7641852"/>
    <s v="Sayema"/>
    <s v="Store"/>
    <s v="Store"/>
    <s v="Assistant Scale Operator"/>
    <s v="9993204000003080"/>
    <n v="2022"/>
    <x v="177"/>
    <d v="2022-01-01T00:00:00"/>
    <d v="2005-11-01T00:00:00"/>
    <s v="M"/>
    <s v="N"/>
    <s v="Staff"/>
    <n v="16215"/>
    <n v="16215"/>
    <n v="9729"/>
    <n v="4865"/>
    <n v="649"/>
    <n v="486"/>
    <n v="0"/>
    <n v="0"/>
    <n v="486"/>
    <n v="486"/>
    <n v="0"/>
    <n v="0"/>
    <n v="0"/>
    <n v="0"/>
    <n v="0"/>
    <n v="0"/>
    <n v="0"/>
    <n v="0"/>
    <n v="0"/>
    <n v="16215"/>
    <n v="16215"/>
    <n v="0"/>
  </r>
  <r>
    <n v="196"/>
    <s v="  Synthetic Fiber Ltd."/>
    <n v="8882192"/>
    <s v="Seema"/>
    <s v="Utility &amp; Maintenance"/>
    <s v="Mechanical"/>
    <s v="Assistant Fitter Man"/>
    <s v="1063204000022540"/>
    <n v="1900"/>
    <x v="178"/>
    <m/>
    <d v="1994-01-03T00:00:00"/>
    <s v="M"/>
    <s v="N"/>
    <s v="Staff"/>
    <n v="23979"/>
    <n v="23979"/>
    <n v="14388"/>
    <n v="7194"/>
    <n v="959"/>
    <n v="719"/>
    <n v="0"/>
    <n v="0"/>
    <n v="719"/>
    <n v="719"/>
    <n v="0"/>
    <n v="0"/>
    <n v="0"/>
    <n v="0"/>
    <n v="0"/>
    <n v="0"/>
    <n v="0"/>
    <n v="0"/>
    <n v="0"/>
    <n v="23979"/>
    <n v="23979"/>
    <n v="0"/>
  </r>
  <r>
    <n v="197"/>
    <s v="  Synthetic Fiber Ltd."/>
    <n v="6621033"/>
    <s v="Selina"/>
    <s v="Utility &amp; Maintenance"/>
    <s v="Mechanical"/>
    <s v="Assistant Fitter Man"/>
    <s v="1063204000022850"/>
    <n v="1900"/>
    <x v="179"/>
    <m/>
    <d v="2000-01-01T00:00:00"/>
    <s v="M"/>
    <s v="N"/>
    <s v="Staff"/>
    <n v="21800"/>
    <n v="21800"/>
    <n v="13080"/>
    <n v="6540"/>
    <n v="872"/>
    <n v="654"/>
    <n v="0"/>
    <n v="0"/>
    <n v="654"/>
    <n v="654"/>
    <n v="0"/>
    <n v="0"/>
    <n v="0"/>
    <n v="0"/>
    <n v="0"/>
    <n v="0"/>
    <n v="0"/>
    <n v="0"/>
    <n v="0"/>
    <n v="21800"/>
    <n v="21800"/>
    <n v="0"/>
  </r>
  <r>
    <n v="198"/>
    <s v="  Synthetic Fiber Ltd."/>
    <n v="6695837"/>
    <s v="Shamima"/>
    <s v="Utility &amp; Maintenance"/>
    <s v="Mechanical"/>
    <s v="Assistant Fitter Man"/>
    <s v="703204000031135"/>
    <n v="2022"/>
    <x v="180"/>
    <d v="2022-11-10T00:00:00"/>
    <d v="1992-11-10T00:00:00"/>
    <s v="M"/>
    <s v="N"/>
    <s v="Staff"/>
    <n v="22891"/>
    <n v="19891"/>
    <n v="13734"/>
    <n v="6867"/>
    <n v="916"/>
    <n v="687"/>
    <n v="0"/>
    <n v="0"/>
    <n v="687"/>
    <n v="687"/>
    <n v="0"/>
    <n v="0"/>
    <n v="-3000"/>
    <n v="0"/>
    <n v="0"/>
    <n v="0"/>
    <n v="0"/>
    <n v="0"/>
    <n v="0"/>
    <n v="25891"/>
    <n v="19891"/>
    <n v="0"/>
  </r>
  <r>
    <n v="199"/>
    <s v="ABC Company Ltd."/>
    <n v="9462299"/>
    <s v="Sharmin"/>
    <s v="Production"/>
    <s v="Allora"/>
    <s v="Assistant"/>
    <m/>
    <n v="1900"/>
    <x v="181"/>
    <m/>
    <d v="1986-09-14T00:00:00"/>
    <s v="F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00"/>
    <s v="ABC Company Ltd."/>
    <n v="5546390"/>
    <s v="Shathi"/>
    <s v="Production"/>
    <s v="Allora"/>
    <s v="Assistant"/>
    <m/>
    <n v="1900"/>
    <x v="182"/>
    <m/>
    <d v="1980-09-07T00:00:00"/>
    <s v="F"/>
    <s v="Y"/>
    <s v="Worker"/>
    <n v="13622"/>
    <n v="13622"/>
    <n v="7448"/>
    <n v="3724"/>
    <n v="750"/>
    <n v="450"/>
    <n v="0"/>
    <n v="0"/>
    <n v="1250"/>
    <n v="450"/>
    <n v="250"/>
    <n v="0"/>
    <n v="0"/>
    <n v="0"/>
    <n v="0"/>
    <n v="0"/>
    <n v="0"/>
    <n v="0"/>
    <n v="0"/>
    <n v="13872"/>
    <n v="13872"/>
    <n v="0"/>
  </r>
  <r>
    <n v="201"/>
    <s v="ABC Company Ltd."/>
    <n v="9792832"/>
    <s v="Sheuly"/>
    <s v="Production"/>
    <s v="Allora"/>
    <s v="Assistant"/>
    <m/>
    <n v="1900"/>
    <x v="183"/>
    <m/>
    <d v="1987-08-17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02"/>
    <s v="ABC Company Ltd."/>
    <n v="6588589"/>
    <s v="Shilpi"/>
    <s v="Production"/>
    <s v="Allora"/>
    <s v="Assistant"/>
    <m/>
    <n v="1900"/>
    <x v="184"/>
    <m/>
    <d v="1990-04-02T00:00:00"/>
    <s v="F"/>
    <s v="Y"/>
    <s v="Worker"/>
    <n v="14381"/>
    <n v="14381"/>
    <n v="7954"/>
    <n v="3977"/>
    <n v="750"/>
    <n v="450"/>
    <n v="0"/>
    <n v="0"/>
    <n v="1250"/>
    <n v="450"/>
    <n v="350"/>
    <n v="0"/>
    <n v="0"/>
    <n v="0"/>
    <n v="0"/>
    <n v="0"/>
    <n v="0"/>
    <n v="0"/>
    <n v="0"/>
    <n v="14731"/>
    <n v="14731"/>
    <n v="0"/>
  </r>
  <r>
    <n v="203"/>
    <s v="ABC Company Ltd."/>
    <n v="9394180"/>
    <s v="Shipra"/>
    <s v="Production"/>
    <s v="Allora"/>
    <s v="Assistant"/>
    <m/>
    <n v="1900"/>
    <x v="185"/>
    <m/>
    <d v="1981-10-05T00:00:00"/>
    <s v="F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04"/>
    <s v="ABC Company Ltd."/>
    <n v="5902481"/>
    <s v="Shirin"/>
    <s v="Production"/>
    <s v="Allora"/>
    <s v="Assistant"/>
    <m/>
    <n v="1900"/>
    <x v="186"/>
    <m/>
    <d v="1992-01-01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05"/>
    <s v="ABC Company Ltd."/>
    <n v="5341112"/>
    <s v="Shoma"/>
    <s v="Production"/>
    <s v="Allora"/>
    <s v="Assistant"/>
    <m/>
    <n v="1900"/>
    <x v="187"/>
    <m/>
    <d v="1988-05-17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06"/>
    <s v="ABC Company Ltd."/>
    <n v="7009770"/>
    <s v="Sonia"/>
    <s v="Production"/>
    <s v="Fabric Tearing"/>
    <s v="Assistant"/>
    <m/>
    <n v="1900"/>
    <x v="188"/>
    <m/>
    <d v="1978-12-31T00:00:00"/>
    <s v="M"/>
    <s v="Y"/>
    <s v="Worker"/>
    <n v="13405"/>
    <n v="13405"/>
    <n v="7303"/>
    <n v="3652"/>
    <n v="750"/>
    <n v="450"/>
    <n v="0"/>
    <n v="0"/>
    <n v="1250"/>
    <n v="450"/>
    <n v="250"/>
    <n v="0"/>
    <n v="0"/>
    <n v="0"/>
    <n v="0"/>
    <n v="0"/>
    <n v="0"/>
    <n v="0"/>
    <n v="0"/>
    <n v="13655"/>
    <n v="13655"/>
    <n v="0"/>
  </r>
  <r>
    <n v="207"/>
    <s v="ABC Company Ltd."/>
    <n v="7576972"/>
    <s v="Soraya"/>
    <s v="Production"/>
    <s v="Fabric Tearing"/>
    <s v="Assistant"/>
    <m/>
    <n v="1900"/>
    <x v="189"/>
    <m/>
    <d v="2002-03-02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08"/>
    <s v="ABC Company Ltd."/>
    <n v="8740468"/>
    <s v="Sumaiya"/>
    <s v="Production"/>
    <s v="Fabric Tearing"/>
    <s v="Assistant"/>
    <m/>
    <n v="1900"/>
    <x v="190"/>
    <m/>
    <d v="2000-01-01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09"/>
    <s v="ABC Company Ltd."/>
    <n v="9759055"/>
    <s v="Sumona"/>
    <s v="Production"/>
    <s v="Fabric Tearing"/>
    <s v="Assistant"/>
    <m/>
    <n v="1900"/>
    <x v="191"/>
    <m/>
    <d v="1983-05-03T00:00:00"/>
    <s v="M"/>
    <s v="Y"/>
    <s v="Worker"/>
    <n v="13405"/>
    <n v="13162"/>
    <n v="7303"/>
    <n v="3652"/>
    <n v="750"/>
    <n v="450"/>
    <n v="0"/>
    <n v="0"/>
    <n v="1250"/>
    <n v="450"/>
    <n v="0"/>
    <n v="0"/>
    <n v="-243"/>
    <n v="0"/>
    <n v="0"/>
    <n v="0"/>
    <n v="0"/>
    <n v="0"/>
    <n v="0"/>
    <n v="13648"/>
    <n v="13162"/>
    <n v="0"/>
  </r>
  <r>
    <n v="210"/>
    <s v="ABC Company Ltd."/>
    <n v="6265759"/>
    <s v="Suriya"/>
    <s v="Production"/>
    <s v="Fabric Tearing"/>
    <s v="Assistant"/>
    <m/>
    <n v="1900"/>
    <x v="192"/>
    <m/>
    <d v="1982-10-09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11"/>
    <s v="ABC Company Ltd."/>
    <n v="8664156"/>
    <s v="Surma"/>
    <s v="Production"/>
    <s v="Fabric Tearing"/>
    <s v="Assistant"/>
    <m/>
    <n v="1900"/>
    <x v="177"/>
    <m/>
    <d v="1980-01-10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12"/>
    <s v="ABC Company Ltd."/>
    <n v="6709715"/>
    <s v="Syeda"/>
    <s v="Production"/>
    <s v="Fabric Tearing"/>
    <s v="Assistant"/>
    <m/>
    <n v="1900"/>
    <x v="193"/>
    <m/>
    <d v="2023-07-04T00:00:00"/>
    <s v="M"/>
    <s v="Y"/>
    <s v="Worker"/>
    <n v="13405"/>
    <n v="13162"/>
    <n v="7303"/>
    <n v="3652"/>
    <n v="750"/>
    <n v="450"/>
    <n v="0"/>
    <n v="0"/>
    <n v="1250"/>
    <n v="450"/>
    <n v="0"/>
    <n v="0"/>
    <n v="-243"/>
    <n v="0"/>
    <n v="0"/>
    <n v="0"/>
    <n v="0"/>
    <n v="0"/>
    <n v="0"/>
    <n v="13648"/>
    <n v="13162"/>
    <n v="0"/>
  </r>
  <r>
    <n v="213"/>
    <s v="ABC Company Ltd."/>
    <n v="6595366"/>
    <s v="Tahmina"/>
    <s v="Production"/>
    <s v="Fabric Tearing"/>
    <s v="Assistant"/>
    <m/>
    <n v="1900"/>
    <x v="172"/>
    <m/>
    <d v="2004-07-05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14"/>
    <s v="ABC Company Ltd."/>
    <n v="6013577"/>
    <s v="Tamanna"/>
    <s v="Production"/>
    <s v="Fabric Tearing"/>
    <s v="Assistant"/>
    <m/>
    <n v="1900"/>
    <x v="122"/>
    <m/>
    <d v="1982-11-18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15"/>
    <s v="ABC Company Ltd."/>
    <n v="8269729"/>
    <s v="Tania"/>
    <s v="Production"/>
    <s v="Fabric Tearing"/>
    <s v="Assistant"/>
    <m/>
    <n v="2022"/>
    <x v="194"/>
    <d v="2022-01-01T00:00:00"/>
    <d v="1985-01-20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16"/>
    <s v="ABC Company Ltd."/>
    <n v="7507759"/>
    <s v="Tasfia"/>
    <s v="Production"/>
    <s v="Fabric Tearing"/>
    <s v="Operator"/>
    <m/>
    <n v="2022"/>
    <x v="195"/>
    <d v="2022-01-01T00:00:00"/>
    <d v="1965-03-02T00:00:00"/>
    <s v="M"/>
    <s v="Y"/>
    <s v="Worker"/>
    <n v="15337"/>
    <n v="15337"/>
    <n v="8591"/>
    <n v="4296"/>
    <n v="750"/>
    <n v="450"/>
    <n v="0"/>
    <n v="0"/>
    <n v="1250"/>
    <n v="450"/>
    <n v="0"/>
    <n v="0"/>
    <n v="0"/>
    <n v="0"/>
    <n v="0"/>
    <n v="0"/>
    <n v="1500"/>
    <n v="0"/>
    <n v="0"/>
    <n v="13837"/>
    <n v="13837"/>
    <n v="0"/>
  </r>
  <r>
    <n v="217"/>
    <s v="ABC Company Ltd."/>
    <n v="7560690"/>
    <s v="Taslima"/>
    <s v="Production"/>
    <s v="Fabric Tearing"/>
    <s v="Assistant"/>
    <m/>
    <n v="2022"/>
    <x v="148"/>
    <d v="2022-01-01T00:00:00"/>
    <d v="1983-05-04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18"/>
    <s v="ABC Company Ltd."/>
    <n v="5420152"/>
    <s v="Tumpa"/>
    <s v="Production"/>
    <s v="Heatbond"/>
    <s v="Assistant"/>
    <m/>
    <n v="2022"/>
    <x v="191"/>
    <d v="2022-01-01T00:00:00"/>
    <d v="1980-10-16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19"/>
    <s v="ABC Company Ltd."/>
    <n v="8272460"/>
    <s v="Umme"/>
    <s v="Production"/>
    <s v="Heatbond"/>
    <s v="Operator"/>
    <m/>
    <n v="2022"/>
    <x v="196"/>
    <d v="2022-01-01T00:00:00"/>
    <d v="1994-01-01T00:00:00"/>
    <s v="M"/>
    <s v="N"/>
    <s v="Worker"/>
    <n v="21326"/>
    <n v="21326"/>
    <n v="12584"/>
    <n v="6292"/>
    <n v="750"/>
    <n v="450"/>
    <n v="0"/>
    <n v="0"/>
    <n v="1250"/>
    <n v="450"/>
    <n v="0"/>
    <n v="0"/>
    <n v="0"/>
    <n v="0"/>
    <n v="0"/>
    <n v="0"/>
    <n v="0"/>
    <n v="0"/>
    <n v="0"/>
    <n v="21326"/>
    <n v="21326"/>
    <n v="0"/>
  </r>
  <r>
    <n v="220"/>
    <s v="ABC Company Ltd."/>
    <n v="7954375"/>
    <s v="Wahida"/>
    <s v="Production"/>
    <s v="Heatbond"/>
    <s v="Operator"/>
    <m/>
    <n v="2022"/>
    <x v="18"/>
    <d v="2022-01-01T00:00:00"/>
    <d v="1990-12-11T00:00:00"/>
    <s v="M"/>
    <s v="Y"/>
    <s v="Worker"/>
    <n v="18571"/>
    <n v="18571"/>
    <n v="10747"/>
    <n v="5374"/>
    <n v="750"/>
    <n v="450"/>
    <n v="0"/>
    <n v="0"/>
    <n v="1250"/>
    <n v="450"/>
    <n v="350"/>
    <n v="0"/>
    <n v="0"/>
    <n v="0"/>
    <n v="0"/>
    <n v="0"/>
    <n v="0"/>
    <n v="0"/>
    <n v="0"/>
    <n v="18921"/>
    <n v="18921"/>
    <n v="0"/>
  </r>
  <r>
    <n v="221"/>
    <s v="ABC Company Ltd."/>
    <n v="9297741"/>
    <s v="Yasmin"/>
    <s v="Production"/>
    <s v="Heatbond"/>
    <s v="Assistant"/>
    <m/>
    <n v="1900"/>
    <x v="44"/>
    <m/>
    <d v="1985-02-01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22"/>
    <s v="ABC Company Ltd."/>
    <n v="8418716"/>
    <s v="Zannat"/>
    <s v="Production"/>
    <s v="Heatbond"/>
    <s v="Assistant"/>
    <m/>
    <n v="1900"/>
    <x v="197"/>
    <m/>
    <d v="1989-07-12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23"/>
    <s v="ABC Company Ltd."/>
    <n v="8125657"/>
    <s v="Zarina"/>
    <s v="Production"/>
    <s v="Heatbond"/>
    <s v="Assistant"/>
    <m/>
    <n v="1900"/>
    <x v="198"/>
    <m/>
    <d v="2000-03-09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24"/>
    <s v="ABC Company Ltd."/>
    <n v="8985065"/>
    <s v="Merajul Islam"/>
    <s v="Production"/>
    <s v="Heatbond"/>
    <s v="Assistant"/>
    <m/>
    <n v="1900"/>
    <x v="161"/>
    <m/>
    <d v="1983-04-27T00:00:00"/>
    <s v="M"/>
    <s v="Y"/>
    <s v="Worker"/>
    <n v="13405"/>
    <n v="13405"/>
    <n v="7303"/>
    <n v="3652"/>
    <n v="750"/>
    <n v="450"/>
    <n v="0"/>
    <n v="0"/>
    <n v="1250"/>
    <n v="450"/>
    <n v="250"/>
    <n v="0"/>
    <n v="0"/>
    <n v="0"/>
    <n v="0"/>
    <n v="0"/>
    <n v="0"/>
    <n v="0"/>
    <n v="0"/>
    <n v="13655"/>
    <n v="13655"/>
    <n v="0"/>
  </r>
  <r>
    <n v="225"/>
    <s v="ABC Company Ltd."/>
    <n v="7357437"/>
    <s v="Rana Mia"/>
    <s v="Production"/>
    <s v="Heatbond"/>
    <s v="Assistant"/>
    <m/>
    <n v="2022"/>
    <x v="199"/>
    <d v="2022-02-01T00:00:00"/>
    <d v="1988-02-01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26"/>
    <s v="ABC Company Ltd."/>
    <n v="8609415"/>
    <s v="Noyon Ali"/>
    <s v="Production"/>
    <s v="Heatbond"/>
    <s v="Assistant"/>
    <m/>
    <n v="1900"/>
    <x v="200"/>
    <m/>
    <d v="1996-01-05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27"/>
    <s v="ABC Company Ltd."/>
    <n v="5513512"/>
    <s v="Foysal Ahmad"/>
    <s v="Production"/>
    <s v="Heatbond"/>
    <s v="Assistant"/>
    <m/>
    <n v="1900"/>
    <x v="201"/>
    <m/>
    <d v="1990-01-25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28"/>
    <s v="ABC Company Ltd."/>
    <n v="5332219"/>
    <s v="Begum"/>
    <s v="Production"/>
    <s v="Heatbond"/>
    <s v="Assistant"/>
    <m/>
    <n v="2022"/>
    <x v="202"/>
    <d v="2022-05-27T00:00:00"/>
    <d v="1977-05-27T00:00:00"/>
    <s v="M"/>
    <s v="Y"/>
    <s v="Worker"/>
    <n v="13405"/>
    <n v="13144"/>
    <n v="7303"/>
    <n v="3652"/>
    <n v="750"/>
    <n v="450"/>
    <n v="0"/>
    <n v="0"/>
    <n v="1250"/>
    <n v="450"/>
    <n v="0"/>
    <n v="0"/>
    <n v="0"/>
    <n v="0"/>
    <n v="261"/>
    <n v="0"/>
    <n v="0"/>
    <n v="0"/>
    <n v="0"/>
    <n v="13144"/>
    <n v="13144"/>
    <n v="0"/>
  </r>
  <r>
    <n v="229"/>
    <s v="ABC Company Ltd."/>
    <n v="6388076"/>
    <s v="Hosen"/>
    <s v="Production"/>
    <s v="Heatbond"/>
    <s v="Assistant"/>
    <m/>
    <n v="1900"/>
    <x v="203"/>
    <m/>
    <d v="2001-06-10T00:00:00"/>
    <s v="M"/>
    <s v="Y"/>
    <s v="Worker"/>
    <n v="13405"/>
    <n v="13405"/>
    <n v="7303"/>
    <n v="3652"/>
    <n v="750"/>
    <n v="450"/>
    <n v="0"/>
    <n v="0"/>
    <n v="1250"/>
    <n v="450"/>
    <n v="250"/>
    <n v="0"/>
    <n v="0"/>
    <n v="0"/>
    <n v="0"/>
    <n v="0"/>
    <n v="0"/>
    <n v="0"/>
    <n v="0"/>
    <n v="13655"/>
    <n v="13655"/>
    <n v="0"/>
  </r>
  <r>
    <n v="230"/>
    <s v="ABC Company Ltd."/>
    <n v="9890568"/>
    <s v="Begum"/>
    <s v="Production"/>
    <s v="Heatbond"/>
    <s v="Assistant"/>
    <m/>
    <n v="1900"/>
    <x v="127"/>
    <m/>
    <d v="1986-02-02T00:00:00"/>
    <s v="M"/>
    <s v="Y"/>
    <s v="Worker"/>
    <n v="13405"/>
    <n v="12623"/>
    <n v="7303"/>
    <n v="3652"/>
    <n v="750"/>
    <n v="450"/>
    <n v="0"/>
    <n v="0"/>
    <n v="1250"/>
    <n v="450"/>
    <n v="0"/>
    <n v="0"/>
    <n v="0"/>
    <n v="0"/>
    <n v="782"/>
    <n v="0"/>
    <n v="0"/>
    <n v="0"/>
    <n v="0"/>
    <n v="12623"/>
    <n v="12623"/>
    <n v="0"/>
  </r>
  <r>
    <n v="231"/>
    <s v="ABC Company Ltd."/>
    <n v="9142273"/>
    <s v="Setera Begum"/>
    <s v="Production"/>
    <s v="Heatbond"/>
    <s v="Assistant"/>
    <m/>
    <n v="1900"/>
    <x v="204"/>
    <m/>
    <d v="2002-08-01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32"/>
    <s v="ABC Textile Ltd."/>
    <n v="8492301"/>
    <s v="Moslima"/>
    <s v="Admin"/>
    <s v="House Keeping"/>
    <s v="Cleaner"/>
    <m/>
    <n v="1900"/>
    <x v="44"/>
    <m/>
    <d v="1983-11-10T00:00:00"/>
    <s v="F"/>
    <s v="Y"/>
    <s v="Worker"/>
    <n v="13732"/>
    <n v="13732"/>
    <n v="7521"/>
    <n v="3761"/>
    <n v="750"/>
    <n v="450"/>
    <n v="0"/>
    <n v="0"/>
    <n v="1250"/>
    <n v="450"/>
    <n v="0"/>
    <n v="0"/>
    <n v="0"/>
    <n v="0"/>
    <n v="0"/>
    <n v="0"/>
    <n v="0"/>
    <n v="0"/>
    <n v="0"/>
    <n v="13732"/>
    <n v="13732"/>
    <n v="0"/>
  </r>
  <r>
    <n v="233"/>
    <s v="ABC Textile Ltd."/>
    <n v="8546573"/>
    <s v="Begum"/>
    <s v="Admin"/>
    <s v="House Keeping"/>
    <s v="Sweeper "/>
    <m/>
    <n v="1900"/>
    <x v="205"/>
    <m/>
    <d v="2002-03-16T00:00:00"/>
    <s v="M"/>
    <s v="Y"/>
    <s v="Worker"/>
    <n v="12800"/>
    <n v="11554"/>
    <n v="6900"/>
    <n v="3450"/>
    <n v="750"/>
    <n v="450"/>
    <n v="0"/>
    <n v="0"/>
    <n v="1250"/>
    <n v="450"/>
    <n v="0"/>
    <n v="0"/>
    <n v="-1000"/>
    <n v="0"/>
    <n v="0"/>
    <n v="246"/>
    <n v="0"/>
    <n v="0"/>
    <n v="0"/>
    <n v="13554"/>
    <n v="11554"/>
    <n v="0"/>
  </r>
  <r>
    <n v="234"/>
    <s v="ABC Textile Ltd."/>
    <n v="9148413"/>
    <s v="Monoara Begum"/>
    <s v="Production"/>
    <s v="Andritz Geo"/>
    <s v="Assistant"/>
    <m/>
    <n v="1900"/>
    <x v="206"/>
    <m/>
    <d v="1984-03-04T00:00:00"/>
    <s v="M"/>
    <s v="Y"/>
    <s v="Worker"/>
    <n v="13405"/>
    <n v="12901"/>
    <n v="7303"/>
    <n v="3652"/>
    <n v="750"/>
    <n v="450"/>
    <n v="0"/>
    <n v="0"/>
    <n v="1250"/>
    <n v="450"/>
    <n v="0"/>
    <n v="0"/>
    <n v="-243"/>
    <n v="0"/>
    <n v="261"/>
    <n v="0"/>
    <n v="0"/>
    <n v="0"/>
    <n v="0"/>
    <n v="13387"/>
    <n v="12901"/>
    <n v="0"/>
  </r>
  <r>
    <n v="235"/>
    <s v="ABC Textile Ltd."/>
    <n v="7555672"/>
    <s v="Amena Begum"/>
    <s v="Production"/>
    <s v="Andritz Geo"/>
    <s v="Assistant"/>
    <m/>
    <n v="1900"/>
    <x v="207"/>
    <m/>
    <d v="2022-09-10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36"/>
    <s v="ABC Textile Ltd."/>
    <n v="8276642"/>
    <s v="Raziya Akter"/>
    <s v="Production"/>
    <s v="Andritz Geo"/>
    <s v="Assistant"/>
    <m/>
    <n v="1900"/>
    <x v="208"/>
    <m/>
    <d v="1976-09-20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37"/>
    <s v="ABC Textile Ltd."/>
    <n v="8980953"/>
    <s v="Popy Akter"/>
    <s v="Production"/>
    <s v="Andritz Geo"/>
    <s v="Assistant"/>
    <m/>
    <n v="1900"/>
    <x v="25"/>
    <m/>
    <d v="1993-10-10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38"/>
    <s v="ABC Textile Ltd."/>
    <n v="7598432"/>
    <s v="Suma Akter"/>
    <s v="Production"/>
    <s v="Andritz Geo"/>
    <s v="Assistant Bale Breaker Machine Operator"/>
    <m/>
    <n v="1900"/>
    <x v="209"/>
    <m/>
    <d v="1997-07-03T00:00:00"/>
    <s v="M"/>
    <s v="Y"/>
    <s v="Worker"/>
    <n v="13622"/>
    <n v="13622"/>
    <n v="7448"/>
    <n v="3724"/>
    <n v="750"/>
    <n v="450"/>
    <n v="0"/>
    <n v="0"/>
    <n v="1250"/>
    <n v="450"/>
    <n v="0"/>
    <n v="0"/>
    <n v="0"/>
    <n v="0"/>
    <n v="0"/>
    <n v="0"/>
    <n v="0"/>
    <n v="0"/>
    <n v="0"/>
    <n v="13622"/>
    <n v="13622"/>
    <n v="0"/>
  </r>
  <r>
    <n v="239"/>
    <s v="ABC Textile Ltd."/>
    <n v="6235075"/>
    <s v="Doly Akter"/>
    <s v="Production"/>
    <s v="Andritz Geo"/>
    <s v="Assistant Operator"/>
    <m/>
    <n v="1900"/>
    <x v="210"/>
    <m/>
    <d v="1991-01-10T00:00:00"/>
    <s v="M"/>
    <s v="Y"/>
    <s v="Worker"/>
    <n v="13514"/>
    <n v="13514"/>
    <n v="7376"/>
    <n v="3688"/>
    <n v="750"/>
    <n v="450"/>
    <n v="0"/>
    <n v="0"/>
    <n v="1250"/>
    <n v="450"/>
    <n v="0"/>
    <n v="0"/>
    <n v="0"/>
    <n v="0"/>
    <n v="0"/>
    <n v="0"/>
    <n v="0"/>
    <n v="0"/>
    <n v="0"/>
    <n v="13514"/>
    <n v="13514"/>
    <n v="0"/>
  </r>
  <r>
    <n v="240"/>
    <s v="ABC Textile Ltd."/>
    <n v="6365823"/>
    <s v="Begum"/>
    <s v="Production"/>
    <s v="Andritz Geo"/>
    <s v="Cleaner"/>
    <m/>
    <n v="1900"/>
    <x v="211"/>
    <m/>
    <d v="1981-04-01T00:00:00"/>
    <s v="F"/>
    <s v="Y"/>
    <s v="Worker"/>
    <n v="13841"/>
    <n v="13841"/>
    <n v="7594"/>
    <n v="3797"/>
    <n v="750"/>
    <n v="450"/>
    <n v="0"/>
    <n v="0"/>
    <n v="1250"/>
    <n v="450"/>
    <n v="350"/>
    <n v="0"/>
    <n v="0"/>
    <n v="0"/>
    <n v="0"/>
    <n v="0"/>
    <n v="0"/>
    <n v="0"/>
    <n v="0"/>
    <n v="14191"/>
    <n v="14191"/>
    <n v="0"/>
  </r>
  <r>
    <n v="241"/>
    <s v="ABC Textile Ltd."/>
    <n v="8976247"/>
    <s v="Akter"/>
    <s v="Production"/>
    <s v="Andritz Geo"/>
    <s v="Assistant Winder Machine Operator"/>
    <m/>
    <n v="1900"/>
    <x v="24"/>
    <m/>
    <d v="1989-12-10T00:00:00"/>
    <s v="M"/>
    <s v="Y"/>
    <s v="Worker"/>
    <n v="13514"/>
    <n v="13514"/>
    <n v="7376"/>
    <n v="3688"/>
    <n v="750"/>
    <n v="450"/>
    <n v="0"/>
    <n v="0"/>
    <n v="1250"/>
    <n v="450"/>
    <n v="350"/>
    <n v="0"/>
    <n v="0"/>
    <n v="0"/>
    <n v="0"/>
    <n v="0"/>
    <n v="0"/>
    <n v="0"/>
    <n v="0"/>
    <n v="13864"/>
    <n v="13864"/>
    <n v="0"/>
  </r>
  <r>
    <n v="242"/>
    <s v="ABC Textile Ltd."/>
    <n v="7668635"/>
    <s v="Hosne Ara"/>
    <s v="Production"/>
    <s v="Andritz Geo"/>
    <s v="Assistant Winder Machine Operator"/>
    <m/>
    <n v="1900"/>
    <x v="212"/>
    <m/>
    <d v="1993-01-10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43"/>
    <s v="ABC Textile Ltd."/>
    <n v="5488344"/>
    <s v="Asma Khatun"/>
    <s v="Production"/>
    <s v="Andritz Geo"/>
    <s v="Assistant Bale Breaker Machine Operator"/>
    <m/>
    <n v="1900"/>
    <x v="213"/>
    <m/>
    <d v="1993-11-17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44"/>
    <s v="ABC Textile Ltd."/>
    <n v="5969839"/>
    <s v="Rina Aktar"/>
    <s v="Production"/>
    <s v="Andritz Geo"/>
    <s v="Assistant Bale Breaker Machine Operator"/>
    <m/>
    <n v="1900"/>
    <x v="214"/>
    <m/>
    <d v="1997-12-14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45"/>
    <s v="ABC Textile Ltd."/>
    <n v="6117102"/>
    <s v="Akter"/>
    <s v="Production"/>
    <s v="Andritz Geo"/>
    <s v="Assistant"/>
    <m/>
    <n v="1900"/>
    <x v="141"/>
    <m/>
    <d v="1997-07-14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46"/>
    <s v="ABC Textile Ltd."/>
    <n v="6202288"/>
    <s v="Dariya"/>
    <s v="Production"/>
    <s v="Andritz Geo"/>
    <s v="Assistant"/>
    <m/>
    <n v="1900"/>
    <x v="215"/>
    <m/>
    <d v="1993-08-18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47"/>
    <s v="ABC Textile Ltd."/>
    <n v="7086092"/>
    <s v="Begum"/>
    <s v="Production"/>
    <s v="Andritz Geo"/>
    <s v="Assistant"/>
    <m/>
    <n v="1900"/>
    <x v="13"/>
    <m/>
    <d v="2002-04-20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48"/>
    <s v="ABC Textile Ltd."/>
    <n v="6476370"/>
    <s v="Mamotaj Begum"/>
    <s v="Production"/>
    <s v="Andritz Geo"/>
    <s v="Assistant"/>
    <m/>
    <n v="1900"/>
    <x v="133"/>
    <m/>
    <d v="2001-02-09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49"/>
    <s v="ABC Textile Ltd."/>
    <n v="6633029"/>
    <s v="Suma Akter"/>
    <s v="Production"/>
    <s v="Andritz Geo"/>
    <s v="General  Winder Machine Operator"/>
    <m/>
    <n v="1900"/>
    <x v="216"/>
    <m/>
    <d v="1997-12-12T00:00:00"/>
    <s v="M"/>
    <s v="Y"/>
    <s v="Worker"/>
    <n v="14659"/>
    <n v="14659"/>
    <n v="8139"/>
    <n v="4070"/>
    <n v="750"/>
    <n v="450"/>
    <n v="0"/>
    <n v="0"/>
    <n v="1250"/>
    <n v="450"/>
    <n v="0"/>
    <n v="0"/>
    <n v="0"/>
    <n v="0"/>
    <n v="0"/>
    <n v="0"/>
    <n v="0"/>
    <n v="0"/>
    <n v="0"/>
    <n v="14659"/>
    <n v="14659"/>
    <n v="0"/>
  </r>
  <r>
    <n v="250"/>
    <s v="ABC Textile Ltd."/>
    <n v="8900441"/>
    <s v="Ali"/>
    <s v="Production"/>
    <s v="Andritz Geo"/>
    <s v="General  Bale Breaker Machine Operator"/>
    <m/>
    <n v="1900"/>
    <x v="217"/>
    <m/>
    <d v="1989-05-15T00:00:00"/>
    <s v="M"/>
    <s v="Y"/>
    <s v="Worker"/>
    <n v="14549"/>
    <n v="14549"/>
    <n v="8066"/>
    <n v="4033"/>
    <n v="750"/>
    <n v="450"/>
    <n v="0"/>
    <n v="0"/>
    <n v="1250"/>
    <n v="450"/>
    <n v="350"/>
    <n v="0"/>
    <n v="0"/>
    <n v="0"/>
    <n v="0"/>
    <n v="0"/>
    <n v="0"/>
    <n v="0"/>
    <n v="0"/>
    <n v="14899"/>
    <n v="14899"/>
    <n v="0"/>
  </r>
  <r>
    <n v="251"/>
    <s v="ABC Textile Ltd."/>
    <n v="7374291"/>
    <s v="Forid Mia"/>
    <s v="Production"/>
    <s v="Cutting Geo"/>
    <s v="Cutter Man"/>
    <m/>
    <n v="1900"/>
    <x v="218"/>
    <m/>
    <d v="1993-01-09T00:00:00"/>
    <s v="M"/>
    <s v="Y"/>
    <s v="Worker"/>
    <n v="15337"/>
    <n v="14723"/>
    <n v="8591"/>
    <n v="4296"/>
    <n v="750"/>
    <n v="450"/>
    <n v="0"/>
    <n v="0"/>
    <n v="1250"/>
    <n v="450"/>
    <n v="0"/>
    <n v="0"/>
    <n v="0"/>
    <n v="0"/>
    <n v="614"/>
    <n v="0"/>
    <n v="0"/>
    <n v="0"/>
    <n v="0"/>
    <n v="14723"/>
    <n v="14723"/>
    <n v="0"/>
  </r>
  <r>
    <n v="252"/>
    <s v="ABC Textile Ltd."/>
    <n v="8708438"/>
    <s v="Begum"/>
    <s v="Production"/>
    <s v="Cutting Geo"/>
    <s v="Asst. Lay Women"/>
    <m/>
    <n v="1900"/>
    <x v="219"/>
    <m/>
    <d v="1995-02-21T00:00:00"/>
    <s v="F"/>
    <s v="Y"/>
    <s v="Worker"/>
    <n v="13514"/>
    <n v="13514"/>
    <n v="7376"/>
    <n v="3688"/>
    <n v="750"/>
    <n v="450"/>
    <n v="0"/>
    <n v="0"/>
    <n v="1250"/>
    <n v="450"/>
    <n v="0"/>
    <n v="0"/>
    <n v="0"/>
    <n v="0"/>
    <n v="0"/>
    <n v="0"/>
    <n v="0"/>
    <n v="0"/>
    <n v="0"/>
    <n v="13514"/>
    <n v="13514"/>
    <n v="0"/>
  </r>
  <r>
    <n v="253"/>
    <s v="ABC Textile Ltd."/>
    <n v="6147706"/>
    <s v="Sobuj Miya"/>
    <s v="Production"/>
    <s v="Cutting Geo"/>
    <s v="Asst. Lay Women"/>
    <m/>
    <n v="1900"/>
    <x v="220"/>
    <m/>
    <d v="1995-01-04T00:00:00"/>
    <s v="F"/>
    <s v="Y"/>
    <s v="Worker"/>
    <n v="13514"/>
    <n v="12724"/>
    <n v="7376"/>
    <n v="3688"/>
    <n v="750"/>
    <n v="450"/>
    <n v="0"/>
    <n v="0"/>
    <n v="1250"/>
    <n v="450"/>
    <n v="0"/>
    <n v="0"/>
    <n v="0"/>
    <n v="0"/>
    <n v="790"/>
    <n v="0"/>
    <n v="0"/>
    <n v="0"/>
    <n v="0"/>
    <n v="12724"/>
    <n v="12724"/>
    <n v="0"/>
  </r>
  <r>
    <n v="254"/>
    <s v="ABC Textile Ltd."/>
    <n v="8278254"/>
    <s v="Begum"/>
    <s v="Production"/>
    <s v="Cutting Geo"/>
    <s v="Asst. Lay Women"/>
    <m/>
    <n v="1900"/>
    <x v="220"/>
    <m/>
    <d v="1987-06-05T00:00:00"/>
    <s v="F"/>
    <s v="Y"/>
    <s v="Worker"/>
    <n v="13514"/>
    <n v="13514"/>
    <n v="7376"/>
    <n v="3688"/>
    <n v="750"/>
    <n v="450"/>
    <n v="0"/>
    <n v="0"/>
    <n v="1250"/>
    <n v="450"/>
    <n v="250"/>
    <n v="0"/>
    <n v="0"/>
    <n v="0"/>
    <n v="0"/>
    <n v="0"/>
    <n v="0"/>
    <n v="0"/>
    <n v="0"/>
    <n v="13764"/>
    <n v="13764"/>
    <n v="0"/>
  </r>
  <r>
    <n v="255"/>
    <s v="ABC Textile Ltd."/>
    <n v="8483176"/>
    <s v="Begum"/>
    <s v="Production"/>
    <s v="Cutting Geo"/>
    <s v="Asst. Lay Women"/>
    <m/>
    <n v="1900"/>
    <x v="220"/>
    <m/>
    <d v="1999-10-14T00:00:00"/>
    <s v="F"/>
    <s v="Y"/>
    <s v="Worker"/>
    <n v="13514"/>
    <n v="12987"/>
    <n v="7376"/>
    <n v="3688"/>
    <n v="750"/>
    <n v="450"/>
    <n v="0"/>
    <n v="0"/>
    <n v="1250"/>
    <n v="450"/>
    <n v="0"/>
    <n v="0"/>
    <n v="0"/>
    <n v="0"/>
    <n v="527"/>
    <n v="0"/>
    <n v="0"/>
    <n v="0"/>
    <n v="0"/>
    <n v="12987"/>
    <n v="12987"/>
    <n v="0"/>
  </r>
  <r>
    <n v="256"/>
    <s v="ABC Textile Ltd."/>
    <n v="8898612"/>
    <s v="Farhad Hossain"/>
    <s v="Production"/>
    <s v="Cutting Geo"/>
    <s v="Operator"/>
    <m/>
    <n v="2022"/>
    <x v="221"/>
    <d v="2022-07-22T00:00:00"/>
    <d v="1988-07-22T00:00:00"/>
    <s v="M"/>
    <s v="N"/>
    <s v="Worker"/>
    <n v="19402"/>
    <n v="19402"/>
    <n v="11301"/>
    <n v="5651"/>
    <n v="750"/>
    <n v="450"/>
    <n v="0"/>
    <n v="0"/>
    <n v="1250"/>
    <n v="450"/>
    <n v="350"/>
    <n v="0"/>
    <n v="0"/>
    <n v="0"/>
    <n v="0"/>
    <n v="0"/>
    <n v="0"/>
    <n v="0"/>
    <n v="0"/>
    <n v="19752"/>
    <n v="19752"/>
    <n v="0"/>
  </r>
  <r>
    <n v="257"/>
    <s v="ABC Textile Ltd."/>
    <n v="5524819"/>
    <s v="Habeja Akter"/>
    <s v="Production"/>
    <s v="Cutting Geo"/>
    <s v="Operator"/>
    <m/>
    <n v="1900"/>
    <x v="222"/>
    <m/>
    <d v="1994-01-01T00:00:00"/>
    <s v="M"/>
    <s v="N"/>
    <s v="Worker"/>
    <n v="19402"/>
    <n v="19402"/>
    <n v="11301"/>
    <n v="5651"/>
    <n v="750"/>
    <n v="450"/>
    <n v="0"/>
    <n v="0"/>
    <n v="1250"/>
    <n v="450"/>
    <n v="350"/>
    <n v="0"/>
    <n v="0"/>
    <n v="0"/>
    <n v="0"/>
    <n v="0"/>
    <n v="0"/>
    <n v="0"/>
    <n v="0"/>
    <n v="19752"/>
    <n v="19752"/>
    <n v="0"/>
  </r>
  <r>
    <n v="258"/>
    <s v="ABC Textile Ltd."/>
    <n v="9325794"/>
    <s v="Begume"/>
    <s v="Production"/>
    <s v="Cutting Geo"/>
    <s v="Assistant"/>
    <m/>
    <n v="1900"/>
    <x v="147"/>
    <m/>
    <d v="1997-01-01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59"/>
    <s v="ABC Textile Ltd."/>
    <n v="6714307"/>
    <s v="Bepin"/>
    <s v="Production"/>
    <s v="Cutting Geo"/>
    <s v="Assistant"/>
    <m/>
    <n v="1900"/>
    <x v="194"/>
    <m/>
    <d v="1996-12-10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60"/>
    <s v="ABC Textile Ltd."/>
    <n v="9741738"/>
    <s v="Begum"/>
    <s v="Production"/>
    <s v="Cutting Geo"/>
    <s v="Assistant"/>
    <m/>
    <n v="1900"/>
    <x v="223"/>
    <m/>
    <d v="2002-02-01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61"/>
    <s v="ABC Textile Ltd."/>
    <n v="9023029"/>
    <s v="Faruk"/>
    <s v="Production"/>
    <s v="Finishing Geo"/>
    <s v="Assistant"/>
    <m/>
    <n v="1900"/>
    <x v="191"/>
    <m/>
    <d v="1975-09-07T00:00:00"/>
    <s v="M"/>
    <s v="N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62"/>
    <s v="ABC Textile Ltd."/>
    <n v="5828984"/>
    <s v="Arzina"/>
    <s v="Production"/>
    <s v="Finishing Geo"/>
    <s v="Assistant"/>
    <m/>
    <n v="1900"/>
    <x v="224"/>
    <m/>
    <d v="1982-06-10T00:00:00"/>
    <s v="M"/>
    <s v="Y"/>
    <s v="Worker"/>
    <n v="13405"/>
    <n v="13405"/>
    <n v="7303"/>
    <n v="3652"/>
    <n v="750"/>
    <n v="450"/>
    <n v="0"/>
    <n v="0"/>
    <n v="1250"/>
    <n v="450"/>
    <n v="250"/>
    <n v="0"/>
    <n v="0"/>
    <n v="0"/>
    <n v="0"/>
    <n v="0"/>
    <n v="0"/>
    <n v="0"/>
    <n v="0"/>
    <n v="13655"/>
    <n v="13655"/>
    <n v="0"/>
  </r>
  <r>
    <n v="263"/>
    <s v="ABC Textile Ltd."/>
    <n v="9025426"/>
    <s v="Parvin"/>
    <s v="Production"/>
    <s v="Finishing Geo"/>
    <s v="Assistant Bundleman"/>
    <m/>
    <n v="1900"/>
    <x v="225"/>
    <m/>
    <d v="1996-06-16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64"/>
    <s v="ABC Textile Ltd."/>
    <n v="9519659"/>
    <s v="Ranu Begum"/>
    <s v="Production"/>
    <s v="Finishing Geo"/>
    <s v="Assistant Bundleman"/>
    <m/>
    <n v="1900"/>
    <x v="203"/>
    <m/>
    <d v="2002-02-01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65"/>
    <s v="ABC Textile Ltd."/>
    <n v="6464525"/>
    <s v="Nasima Begum"/>
    <s v="Production"/>
    <s v="Finishing Geo"/>
    <s v="Assistant Bundleman"/>
    <m/>
    <n v="1900"/>
    <x v="226"/>
    <m/>
    <d v="1998-01-04T00:00:00"/>
    <s v="M"/>
    <s v="Y"/>
    <s v="Worker"/>
    <n v="13949"/>
    <n v="13949"/>
    <n v="7666"/>
    <n v="3833"/>
    <n v="750"/>
    <n v="450"/>
    <n v="0"/>
    <n v="0"/>
    <n v="1250"/>
    <n v="450"/>
    <n v="350"/>
    <n v="0"/>
    <n v="0"/>
    <n v="0"/>
    <n v="0"/>
    <n v="0"/>
    <n v="0"/>
    <n v="0"/>
    <n v="0"/>
    <n v="14299"/>
    <n v="14299"/>
    <n v="0"/>
  </r>
  <r>
    <n v="266"/>
    <s v="ABC Textile Ltd."/>
    <n v="7605373"/>
    <s v="Amena Begum"/>
    <s v="Production"/>
    <s v="Finishing Geo"/>
    <s v="Assistant Bundleman"/>
    <m/>
    <n v="1900"/>
    <x v="165"/>
    <m/>
    <d v="1980-09-01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67"/>
    <s v="ABC Textile Ltd."/>
    <n v="5648986"/>
    <s v="Begum"/>
    <s v="Production"/>
    <s v="Finishing Geo"/>
    <s v="Assistant"/>
    <m/>
    <n v="1900"/>
    <x v="227"/>
    <m/>
    <d v="1989-04-03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68"/>
    <s v="ABC Textile Ltd."/>
    <n v="6285102"/>
    <s v="Mala"/>
    <s v="Production"/>
    <s v="Finishing Geo"/>
    <s v="Assistant Bundleman"/>
    <m/>
    <n v="1900"/>
    <x v="148"/>
    <m/>
    <d v="1996-01-28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69"/>
    <s v="ABC Textile Ltd."/>
    <n v="7211470"/>
    <s v="Tania"/>
    <s v="Production"/>
    <s v="Finishing Geo"/>
    <s v="Assistant Bundleman"/>
    <m/>
    <n v="1900"/>
    <x v="228"/>
    <m/>
    <d v="1996-06-20T00:00:00"/>
    <s v="M"/>
    <s v="Y"/>
    <s v="Worker"/>
    <n v="13514"/>
    <n v="13514"/>
    <n v="7376"/>
    <n v="3688"/>
    <n v="750"/>
    <n v="450"/>
    <n v="0"/>
    <n v="0"/>
    <n v="1250"/>
    <n v="450"/>
    <n v="350"/>
    <n v="0"/>
    <n v="0"/>
    <n v="0"/>
    <n v="0"/>
    <n v="0"/>
    <n v="0"/>
    <n v="0"/>
    <n v="0"/>
    <n v="13864"/>
    <n v="13864"/>
    <n v="0"/>
  </r>
  <r>
    <n v="270"/>
    <s v="ABC Textile Ltd."/>
    <n v="5625362"/>
    <s v="Akter"/>
    <s v="Production"/>
    <s v="Finishing Geo"/>
    <s v="Assistant Bundleman"/>
    <m/>
    <n v="1900"/>
    <x v="229"/>
    <m/>
    <d v="1984-01-03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71"/>
    <s v="ABC Textile Ltd."/>
    <n v="9457480"/>
    <s v="Rawsana"/>
    <s v="Production"/>
    <s v="Finishing Geo"/>
    <s v="Assistant Bundleman"/>
    <m/>
    <n v="1900"/>
    <x v="230"/>
    <m/>
    <d v="1981-03-27T00:00:00"/>
    <s v="M"/>
    <s v="Y"/>
    <s v="Worker"/>
    <n v="13514"/>
    <n v="13514"/>
    <n v="7376"/>
    <n v="3688"/>
    <n v="750"/>
    <n v="450"/>
    <n v="0"/>
    <n v="0"/>
    <n v="1250"/>
    <n v="450"/>
    <n v="0"/>
    <n v="0"/>
    <n v="0"/>
    <n v="0"/>
    <n v="0"/>
    <n v="0"/>
    <n v="0"/>
    <n v="0"/>
    <n v="0"/>
    <n v="13514"/>
    <n v="13514"/>
    <n v="0"/>
  </r>
  <r>
    <n v="272"/>
    <s v="ABC Textile Ltd."/>
    <n v="8725001"/>
    <s v="Aytunnesa"/>
    <s v="Production"/>
    <s v="Finishing Geo"/>
    <s v="Assistant Bundleman"/>
    <m/>
    <n v="1900"/>
    <x v="231"/>
    <m/>
    <d v="1986-05-20T00:00:00"/>
    <s v="M"/>
    <s v="Y"/>
    <s v="Worker"/>
    <n v="13514"/>
    <n v="13514"/>
    <n v="7376"/>
    <n v="3688"/>
    <n v="750"/>
    <n v="450"/>
    <n v="0"/>
    <n v="0"/>
    <n v="1250"/>
    <n v="450"/>
    <n v="350"/>
    <n v="0"/>
    <n v="0"/>
    <n v="0"/>
    <n v="0"/>
    <n v="0"/>
    <n v="0"/>
    <n v="0"/>
    <n v="0"/>
    <n v="13864"/>
    <n v="13864"/>
    <n v="0"/>
  </r>
  <r>
    <n v="273"/>
    <s v="ABC Textile Ltd."/>
    <n v="5374933"/>
    <s v="Jamila Begum"/>
    <s v="Production"/>
    <s v="Finishing Geo"/>
    <s v="Assistant Bundleman"/>
    <m/>
    <n v="2022"/>
    <x v="209"/>
    <d v="2022-08-26T00:00:00"/>
    <d v="1988-08-26T00:00:00"/>
    <s v="M"/>
    <s v="Y"/>
    <s v="Worker"/>
    <n v="13514"/>
    <n v="13514"/>
    <n v="7376"/>
    <n v="3688"/>
    <n v="750"/>
    <n v="450"/>
    <n v="0"/>
    <n v="0"/>
    <n v="1250"/>
    <n v="450"/>
    <n v="350"/>
    <n v="0"/>
    <n v="0"/>
    <n v="0"/>
    <n v="0"/>
    <n v="0"/>
    <n v="0"/>
    <n v="0"/>
    <n v="0"/>
    <n v="13864"/>
    <n v="13864"/>
    <n v="0"/>
  </r>
  <r>
    <n v="274"/>
    <s v="ABC Textile Ltd."/>
    <n v="7518732"/>
    <s v="Shanty Begum"/>
    <s v="Production"/>
    <s v="Finishing Geo"/>
    <s v="Assistant Bundleman"/>
    <m/>
    <n v="1900"/>
    <x v="232"/>
    <m/>
    <d v="1978-05-01T00:00:00"/>
    <s v="M"/>
    <s v="Y"/>
    <s v="Worker"/>
    <n v="15040"/>
    <n v="14740"/>
    <n v="8393"/>
    <n v="4197"/>
    <n v="750"/>
    <n v="450"/>
    <n v="0"/>
    <n v="0"/>
    <n v="1250"/>
    <n v="450"/>
    <n v="0"/>
    <n v="0"/>
    <n v="0"/>
    <n v="0"/>
    <n v="300"/>
    <n v="0"/>
    <n v="0"/>
    <n v="0"/>
    <n v="0"/>
    <n v="14740"/>
    <n v="14740"/>
    <n v="0"/>
  </r>
  <r>
    <n v="275"/>
    <s v="ABC Textile Ltd."/>
    <n v="8043692"/>
    <s v="Nazma Khatun"/>
    <s v="Production"/>
    <s v="Finishing Geo"/>
    <s v="Assistant Bundleman"/>
    <m/>
    <n v="2022"/>
    <x v="233"/>
    <d v="2022-12-17T00:00:00"/>
    <d v="1988-12-17T00:00:00"/>
    <s v="M"/>
    <s v="Y"/>
    <s v="Worker"/>
    <n v="13458"/>
    <n v="13458"/>
    <n v="7339"/>
    <n v="3669"/>
    <n v="750"/>
    <n v="450"/>
    <n v="0"/>
    <n v="0"/>
    <n v="1250"/>
    <n v="450"/>
    <n v="0"/>
    <n v="0"/>
    <n v="0"/>
    <n v="0"/>
    <n v="0"/>
    <n v="0"/>
    <n v="0"/>
    <n v="0"/>
    <n v="0"/>
    <n v="13458"/>
    <n v="13458"/>
    <n v="0"/>
  </r>
  <r>
    <n v="276"/>
    <s v="ABC Textile Ltd."/>
    <n v="5515056"/>
    <s v="Begum"/>
    <s v="Production"/>
    <s v="Finishing Geo"/>
    <s v="Assistant Bundleman"/>
    <m/>
    <n v="1900"/>
    <x v="18"/>
    <m/>
    <d v="1984-07-15T00:00:00"/>
    <s v="M"/>
    <s v="Y"/>
    <s v="Worker"/>
    <n v="13514"/>
    <n v="13514"/>
    <n v="7376"/>
    <n v="3688"/>
    <n v="750"/>
    <n v="450"/>
    <n v="0"/>
    <n v="0"/>
    <n v="1250"/>
    <n v="450"/>
    <n v="0"/>
    <n v="0"/>
    <n v="0"/>
    <n v="0"/>
    <n v="0"/>
    <n v="0"/>
    <n v="0"/>
    <n v="0"/>
    <n v="0"/>
    <n v="13514"/>
    <n v="13514"/>
    <n v="0"/>
  </r>
  <r>
    <n v="277"/>
    <s v="ABC Textile Ltd."/>
    <n v="8704011"/>
    <s v="Khatun"/>
    <s v="Production"/>
    <s v="Geo Crush"/>
    <s v="Junior Crush Machine Operator"/>
    <m/>
    <n v="1900"/>
    <x v="234"/>
    <m/>
    <d v="1973-02-08T00:00:00"/>
    <s v="M"/>
    <s v="Y"/>
    <s v="Worker"/>
    <n v="14549"/>
    <n v="14549"/>
    <n v="8066"/>
    <n v="4033"/>
    <n v="750"/>
    <n v="450"/>
    <n v="0"/>
    <n v="0"/>
    <n v="1250"/>
    <n v="450"/>
    <n v="350"/>
    <n v="0"/>
    <n v="0"/>
    <n v="0"/>
    <n v="0"/>
    <n v="0"/>
    <n v="0"/>
    <n v="0"/>
    <n v="0"/>
    <n v="14899"/>
    <n v="14899"/>
    <n v="0"/>
  </r>
  <r>
    <n v="278"/>
    <s v="ABC Textile Ltd."/>
    <n v="5752773"/>
    <s v="Haowa Bibi"/>
    <s v="Production"/>
    <s v="Geo Crush"/>
    <s v="Assistant"/>
    <m/>
    <n v="1900"/>
    <x v="235"/>
    <m/>
    <d v="1993-01-01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79"/>
    <s v="ABC Textile Ltd."/>
    <n v="8425840"/>
    <s v="Begum"/>
    <s v="Production"/>
    <s v="Geo Crush"/>
    <s v="Assistant"/>
    <m/>
    <n v="1900"/>
    <x v="236"/>
    <m/>
    <d v="2001-01-27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80"/>
    <s v="ABC Textile Ltd."/>
    <n v="5305084"/>
    <s v="Robban Begum"/>
    <s v="Production"/>
    <s v="Geo Crush"/>
    <s v="Assistant"/>
    <m/>
    <n v="1900"/>
    <x v="237"/>
    <m/>
    <d v="1968-02-06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81"/>
    <s v="ABC Textile Ltd."/>
    <n v="7585242"/>
    <s v="Shafali Begum"/>
    <s v="Production"/>
    <s v="Geo Local"/>
    <s v="Assistant"/>
    <m/>
    <n v="1900"/>
    <x v="238"/>
    <m/>
    <d v="1994-12-31T00:00:00"/>
    <s v="F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82"/>
    <s v="ABC Textile Ltd."/>
    <n v="9398915"/>
    <s v="Renura Khatun"/>
    <s v="Production"/>
    <s v="Geo Local"/>
    <s v="Assistant Sewing Machine Operator"/>
    <m/>
    <n v="2022"/>
    <x v="239"/>
    <d v="2022-02-25T00:00:00"/>
    <d v="1992-02-25T00:00:00"/>
    <s v="F"/>
    <s v="Y"/>
    <s v="Worker"/>
    <n v="13405"/>
    <n v="13405"/>
    <n v="7303"/>
    <n v="3652"/>
    <n v="750"/>
    <n v="450"/>
    <n v="0"/>
    <n v="0"/>
    <n v="1250"/>
    <n v="450"/>
    <n v="250"/>
    <n v="0"/>
    <n v="0"/>
    <n v="0"/>
    <n v="0"/>
    <n v="0"/>
    <n v="0"/>
    <n v="0"/>
    <n v="0"/>
    <n v="13655"/>
    <n v="13655"/>
    <n v="0"/>
  </r>
  <r>
    <n v="283"/>
    <s v="ABC Textile Ltd."/>
    <n v="7542644"/>
    <s v="Begum"/>
    <s v="Production"/>
    <s v="Geo Local"/>
    <s v="Sewing Machine Operator"/>
    <m/>
    <n v="1900"/>
    <x v="240"/>
    <m/>
    <d v="1972-04-19T00:00:00"/>
    <s v="F"/>
    <s v="Y"/>
    <s v="Worker"/>
    <n v="15803"/>
    <n v="15803"/>
    <n v="8902"/>
    <n v="4451"/>
    <n v="750"/>
    <n v="450"/>
    <n v="0"/>
    <n v="0"/>
    <n v="1250"/>
    <n v="450"/>
    <n v="350"/>
    <n v="0"/>
    <n v="0"/>
    <n v="0"/>
    <n v="0"/>
    <n v="0"/>
    <n v="0"/>
    <n v="0"/>
    <n v="0"/>
    <n v="16153"/>
    <n v="16153"/>
    <n v="0"/>
  </r>
  <r>
    <n v="284"/>
    <s v="ABC Textile Ltd."/>
    <n v="7623029"/>
    <s v="Reshma"/>
    <s v="Production"/>
    <s v="Geo Local"/>
    <s v="Operator"/>
    <m/>
    <n v="1900"/>
    <x v="13"/>
    <m/>
    <d v="1997-01-01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285"/>
    <s v="ABC Textile Ltd."/>
    <n v="5668815"/>
    <s v="Aklima"/>
    <s v="Production"/>
    <s v="Geo Local"/>
    <s v="Operator"/>
    <m/>
    <n v="1900"/>
    <x v="13"/>
    <m/>
    <d v="1985-04-15T00:00:00"/>
    <s v="F"/>
    <s v="Y"/>
    <s v="Worker"/>
    <n v="15337"/>
    <n v="15337"/>
    <n v="8591"/>
    <n v="4296"/>
    <n v="750"/>
    <n v="450"/>
    <n v="0"/>
    <n v="0"/>
    <n v="1250"/>
    <n v="450"/>
    <n v="250"/>
    <n v="0"/>
    <n v="0"/>
    <n v="0"/>
    <n v="0"/>
    <n v="0"/>
    <n v="0"/>
    <n v="0"/>
    <n v="0"/>
    <n v="15587"/>
    <n v="15587"/>
    <n v="0"/>
  </r>
  <r>
    <n v="286"/>
    <s v="ABC Textile Ltd."/>
    <n v="5597995"/>
    <s v="Sanjida Akhter"/>
    <s v="Production"/>
    <s v="Geo Local"/>
    <s v="General Quality Inspector"/>
    <m/>
    <n v="1900"/>
    <x v="13"/>
    <m/>
    <d v="1995-01-01T00:00:00"/>
    <s v="F"/>
    <s v="Y"/>
    <s v="Worker"/>
    <n v="14549"/>
    <n v="14549"/>
    <n v="8066"/>
    <n v="4033"/>
    <n v="750"/>
    <n v="450"/>
    <n v="0"/>
    <n v="0"/>
    <n v="1250"/>
    <n v="450"/>
    <n v="0"/>
    <n v="0"/>
    <n v="0"/>
    <n v="0"/>
    <n v="0"/>
    <n v="0"/>
    <n v="0"/>
    <n v="0"/>
    <n v="0"/>
    <n v="14549"/>
    <n v="14549"/>
    <n v="0"/>
  </r>
  <r>
    <n v="287"/>
    <s v="ABC Textile Ltd."/>
    <n v="6304692"/>
    <s v="Akhter"/>
    <s v="Production"/>
    <s v="Geo Local"/>
    <s v="Assistant"/>
    <m/>
    <n v="2022"/>
    <x v="241"/>
    <d v="2022-01-04T00:00:00"/>
    <d v="1988-01-04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88"/>
    <s v="ABC Textile Ltd."/>
    <n v="8377692"/>
    <s v="Jorina Akter"/>
    <s v="Production"/>
    <s v="Geo Local"/>
    <s v="Operator"/>
    <m/>
    <n v="1900"/>
    <x v="242"/>
    <m/>
    <d v="1987-12-17T00:00:00"/>
    <s v="F"/>
    <s v="Y"/>
    <s v="Worker"/>
    <n v="15337"/>
    <n v="15030"/>
    <n v="8591"/>
    <n v="4296"/>
    <n v="750"/>
    <n v="450"/>
    <n v="0"/>
    <n v="0"/>
    <n v="1250"/>
    <n v="450"/>
    <n v="0"/>
    <n v="0"/>
    <n v="0"/>
    <n v="0"/>
    <n v="307"/>
    <n v="0"/>
    <n v="0"/>
    <n v="0"/>
    <n v="0"/>
    <n v="15030"/>
    <n v="15030"/>
    <n v="0"/>
  </r>
  <r>
    <n v="289"/>
    <s v="ABC Textile Ltd."/>
    <n v="9574778"/>
    <s v="Nargis Akter"/>
    <s v="Production"/>
    <s v="Geo Local"/>
    <s v="Asst. Cutter Man"/>
    <m/>
    <n v="1900"/>
    <x v="228"/>
    <m/>
    <d v="1993-05-28T00:00:00"/>
    <s v="M"/>
    <s v="Y"/>
    <s v="Worker"/>
    <n v="13405"/>
    <n v="13405"/>
    <n v="7303"/>
    <n v="3652"/>
    <n v="750"/>
    <n v="450"/>
    <n v="0"/>
    <n v="0"/>
    <n v="1250"/>
    <n v="450"/>
    <n v="250"/>
    <n v="0"/>
    <n v="0"/>
    <n v="0"/>
    <n v="0"/>
    <n v="0"/>
    <n v="0"/>
    <n v="0"/>
    <n v="0"/>
    <n v="13655"/>
    <n v="13655"/>
    <n v="0"/>
  </r>
  <r>
    <n v="290"/>
    <s v="ABC Textile Ltd."/>
    <n v="9493052"/>
    <s v="Akter"/>
    <s v="Production"/>
    <s v="Geo Local"/>
    <s v="Embroidery Machine Operator"/>
    <m/>
    <n v="1900"/>
    <x v="243"/>
    <m/>
    <d v="1979-10-29T00:00:00"/>
    <s v="M"/>
    <s v="N"/>
    <s v="Worker"/>
    <n v="22238"/>
    <n v="22238"/>
    <n v="13192"/>
    <n v="6596"/>
    <n v="750"/>
    <n v="450"/>
    <n v="0"/>
    <n v="0"/>
    <n v="1250"/>
    <n v="450"/>
    <n v="0"/>
    <n v="0"/>
    <n v="0"/>
    <n v="0"/>
    <n v="0"/>
    <n v="0"/>
    <n v="0"/>
    <n v="0"/>
    <n v="0"/>
    <n v="22238"/>
    <n v="22238"/>
    <n v="0"/>
  </r>
  <r>
    <n v="291"/>
    <s v="ABC Textile Ltd."/>
    <n v="6990766"/>
    <s v="Begum"/>
    <s v="Production"/>
    <s v="Geo Local"/>
    <s v="Sewing Machine Operator"/>
    <m/>
    <n v="1900"/>
    <x v="18"/>
    <m/>
    <d v="1994-04-02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292"/>
    <s v="ABC Textile Ltd."/>
    <n v="6703445"/>
    <s v="Reba"/>
    <s v="Production"/>
    <s v="Geo Local"/>
    <s v="Assistant Sewing Machine Operator"/>
    <m/>
    <n v="2022"/>
    <x v="244"/>
    <d v="2022-05-25T00:00:00"/>
    <d v="1988-05-25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293"/>
    <s v="ABC Textile Ltd."/>
    <n v="6051147"/>
    <s v="Khatun"/>
    <s v="Production"/>
    <s v="Geo Local"/>
    <s v="Sample Man"/>
    <m/>
    <n v="1900"/>
    <x v="245"/>
    <m/>
    <d v="1993-04-04T00:00:00"/>
    <s v="M"/>
    <s v="Y"/>
    <s v="Worker"/>
    <n v="16541"/>
    <n v="16541"/>
    <n v="9394"/>
    <n v="4697"/>
    <n v="750"/>
    <n v="450"/>
    <n v="0"/>
    <n v="0"/>
    <n v="1250"/>
    <n v="450"/>
    <n v="0"/>
    <n v="0"/>
    <n v="0"/>
    <n v="0"/>
    <n v="0"/>
    <n v="0"/>
    <n v="0"/>
    <n v="0"/>
    <n v="0"/>
    <n v="16541"/>
    <n v="16541"/>
    <n v="0"/>
  </r>
  <r>
    <n v="294"/>
    <s v="ABC Textile Ltd."/>
    <n v="8551312"/>
    <s v="Firoza Begum"/>
    <s v="Production"/>
    <s v="Geo Local"/>
    <s v="Assistant Sewing Machine Operator"/>
    <m/>
    <n v="2022"/>
    <x v="246"/>
    <d v="2022-04-06T00:00:00"/>
    <d v="1988-04-06T00:00:00"/>
    <s v="F"/>
    <s v="Y"/>
    <s v="Worker"/>
    <n v="13405"/>
    <n v="13405"/>
    <n v="7303"/>
    <n v="3652"/>
    <n v="750"/>
    <n v="450"/>
    <n v="0"/>
    <n v="0"/>
    <n v="1250"/>
    <n v="450"/>
    <n v="250"/>
    <n v="0"/>
    <n v="0"/>
    <n v="0"/>
    <n v="0"/>
    <n v="0"/>
    <n v="0"/>
    <n v="0"/>
    <n v="0"/>
    <n v="13655"/>
    <n v="13655"/>
    <n v="0"/>
  </r>
  <r>
    <n v="295"/>
    <s v="ABC Textile Ltd."/>
    <n v="6831124"/>
    <s v="Rita"/>
    <s v="Production"/>
    <s v="Needle Punch"/>
    <s v="Assistant"/>
    <m/>
    <n v="1900"/>
    <x v="177"/>
    <m/>
    <d v="2004-05-11T00:00:00"/>
    <s v="M"/>
    <s v="Y"/>
    <s v="Worker"/>
    <n v="13405"/>
    <n v="13405"/>
    <n v="7303"/>
    <n v="3652"/>
    <n v="750"/>
    <n v="450"/>
    <n v="0"/>
    <n v="0"/>
    <n v="1250"/>
    <n v="450"/>
    <n v="250"/>
    <n v="0"/>
    <n v="0"/>
    <n v="0"/>
    <n v="0"/>
    <n v="0"/>
    <n v="0"/>
    <n v="0"/>
    <n v="0"/>
    <n v="13655"/>
    <n v="13655"/>
    <n v="0"/>
  </r>
  <r>
    <n v="296"/>
    <s v="ABC Textile Ltd."/>
    <n v="5265850"/>
    <s v="Begum"/>
    <s v="Production"/>
    <s v="Needle Punch"/>
    <s v="Assistant"/>
    <m/>
    <n v="1900"/>
    <x v="177"/>
    <m/>
    <d v="1978-02-14T00:00:00"/>
    <s v="M"/>
    <s v="Y"/>
    <s v="Worker"/>
    <n v="13405"/>
    <n v="0"/>
    <n v="7303"/>
    <n v="3652"/>
    <n v="750"/>
    <n v="450"/>
    <n v="0"/>
    <n v="0"/>
    <n v="1250"/>
    <n v="450"/>
    <n v="0"/>
    <n v="0"/>
    <n v="-6102"/>
    <n v="0"/>
    <n v="7303"/>
    <n v="0"/>
    <n v="0"/>
    <n v="0"/>
    <n v="0"/>
    <n v="12204"/>
    <n v="0"/>
    <n v="0"/>
  </r>
  <r>
    <n v="297"/>
    <s v="ABC Textile Ltd."/>
    <n v="8761704"/>
    <s v="Begum"/>
    <s v="Production"/>
    <s v="Needle Punch"/>
    <s v="Assistant"/>
    <m/>
    <n v="1900"/>
    <x v="224"/>
    <m/>
    <d v="2000-01-28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298"/>
    <s v="ABC Textile Ltd."/>
    <n v="6969031"/>
    <s v="Begum"/>
    <s v="Production"/>
    <s v="Needle Punch"/>
    <s v="Assistant"/>
    <m/>
    <n v="1900"/>
    <x v="247"/>
    <m/>
    <d v="2001-04-03T00:00:00"/>
    <s v="M"/>
    <s v="Y"/>
    <s v="Worker"/>
    <n v="13405"/>
    <n v="13144"/>
    <n v="7303"/>
    <n v="3652"/>
    <n v="750"/>
    <n v="450"/>
    <n v="0"/>
    <n v="0"/>
    <n v="1250"/>
    <n v="450"/>
    <n v="0"/>
    <n v="0"/>
    <n v="0"/>
    <n v="0"/>
    <n v="261"/>
    <n v="0"/>
    <n v="0"/>
    <n v="0"/>
    <n v="0"/>
    <n v="13144"/>
    <n v="13144"/>
    <n v="0"/>
  </r>
  <r>
    <n v="299"/>
    <s v="ABC Textile Ltd."/>
    <n v="8535333"/>
    <s v="Morjina Akter"/>
    <s v="Production"/>
    <s v="Needle Punch"/>
    <s v="Assistant"/>
    <m/>
    <n v="1900"/>
    <x v="109"/>
    <m/>
    <d v="2001-09-14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300"/>
    <s v="ABC Textile Ltd."/>
    <n v="9856750"/>
    <s v="Shahera"/>
    <s v="Production"/>
    <s v="Needle Punch"/>
    <s v="Assistant"/>
    <m/>
    <n v="1900"/>
    <x v="109"/>
    <m/>
    <d v="1978-03-05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301"/>
    <s v="ABC Textile Ltd."/>
    <n v="8407085"/>
    <s v="Begum"/>
    <s v="Production"/>
    <s v="Needle Punch"/>
    <s v="Assistant"/>
    <m/>
    <n v="1900"/>
    <x v="248"/>
    <m/>
    <d v="2003-12-10T00:00:00"/>
    <s v="M"/>
    <s v="Y"/>
    <s v="Worker"/>
    <n v="12500"/>
    <n v="12500"/>
    <n v="6700"/>
    <n v="3350"/>
    <n v="750"/>
    <n v="450"/>
    <n v="0"/>
    <n v="0"/>
    <n v="1250"/>
    <n v="450"/>
    <n v="250"/>
    <n v="0"/>
    <n v="0"/>
    <n v="0"/>
    <n v="0"/>
    <n v="0"/>
    <n v="0"/>
    <n v="0"/>
    <n v="0"/>
    <n v="12750"/>
    <n v="12750"/>
    <n v="0"/>
  </r>
  <r>
    <n v="302"/>
    <s v="ABC Textile Ltd."/>
    <n v="9605740"/>
    <s v="Begum"/>
    <s v="Production"/>
    <s v="Needle Punch"/>
    <s v="Junior Operator"/>
    <m/>
    <n v="2022"/>
    <x v="249"/>
    <d v="2022-01-01T00:00:00"/>
    <d v="1970-08-20T00:00:00"/>
    <s v="M"/>
    <s v="Y"/>
    <s v="Worker"/>
    <n v="14549"/>
    <n v="14549"/>
    <n v="8066"/>
    <n v="4033"/>
    <n v="750"/>
    <n v="450"/>
    <n v="0"/>
    <n v="0"/>
    <n v="1250"/>
    <n v="450"/>
    <n v="350"/>
    <n v="0"/>
    <n v="0"/>
    <n v="0"/>
    <n v="0"/>
    <n v="0"/>
    <n v="0"/>
    <n v="0"/>
    <n v="0"/>
    <n v="14899"/>
    <n v="14899"/>
    <n v="0"/>
  </r>
  <r>
    <n v="303"/>
    <s v="ABC Textile Ltd."/>
    <n v="7737243"/>
    <s v="Begum"/>
    <s v="Production"/>
    <s v="Needle Punch"/>
    <s v="Assistant"/>
    <m/>
    <n v="2022"/>
    <x v="250"/>
    <d v="2022-01-01T00:00:00"/>
    <d v="2000-01-02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04"/>
    <s v="ABC Textile Ltd."/>
    <n v="9208173"/>
    <s v="Dass"/>
    <s v="Production"/>
    <s v="Needle Punch"/>
    <s v="Assistant"/>
    <m/>
    <n v="2022"/>
    <x v="251"/>
    <d v="2022-01-01T00:00:00"/>
    <d v="1995-07-10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05"/>
    <s v="ABC Textile Ltd."/>
    <n v="6148037"/>
    <s v="Akter"/>
    <s v="Production"/>
    <s v="Needle Punch"/>
    <s v="Assistant"/>
    <m/>
    <n v="2022"/>
    <x v="252"/>
    <d v="2022-01-01T00:00:00"/>
    <d v="1985-01-01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06"/>
    <s v="ABC Textile Ltd."/>
    <n v="7777483"/>
    <s v="Morjina Begum"/>
    <s v="Production"/>
    <s v="Needle Punch"/>
    <s v="Senior Operator"/>
    <s v="9993204000006650"/>
    <n v="2022"/>
    <x v="5"/>
    <d v="2022-01-01T00:00:00"/>
    <d v="1987-01-01T00:00:00"/>
    <s v="M"/>
    <s v="N"/>
    <s v="Worker"/>
    <n v="28070"/>
    <n v="28070"/>
    <n v="17080"/>
    <n v="8540"/>
    <n v="750"/>
    <n v="450"/>
    <n v="0"/>
    <n v="0"/>
    <n v="1250"/>
    <n v="450"/>
    <n v="350"/>
    <n v="0"/>
    <n v="0"/>
    <n v="0"/>
    <n v="0"/>
    <n v="0"/>
    <n v="0"/>
    <n v="0"/>
    <n v="0"/>
    <n v="28420"/>
    <n v="28420"/>
    <n v="0"/>
  </r>
  <r>
    <n v="307"/>
    <s v="ABC Textile Ltd."/>
    <n v="8731154"/>
    <s v="Basfor"/>
    <s v="Production"/>
    <s v="Needle Punch"/>
    <s v="Assistant"/>
    <m/>
    <n v="2022"/>
    <x v="253"/>
    <d v="2022-01-01T00:00:00"/>
    <d v="1971-05-15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08"/>
    <s v="ABC Textile Ltd."/>
    <n v="8530017"/>
    <s v="Bibi Hawa"/>
    <s v="Production"/>
    <s v="Needle Punch"/>
    <s v="Assistant"/>
    <m/>
    <n v="2025"/>
    <x v="254"/>
    <d v="2025-02-13T00:00:00"/>
    <d v="1994-02-07T00:00:00"/>
    <s v="M"/>
    <s v="Y"/>
    <s v="Worker"/>
    <n v="13405"/>
    <n v="5442"/>
    <n v="7303"/>
    <n v="3652"/>
    <n v="750"/>
    <n v="450"/>
    <n v="0"/>
    <n v="0"/>
    <n v="1250"/>
    <n v="450"/>
    <n v="0"/>
    <n v="0"/>
    <n v="0"/>
    <n v="0"/>
    <n v="7963"/>
    <n v="0"/>
    <n v="0"/>
    <n v="0"/>
    <n v="10"/>
    <n v="5432"/>
    <n v="0"/>
    <n v="5432"/>
  </r>
  <r>
    <n v="309"/>
    <s v="ABC Textile Ltd."/>
    <n v="9678967"/>
    <s v="Abdul Aziz"/>
    <s v="Production"/>
    <s v="Needle Punch"/>
    <s v="Assistant"/>
    <m/>
    <n v="2022"/>
    <x v="255"/>
    <d v="2022-01-01T00:00:00"/>
    <d v="1995-03-08T00:00:00"/>
    <s v="M"/>
    <s v="Y"/>
    <s v="Worker"/>
    <n v="13405"/>
    <n v="13405"/>
    <n v="7303"/>
    <n v="3652"/>
    <n v="750"/>
    <n v="450"/>
    <n v="0"/>
    <n v="0"/>
    <n v="1250"/>
    <n v="450"/>
    <n v="350"/>
    <n v="4213"/>
    <n v="0"/>
    <n v="0"/>
    <n v="0"/>
    <n v="0"/>
    <n v="0"/>
    <n v="0"/>
    <n v="0"/>
    <n v="17968"/>
    <n v="17968"/>
    <n v="0"/>
  </r>
  <r>
    <n v="310"/>
    <s v="ABC Textile Ltd."/>
    <n v="7684011"/>
    <s v="Abul Kalam Azad"/>
    <s v="Production"/>
    <s v="Needle Punch"/>
    <s v="Assistant"/>
    <m/>
    <n v="2022"/>
    <x v="256"/>
    <d v="2022-01-01T00:00:00"/>
    <d v="1977-11-13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11"/>
    <s v="ABC Textile Ltd."/>
    <n v="6643765"/>
    <s v="Rajon Hossain"/>
    <s v="Production"/>
    <s v="Needle Punch"/>
    <s v="Assistant"/>
    <m/>
    <n v="1900"/>
    <x v="57"/>
    <m/>
    <d v="1994-08-20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12"/>
    <s v="ABC Textile Ltd."/>
    <n v="9377562"/>
    <s v="Mia"/>
    <s v="Production"/>
    <s v="Needle Punch"/>
    <s v="Assistant"/>
    <m/>
    <n v="1900"/>
    <x v="257"/>
    <m/>
    <d v="1997-10-10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13"/>
    <s v="ABC Textile Ltd."/>
    <n v="9658362"/>
    <s v="Alamin"/>
    <s v="Production"/>
    <s v="Needle Punch"/>
    <s v="Operator"/>
    <s v="9993204000006540"/>
    <n v="1900"/>
    <x v="258"/>
    <m/>
    <d v="1981-08-10T00:00:00"/>
    <s v="F"/>
    <s v="N"/>
    <s v="Worker"/>
    <n v="22614"/>
    <n v="22614"/>
    <n v="13443"/>
    <n v="6721"/>
    <n v="750"/>
    <n v="450"/>
    <n v="0"/>
    <n v="0"/>
    <n v="1250"/>
    <n v="450"/>
    <n v="0"/>
    <n v="0"/>
    <n v="0"/>
    <n v="0"/>
    <n v="0"/>
    <n v="0"/>
    <n v="0"/>
    <n v="0"/>
    <n v="0"/>
    <n v="22614"/>
    <n v="22614"/>
    <n v="0"/>
  </r>
  <r>
    <n v="314"/>
    <s v="ABC Textile Ltd."/>
    <n v="9764417"/>
    <s v="Islam"/>
    <s v="Production"/>
    <s v="Needle Punch"/>
    <s v="Operator"/>
    <m/>
    <n v="1900"/>
    <x v="259"/>
    <m/>
    <d v="1972-05-07T00:00:00"/>
    <s v="M"/>
    <s v="Y"/>
    <s v="Worker"/>
    <n v="15337"/>
    <n v="15030"/>
    <n v="8591"/>
    <n v="4296"/>
    <n v="750"/>
    <n v="450"/>
    <n v="0"/>
    <n v="0"/>
    <n v="1250"/>
    <n v="450"/>
    <n v="0"/>
    <n v="0"/>
    <n v="0"/>
    <n v="0"/>
    <n v="307"/>
    <n v="0"/>
    <n v="0"/>
    <n v="0"/>
    <n v="0"/>
    <n v="15030"/>
    <n v="15030"/>
    <n v="0"/>
  </r>
  <r>
    <n v="315"/>
    <s v="ABC Textile Ltd."/>
    <n v="9760803"/>
    <s v="Akon"/>
    <s v="Production"/>
    <s v="Needle Punch"/>
    <s v="Assistant"/>
    <m/>
    <n v="1900"/>
    <x v="148"/>
    <m/>
    <d v="1989-03-12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316"/>
    <s v="ABC Textile Ltd."/>
    <n v="6841740"/>
    <s v="Hossain"/>
    <s v="Production"/>
    <s v="Needle Punch"/>
    <s v="Assistant"/>
    <m/>
    <n v="1900"/>
    <x v="24"/>
    <m/>
    <d v="1989-03-05T00:00:00"/>
    <s v="M"/>
    <s v="Y"/>
    <s v="Worker"/>
    <n v="13405"/>
    <n v="11318"/>
    <n v="7303"/>
    <n v="3652"/>
    <n v="750"/>
    <n v="450"/>
    <n v="0"/>
    <n v="0"/>
    <n v="1250"/>
    <n v="450"/>
    <n v="0"/>
    <n v="0"/>
    <n v="0"/>
    <n v="0"/>
    <n v="2087"/>
    <n v="0"/>
    <n v="0"/>
    <n v="0"/>
    <n v="0"/>
    <n v="11318"/>
    <n v="11318"/>
    <n v="0"/>
  </r>
  <r>
    <n v="317"/>
    <s v="ABC Textile Ltd."/>
    <n v="7785253"/>
    <s v="Mretul Hossain"/>
    <s v="Production"/>
    <s v="Needle Punch"/>
    <s v="Assistant"/>
    <m/>
    <n v="1900"/>
    <x v="188"/>
    <m/>
    <d v="2003-10-06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318"/>
    <s v="ABC Textile Ltd."/>
    <n v="8610068"/>
    <s v="Bijoy"/>
    <s v="Production"/>
    <s v="Needle Punch"/>
    <s v="Operator"/>
    <m/>
    <n v="1900"/>
    <x v="260"/>
    <m/>
    <d v="1990-01-01T00:00:00"/>
    <s v="M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319"/>
    <s v="ABC Textile Ltd."/>
    <n v="8581762"/>
    <s v="Altaf Hossain"/>
    <s v="Production"/>
    <s v="Needle Punch"/>
    <s v="Assistant"/>
    <m/>
    <n v="1900"/>
    <x v="261"/>
    <m/>
    <d v="1993-03-21T00:00:00"/>
    <s v="M"/>
    <s v="Y"/>
    <s v="Worker"/>
    <n v="13405"/>
    <n v="13405"/>
    <n v="7303"/>
    <n v="3652"/>
    <n v="750"/>
    <n v="450"/>
    <n v="0"/>
    <n v="0"/>
    <n v="1250"/>
    <n v="450"/>
    <n v="250"/>
    <n v="0"/>
    <n v="0"/>
    <n v="0"/>
    <n v="0"/>
    <n v="0"/>
    <n v="0"/>
    <n v="0"/>
    <n v="0"/>
    <n v="13655"/>
    <n v="13655"/>
    <n v="0"/>
  </r>
  <r>
    <n v="320"/>
    <s v="ABC Textile Ltd."/>
    <n v="7060305"/>
    <s v="Parvaj Mia."/>
    <s v="Production"/>
    <s v="Needle Punch"/>
    <s v="Operator"/>
    <s v="9993204000006550"/>
    <n v="1900"/>
    <x v="262"/>
    <m/>
    <d v="1976-11-22T00:00:00"/>
    <s v="M"/>
    <s v="N"/>
    <s v="Worker"/>
    <n v="26648"/>
    <n v="26648"/>
    <n v="16132"/>
    <n v="8066"/>
    <n v="750"/>
    <n v="450"/>
    <n v="0"/>
    <n v="0"/>
    <n v="1250"/>
    <n v="450"/>
    <n v="350"/>
    <n v="0"/>
    <n v="0"/>
    <n v="0"/>
    <n v="0"/>
    <n v="0"/>
    <n v="0"/>
    <n v="0"/>
    <n v="0"/>
    <n v="26998"/>
    <n v="26998"/>
    <n v="0"/>
  </r>
  <r>
    <n v="321"/>
    <s v="ABC Textile Ltd."/>
    <n v="6744089"/>
    <s v="Shamim"/>
    <s v="Production"/>
    <s v="Needle Punch"/>
    <s v="Assistant"/>
    <m/>
    <n v="1900"/>
    <x v="263"/>
    <m/>
    <d v="1985-07-17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22"/>
    <s v="ABC Textile Ltd."/>
    <n v="6833980"/>
    <s v="Sohidul Islam Ripon"/>
    <s v="Production"/>
    <s v="Needle Punch"/>
    <s v="Assistant"/>
    <m/>
    <n v="1900"/>
    <x v="264"/>
    <m/>
    <d v="1997-01-01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23"/>
    <s v="ABC Textile Ltd."/>
    <n v="6172348"/>
    <s v="Amin"/>
    <s v="Production"/>
    <s v="Needle Punch"/>
    <s v="Operator"/>
    <m/>
    <n v="1900"/>
    <x v="265"/>
    <m/>
    <d v="1899-12-31T00:00:00"/>
    <s v="M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324"/>
    <s v="ABC Textile Ltd."/>
    <n v="9267989"/>
    <s v="Hossen"/>
    <s v="Production"/>
    <s v="Sewing Geo"/>
    <s v="Assistant"/>
    <m/>
    <n v="1900"/>
    <x v="266"/>
    <m/>
    <d v="1995-04-13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25"/>
    <s v="ABC Textile Ltd."/>
    <n v="6690920"/>
    <s v="Midul Islam Howlader"/>
    <s v="Production"/>
    <s v="Sewing Geo"/>
    <s v="Assistant"/>
    <m/>
    <n v="1900"/>
    <x v="266"/>
    <m/>
    <d v="1997-06-02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26"/>
    <s v="ABC Textile Ltd."/>
    <n v="6590865"/>
    <s v="Masud Ali"/>
    <s v="Production"/>
    <s v="Sewing Geo"/>
    <s v="Operator"/>
    <m/>
    <n v="1900"/>
    <x v="267"/>
    <m/>
    <d v="1982-02-10T00:00:00"/>
    <s v="F"/>
    <s v="Y"/>
    <s v="Worker"/>
    <n v="15337"/>
    <n v="15337"/>
    <n v="8591"/>
    <n v="4296"/>
    <n v="750"/>
    <n v="450"/>
    <n v="0"/>
    <n v="0"/>
    <n v="1250"/>
    <n v="450"/>
    <n v="0"/>
    <n v="0"/>
    <n v="0"/>
    <n v="0"/>
    <n v="0"/>
    <n v="0"/>
    <n v="0"/>
    <n v="0"/>
    <n v="0"/>
    <n v="15337"/>
    <n v="15337"/>
    <n v="0"/>
  </r>
  <r>
    <n v="327"/>
    <s v="ABC Textile Ltd."/>
    <n v="8427506"/>
    <s v="Meher Ali"/>
    <s v="Production"/>
    <s v="Sewing Geo"/>
    <s v="Assistant Operator"/>
    <m/>
    <n v="1900"/>
    <x v="268"/>
    <m/>
    <d v="1983-12-27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28"/>
    <s v="ABC Textile Ltd."/>
    <n v="7954515"/>
    <s v="Abul Hossain"/>
    <s v="Production"/>
    <s v="Sewing Geo"/>
    <s v="Assistant"/>
    <m/>
    <n v="1900"/>
    <x v="269"/>
    <m/>
    <d v="1993-12-12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29"/>
    <s v="ABC Textile Ltd."/>
    <n v="6287921"/>
    <s v="Kausar"/>
    <s v="Production"/>
    <s v="Sewing Geo"/>
    <s v="Assistant"/>
    <m/>
    <n v="1900"/>
    <x v="188"/>
    <m/>
    <d v="1986-10-15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30"/>
    <s v="ABC Textile Ltd."/>
    <n v="6096382"/>
    <s v="Nuruzzaman"/>
    <s v="Production"/>
    <s v="Sewing Geo"/>
    <s v="Assistant"/>
    <m/>
    <n v="1900"/>
    <x v="189"/>
    <m/>
    <d v="1988-04-10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31"/>
    <s v="ABC Textile Ltd."/>
    <n v="8448140"/>
    <s v="Hossain"/>
    <s v="Production"/>
    <s v="Sewing Geo"/>
    <s v="Assistant"/>
    <m/>
    <n v="1900"/>
    <x v="188"/>
    <m/>
    <d v="1982-05-07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32"/>
    <s v="ABC Textile Ltd."/>
    <n v="9797953"/>
    <s v="Rahman"/>
    <s v="Production"/>
    <s v="Sewing Geo"/>
    <s v="Assistant"/>
    <m/>
    <n v="1900"/>
    <x v="188"/>
    <m/>
    <d v="1983-12-22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33"/>
    <s v="ABC Textile Ltd."/>
    <n v="5551040"/>
    <s v="Nazrul Islam"/>
    <s v="Production"/>
    <s v="Sewing Geo"/>
    <s v="Assistant"/>
    <m/>
    <n v="1900"/>
    <x v="201"/>
    <m/>
    <d v="2002-11-12T00:00:00"/>
    <s v="F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334"/>
    <s v="ABC Textile Ltd."/>
    <n v="8317873"/>
    <s v="Bormon"/>
    <s v="Production"/>
    <s v="Sewing Geo"/>
    <s v="Assistant"/>
    <m/>
    <n v="1900"/>
    <x v="270"/>
    <m/>
    <d v="1985-03-13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35"/>
    <s v="ABC Textile Ltd."/>
    <n v="5244493"/>
    <s v="Babul Hossain"/>
    <s v="Production"/>
    <s v="Sewing Geo"/>
    <s v="Assistant"/>
    <m/>
    <n v="1900"/>
    <x v="271"/>
    <m/>
    <d v="1985-02-10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36"/>
    <s v="ABC Textile Ltd."/>
    <n v="6778718"/>
    <s v="Joynuddin"/>
    <s v="Production"/>
    <s v="Sewing Geo"/>
    <s v="Assistant"/>
    <m/>
    <n v="1900"/>
    <x v="272"/>
    <m/>
    <d v="1975-10-05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37"/>
    <s v="ABC Textile Ltd."/>
    <n v="9525454"/>
    <s v="Anol Mia"/>
    <s v="Production"/>
    <s v="Sewing Geo"/>
    <s v="Assistant"/>
    <m/>
    <n v="1900"/>
    <x v="272"/>
    <m/>
    <d v="1993-10-10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38"/>
    <s v="ABC Textile Ltd."/>
    <n v="9374847"/>
    <s v="Akter"/>
    <s v="Production"/>
    <s v="Sewing Geo"/>
    <s v="Assistant"/>
    <m/>
    <n v="1900"/>
    <x v="273"/>
    <m/>
    <d v="1987-05-17T00:00:00"/>
    <s v="F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339"/>
    <s v="ABC Textile Ltd."/>
    <n v="7897668"/>
    <s v="Sultana"/>
    <s v="Production"/>
    <s v="Sewing Geo"/>
    <s v="Assistant"/>
    <m/>
    <n v="1900"/>
    <x v="274"/>
    <m/>
    <d v="1987-01-02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40"/>
    <s v="ABC Textile Ltd."/>
    <n v="7175126"/>
    <s v="Miya"/>
    <s v="Production"/>
    <s v="Sewing Geo"/>
    <s v="Assistant Operator"/>
    <m/>
    <n v="1900"/>
    <x v="275"/>
    <m/>
    <d v="1980-04-25T00:00:00"/>
    <s v="F"/>
    <s v="Y"/>
    <s v="Worker"/>
    <n v="14315"/>
    <n v="14315"/>
    <n v="7910"/>
    <n v="3955"/>
    <n v="750"/>
    <n v="450"/>
    <n v="0"/>
    <n v="0"/>
    <n v="1250"/>
    <n v="450"/>
    <n v="350"/>
    <n v="0"/>
    <n v="0"/>
    <n v="0"/>
    <n v="0"/>
    <n v="0"/>
    <n v="0"/>
    <n v="0"/>
    <n v="0"/>
    <n v="14665"/>
    <n v="14665"/>
    <n v="0"/>
  </r>
  <r>
    <n v="341"/>
    <s v="ABC Textile Ltd."/>
    <n v="8881582"/>
    <s v="Jayeda Begum"/>
    <s v="Production"/>
    <s v="Sewing Geo"/>
    <s v="Assistant Operator"/>
    <m/>
    <n v="1900"/>
    <x v="276"/>
    <m/>
    <d v="1975-11-07T00:00:00"/>
    <s v="F"/>
    <s v="Y"/>
    <s v="Worker"/>
    <n v="16355"/>
    <n v="16046"/>
    <n v="9270"/>
    <n v="4635"/>
    <n v="750"/>
    <n v="450"/>
    <n v="0"/>
    <n v="0"/>
    <n v="1250"/>
    <n v="450"/>
    <n v="350"/>
    <n v="0"/>
    <n v="-309"/>
    <n v="0"/>
    <n v="0"/>
    <n v="0"/>
    <n v="0"/>
    <n v="0"/>
    <n v="0"/>
    <n v="17014"/>
    <n v="16396"/>
    <n v="0"/>
  </r>
  <r>
    <n v="342"/>
    <s v="ABC Textile Ltd."/>
    <n v="7850976"/>
    <s v="Monirul Islam"/>
    <s v="Production"/>
    <s v="Sewing Geo"/>
    <s v="Assistant Operator"/>
    <m/>
    <n v="1900"/>
    <x v="277"/>
    <m/>
    <d v="1987-05-11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43"/>
    <s v="ABC Textile Ltd."/>
    <n v="7815319"/>
    <s v="Abu Musha"/>
    <s v="Production"/>
    <s v="Sewing Geo"/>
    <s v="Assistant Operator"/>
    <m/>
    <n v="2022"/>
    <x v="277"/>
    <d v="2022-12-09T00:00:00"/>
    <d v="1988-12-09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44"/>
    <s v="ABC Textile Ltd."/>
    <n v="9039504"/>
    <s v="Halima"/>
    <s v="Production"/>
    <s v="Sewing Geo"/>
    <s v="Assistant Operator"/>
    <m/>
    <n v="2022"/>
    <x v="278"/>
    <d v="2022-02-21T00:00:00"/>
    <d v="1988-02-21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45"/>
    <s v="ABC Textile Ltd."/>
    <n v="9144679"/>
    <s v="Rasel Hosan"/>
    <s v="Production"/>
    <s v="Sewing Geo"/>
    <s v="Assistant Operator"/>
    <m/>
    <n v="1900"/>
    <x v="244"/>
    <m/>
    <d v="1980-07-12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46"/>
    <s v="ABC Textile Ltd."/>
    <n v="9766809"/>
    <s v="Rubel Hossen"/>
    <s v="Production"/>
    <s v="Sewing Geo"/>
    <s v="Operator"/>
    <m/>
    <n v="1900"/>
    <x v="279"/>
    <m/>
    <d v="1991-05-10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347"/>
    <s v="ABC Textile Ltd."/>
    <n v="7063114"/>
    <s v="Sabina Akter"/>
    <s v="Production"/>
    <s v="Sewing Geo"/>
    <s v="Operator"/>
    <m/>
    <n v="1900"/>
    <x v="280"/>
    <m/>
    <d v="1998-01-04T00:00:00"/>
    <s v="F"/>
    <s v="Y"/>
    <s v="Worker"/>
    <n v="16064"/>
    <n v="15740"/>
    <n v="9076"/>
    <n v="4538"/>
    <n v="750"/>
    <n v="450"/>
    <n v="0"/>
    <n v="0"/>
    <n v="1250"/>
    <n v="450"/>
    <n v="0"/>
    <n v="0"/>
    <n v="0"/>
    <n v="0"/>
    <n v="324"/>
    <n v="0"/>
    <n v="0"/>
    <n v="0"/>
    <n v="0"/>
    <n v="15740"/>
    <n v="15740"/>
    <n v="0"/>
  </r>
  <r>
    <n v="348"/>
    <s v="ABC Textile Ltd."/>
    <n v="5161411"/>
    <s v="Akter"/>
    <s v="Production"/>
    <s v="Sewing Geo"/>
    <s v="Assistant"/>
    <m/>
    <n v="1900"/>
    <x v="281"/>
    <m/>
    <d v="1986-01-01T00:00:00"/>
    <s v="F"/>
    <s v="Y"/>
    <s v="Worker"/>
    <n v="13568"/>
    <n v="13303"/>
    <n v="7412"/>
    <n v="3706"/>
    <n v="750"/>
    <n v="450"/>
    <n v="0"/>
    <n v="0"/>
    <n v="1250"/>
    <n v="450"/>
    <n v="0"/>
    <n v="0"/>
    <n v="0"/>
    <n v="0"/>
    <n v="265"/>
    <n v="0"/>
    <n v="0"/>
    <n v="0"/>
    <n v="0"/>
    <n v="13303"/>
    <n v="13303"/>
    <n v="0"/>
  </r>
  <r>
    <n v="349"/>
    <s v="ABC Textile Ltd."/>
    <n v="5272564"/>
    <s v="Roksena Begum"/>
    <s v="Production"/>
    <s v="Sewing Geo"/>
    <s v="Assistant"/>
    <m/>
    <n v="1900"/>
    <x v="282"/>
    <m/>
    <d v="1976-05-10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50"/>
    <s v="ABC Textile Ltd."/>
    <n v="6137085"/>
    <s v="Mazeda Begum"/>
    <s v="Production"/>
    <s v="Sewing Geo"/>
    <s v="Assistant"/>
    <m/>
    <n v="1900"/>
    <x v="283"/>
    <m/>
    <d v="1990-05-06T00:00:00"/>
    <s v="F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351"/>
    <s v="ABC Textile Ltd."/>
    <n v="9313009"/>
    <s v="Akter"/>
    <s v="Production"/>
    <s v="Sewing Geo"/>
    <s v="Assistant"/>
    <m/>
    <n v="1900"/>
    <x v="284"/>
    <m/>
    <d v="1998-05-10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52"/>
    <s v="ABC Textile Ltd."/>
    <n v="8358227"/>
    <s v="Akter"/>
    <s v="Production"/>
    <s v="Sewing Geo"/>
    <s v="Assistant"/>
    <m/>
    <n v="1900"/>
    <x v="284"/>
    <m/>
    <d v="1983-04-15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53"/>
    <s v="ABC Textile Ltd."/>
    <n v="8814781"/>
    <s v="Minara"/>
    <s v="Production"/>
    <s v="Sewing Geo"/>
    <s v="Assistant"/>
    <m/>
    <n v="2022"/>
    <x v="165"/>
    <d v="2022-05-03T00:00:00"/>
    <d v="1988-05-03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54"/>
    <s v="ABC Textile Ltd."/>
    <n v="7598891"/>
    <s v="Begum"/>
    <s v="Production"/>
    <s v="Sewing Geo"/>
    <s v="Sewing Machine Operator"/>
    <m/>
    <n v="1900"/>
    <x v="285"/>
    <m/>
    <d v="1982-05-12T00:00:00"/>
    <s v="F"/>
    <s v="Y"/>
    <s v="Worker"/>
    <n v="16070"/>
    <n v="16070"/>
    <n v="9080"/>
    <n v="4540"/>
    <n v="750"/>
    <n v="450"/>
    <n v="0"/>
    <n v="0"/>
    <n v="1250"/>
    <n v="450"/>
    <n v="0"/>
    <n v="0"/>
    <n v="0"/>
    <n v="0"/>
    <n v="0"/>
    <n v="0"/>
    <n v="0"/>
    <n v="0"/>
    <n v="0"/>
    <n v="16070"/>
    <n v="16070"/>
    <n v="0"/>
  </r>
  <r>
    <n v="355"/>
    <s v="ABC Textile Ltd."/>
    <n v="7710744"/>
    <s v="Amena Begum"/>
    <s v="Production"/>
    <s v="Sewing Geo"/>
    <s v="Sewing Machine Operator"/>
    <m/>
    <n v="1900"/>
    <x v="286"/>
    <m/>
    <d v="1984-10-22T00:00:00"/>
    <s v="F"/>
    <s v="Y"/>
    <s v="Worker"/>
    <n v="16519"/>
    <n v="16519"/>
    <n v="9379"/>
    <n v="4690"/>
    <n v="750"/>
    <n v="450"/>
    <n v="0"/>
    <n v="0"/>
    <n v="1250"/>
    <n v="450"/>
    <n v="0"/>
    <n v="0"/>
    <n v="0"/>
    <n v="0"/>
    <n v="0"/>
    <n v="0"/>
    <n v="0"/>
    <n v="0"/>
    <n v="0"/>
    <n v="16519"/>
    <n v="16519"/>
    <n v="0"/>
  </r>
  <r>
    <n v="356"/>
    <s v="ABC Textile Ltd."/>
    <n v="6899813"/>
    <s v="Hanefur Rahman"/>
    <s v="Production"/>
    <s v="Sewing Geo"/>
    <s v="Assistant Sewing Machine Operator"/>
    <m/>
    <n v="1900"/>
    <x v="218"/>
    <m/>
    <d v="1985-06-08T00:00:00"/>
    <s v="F"/>
    <s v="Y"/>
    <s v="Worker"/>
    <n v="13568"/>
    <n v="13568"/>
    <n v="7412"/>
    <n v="3706"/>
    <n v="750"/>
    <n v="450"/>
    <n v="0"/>
    <n v="0"/>
    <n v="1250"/>
    <n v="450"/>
    <n v="250"/>
    <n v="0"/>
    <n v="0"/>
    <n v="0"/>
    <n v="0"/>
    <n v="0"/>
    <n v="0"/>
    <n v="0"/>
    <n v="0"/>
    <n v="13818"/>
    <n v="13818"/>
    <n v="0"/>
  </r>
  <r>
    <n v="357"/>
    <s v="ABC Textile Ltd."/>
    <n v="9741733"/>
    <s v="Kalam Mia"/>
    <s v="Production"/>
    <s v="Sewing Geo"/>
    <s v="Assistant Sewing Machine Operator"/>
    <m/>
    <n v="1900"/>
    <x v="287"/>
    <m/>
    <d v="1979-10-08T00:00:00"/>
    <s v="F"/>
    <s v="Y"/>
    <s v="Worker"/>
    <n v="13568"/>
    <n v="13568"/>
    <n v="7412"/>
    <n v="3706"/>
    <n v="750"/>
    <n v="450"/>
    <n v="0"/>
    <n v="0"/>
    <n v="1250"/>
    <n v="450"/>
    <n v="250"/>
    <n v="0"/>
    <n v="0"/>
    <n v="0"/>
    <n v="0"/>
    <n v="0"/>
    <n v="0"/>
    <n v="0"/>
    <n v="0"/>
    <n v="13818"/>
    <n v="13818"/>
    <n v="0"/>
  </r>
  <r>
    <n v="358"/>
    <s v="ABC Textile Ltd."/>
    <n v="8731400"/>
    <s v="Homaun Kabir"/>
    <s v="Production"/>
    <s v="Sewing Geo"/>
    <s v="Assistant Sewing Machine Operator"/>
    <m/>
    <n v="1900"/>
    <x v="288"/>
    <m/>
    <d v="1989-11-21T00:00:00"/>
    <s v="F"/>
    <s v="Y"/>
    <s v="Worker"/>
    <n v="13568"/>
    <n v="13568"/>
    <n v="7412"/>
    <n v="3706"/>
    <n v="750"/>
    <n v="450"/>
    <n v="0"/>
    <n v="0"/>
    <n v="1250"/>
    <n v="450"/>
    <n v="250"/>
    <n v="0"/>
    <n v="0"/>
    <n v="0"/>
    <n v="0"/>
    <n v="0"/>
    <n v="0"/>
    <n v="0"/>
    <n v="0"/>
    <n v="13818"/>
    <n v="13818"/>
    <n v="0"/>
  </r>
  <r>
    <n v="359"/>
    <s v="ABC Textile Ltd."/>
    <n v="8172660"/>
    <s v="Forhad Hosan"/>
    <s v="Production"/>
    <s v="Sewing Geo"/>
    <s v="Cutter Man"/>
    <m/>
    <n v="1900"/>
    <x v="289"/>
    <m/>
    <d v="1986-01-01T00:00:00"/>
    <s v="F"/>
    <s v="Y"/>
    <s v="Worker"/>
    <n v="17261"/>
    <n v="15850"/>
    <n v="9874"/>
    <n v="4937"/>
    <n v="750"/>
    <n v="450"/>
    <n v="0"/>
    <n v="0"/>
    <n v="1250"/>
    <n v="450"/>
    <n v="0"/>
    <n v="0"/>
    <n v="0"/>
    <n v="0"/>
    <n v="1411"/>
    <n v="0"/>
    <n v="0"/>
    <n v="0"/>
    <n v="0"/>
    <n v="15850"/>
    <n v="15850"/>
    <n v="0"/>
  </r>
  <r>
    <n v="360"/>
    <s v="ABC Textile Ltd."/>
    <n v="6911676"/>
    <s v="Jony Biswas"/>
    <s v="Production"/>
    <s v="Sewing Geo"/>
    <s v="Junior Operator"/>
    <m/>
    <n v="2022"/>
    <x v="286"/>
    <d v="2022-01-12T00:00:00"/>
    <d v="1977-01-12T00:00:00"/>
    <s v="F"/>
    <s v="Y"/>
    <s v="Worker"/>
    <n v="17204"/>
    <n v="17204"/>
    <n v="9836"/>
    <n v="4918"/>
    <n v="750"/>
    <n v="450"/>
    <n v="0"/>
    <n v="0"/>
    <n v="1250"/>
    <n v="450"/>
    <n v="350"/>
    <n v="0"/>
    <n v="0"/>
    <n v="0"/>
    <n v="0"/>
    <n v="0"/>
    <n v="0"/>
    <n v="0"/>
    <n v="0"/>
    <n v="17554"/>
    <n v="17554"/>
    <n v="0"/>
  </r>
  <r>
    <n v="361"/>
    <s v="ABC Textile Ltd."/>
    <n v="5832927"/>
    <s v="Rahman"/>
    <s v="Production"/>
    <s v="Sewing Geo"/>
    <s v="Assistant Sewing Machine Operator"/>
    <m/>
    <n v="1900"/>
    <x v="288"/>
    <m/>
    <d v="1987-07-20T00:00:00"/>
    <s v="F"/>
    <s v="Y"/>
    <s v="Worker"/>
    <n v="13568"/>
    <n v="13568"/>
    <n v="7412"/>
    <n v="3706"/>
    <n v="750"/>
    <n v="450"/>
    <n v="0"/>
    <n v="0"/>
    <n v="1250"/>
    <n v="450"/>
    <n v="250"/>
    <n v="0"/>
    <n v="0"/>
    <n v="0"/>
    <n v="0"/>
    <n v="0"/>
    <n v="0"/>
    <n v="0"/>
    <n v="0"/>
    <n v="13818"/>
    <n v="13818"/>
    <n v="0"/>
  </r>
  <r>
    <n v="362"/>
    <s v="ABC Textile Ltd."/>
    <n v="9462467"/>
    <s v="Hafijul Islam"/>
    <s v="Production"/>
    <s v="Sewing Geo"/>
    <s v="Junior Sewing Machine Operator"/>
    <m/>
    <n v="2022"/>
    <x v="288"/>
    <d v="2022-01-01T00:00:00"/>
    <d v="1977-01-01T00:00:00"/>
    <s v="F"/>
    <s v="Y"/>
    <s v="Worker"/>
    <n v="14549"/>
    <n v="14281"/>
    <n v="8066"/>
    <n v="4033"/>
    <n v="750"/>
    <n v="450"/>
    <n v="0"/>
    <n v="0"/>
    <n v="1250"/>
    <n v="450"/>
    <n v="350"/>
    <n v="0"/>
    <n v="-268"/>
    <n v="0"/>
    <n v="0"/>
    <n v="0"/>
    <n v="0"/>
    <n v="0"/>
    <n v="0"/>
    <n v="15167"/>
    <n v="14631"/>
    <n v="0"/>
  </r>
  <r>
    <n v="363"/>
    <s v="ABC Textile Ltd."/>
    <n v="6834000"/>
    <s v="Ali"/>
    <s v="Production"/>
    <s v="Sewing Geo"/>
    <s v="Assistant Operator"/>
    <m/>
    <n v="1900"/>
    <x v="288"/>
    <m/>
    <d v="1987-05-17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64"/>
    <s v="ABC Textile Ltd."/>
    <n v="6340218"/>
    <s v="Mojno Mia"/>
    <s v="Production"/>
    <s v="Sewing Geo"/>
    <s v="Assistant Sewing Machine Operator"/>
    <m/>
    <n v="1900"/>
    <x v="290"/>
    <m/>
    <d v="1985-03-02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65"/>
    <s v="ABC Textile Ltd."/>
    <n v="8061188"/>
    <s v="Shoficul islam"/>
    <s v="Production"/>
    <s v="Sewing Geo"/>
    <s v="Assistant Sewing Machine Operator"/>
    <m/>
    <n v="1900"/>
    <x v="244"/>
    <m/>
    <d v="1983-02-12T00:00:00"/>
    <s v="F"/>
    <s v="Y"/>
    <s v="Worker"/>
    <n v="13568"/>
    <n v="13568"/>
    <n v="7412"/>
    <n v="3706"/>
    <n v="750"/>
    <n v="450"/>
    <n v="0"/>
    <n v="0"/>
    <n v="1250"/>
    <n v="450"/>
    <n v="0"/>
    <n v="0"/>
    <n v="0"/>
    <n v="0"/>
    <n v="0"/>
    <n v="0"/>
    <n v="0"/>
    <n v="0"/>
    <n v="0"/>
    <n v="13568"/>
    <n v="13568"/>
    <n v="0"/>
  </r>
  <r>
    <n v="366"/>
    <s v="ABC Textile Ltd."/>
    <n v="5398273"/>
    <s v="Tonmoy"/>
    <s v="Production"/>
    <s v="Sewing Geo"/>
    <s v="Assistant Sewing Machine Operator"/>
    <m/>
    <n v="1900"/>
    <x v="18"/>
    <m/>
    <d v="1983-09-07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67"/>
    <s v="ABC Textile Ltd."/>
    <n v="8731571"/>
    <s v="Khorshed"/>
    <s v="Production"/>
    <s v="Sewing Geo"/>
    <s v="Assistant Sewing Machine Operator"/>
    <m/>
    <n v="1900"/>
    <x v="291"/>
    <m/>
    <d v="1982-07-07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68"/>
    <s v="ABC Textile Ltd."/>
    <n v="6492681"/>
    <s v="Basir Uddin"/>
    <s v="Production"/>
    <s v="Sewing Geo"/>
    <s v="Assistant Sewing Machine Operator"/>
    <m/>
    <n v="1900"/>
    <x v="292"/>
    <m/>
    <d v="2018-04-03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69"/>
    <s v="ABC Textile Ltd."/>
    <n v="6771091"/>
    <s v="Amir Hossain"/>
    <s v="Production"/>
    <s v="Sewing Geo"/>
    <s v="Assistant Sewing Machine Operator"/>
    <m/>
    <n v="1900"/>
    <x v="293"/>
    <m/>
    <d v="1991-12-10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70"/>
    <s v="ABC Textile Ltd."/>
    <n v="6240928"/>
    <s v="Shoriful Islam"/>
    <s v="Production"/>
    <s v="Sewing Geo"/>
    <s v="Assistant Sewing Machine Operator"/>
    <m/>
    <n v="2022"/>
    <x v="294"/>
    <d v="2022-03-12T00:00:00"/>
    <d v="1988-03-12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71"/>
    <s v="ABC Textile Ltd."/>
    <n v="7755368"/>
    <s v="Ripon Miah"/>
    <s v="Production"/>
    <s v="Sewing Geo"/>
    <s v="Assistant Sewing Machine Operator"/>
    <m/>
    <n v="1900"/>
    <x v="295"/>
    <m/>
    <d v="1991-04-07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72"/>
    <s v="ABC Textile Ltd."/>
    <n v="6407047"/>
    <s v="Mijanur"/>
    <s v="Production"/>
    <s v="Sewing Geo"/>
    <s v="Assistant Sewing Machine Operator"/>
    <m/>
    <n v="1900"/>
    <x v="296"/>
    <m/>
    <d v="1987-04-18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73"/>
    <s v="ABC Textile Ltd."/>
    <n v="8974867"/>
    <s v="Mosharof Hossain"/>
    <s v="Production"/>
    <s v="Sewing Geo"/>
    <s v="Assistant Sewing Machine Operator"/>
    <m/>
    <n v="1900"/>
    <x v="220"/>
    <m/>
    <d v="1990-06-16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74"/>
    <s v="ABC Textile Ltd."/>
    <n v="6522093"/>
    <s v="Nurul Islam"/>
    <s v="Production"/>
    <s v="Sewing Geo"/>
    <s v="Assistant Sewing Machine Operator"/>
    <m/>
    <n v="1900"/>
    <x v="220"/>
    <m/>
    <d v="1997-08-02T00:00:00"/>
    <s v="F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375"/>
    <s v="ABC Textile Ltd."/>
    <n v="5782708"/>
    <s v="Das"/>
    <s v="Production"/>
    <s v="Sewing Geo"/>
    <s v="Assistant Sewing Machine Operator"/>
    <m/>
    <n v="1900"/>
    <x v="228"/>
    <m/>
    <d v="2000-01-01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76"/>
    <s v="ABC Textile Ltd."/>
    <n v="6065301"/>
    <s v="Alam Mia"/>
    <s v="Production"/>
    <s v="Sewing Geo"/>
    <s v="Operator"/>
    <m/>
    <n v="1900"/>
    <x v="297"/>
    <m/>
    <d v="1976-10-11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377"/>
    <s v="ABC Textile Ltd."/>
    <n v="7065971"/>
    <s v="Mizanur Rahman"/>
    <s v="Production"/>
    <s v="Sewing Geo"/>
    <s v="Assistant"/>
    <m/>
    <n v="1900"/>
    <x v="298"/>
    <m/>
    <d v="1991-08-05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78"/>
    <s v="ABC Textile Ltd."/>
    <n v="9904816"/>
    <s v="Mia"/>
    <s v="Production"/>
    <s v="Sewing Geo"/>
    <s v="Assistant"/>
    <m/>
    <n v="1900"/>
    <x v="12"/>
    <m/>
    <d v="1986-01-01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379"/>
    <s v="ABC Textile Ltd."/>
    <n v="9632013"/>
    <s v="Manik"/>
    <s v="Production"/>
    <s v="Sewing Geo"/>
    <s v="Assistant Operator"/>
    <m/>
    <n v="1900"/>
    <x v="293"/>
    <m/>
    <d v="1986-06-04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80"/>
    <s v="ABC Textile Ltd."/>
    <n v="7248481"/>
    <s v="Shahin Allom Shanto"/>
    <s v="Production"/>
    <s v="Sewing Geo"/>
    <s v="Lay Women"/>
    <m/>
    <n v="1900"/>
    <x v="299"/>
    <m/>
    <d v="1989-05-03T00:00:00"/>
    <s v="F"/>
    <s v="Y"/>
    <s v="Worker"/>
    <n v="16524"/>
    <n v="16524"/>
    <n v="9383"/>
    <n v="4691"/>
    <n v="750"/>
    <n v="450"/>
    <n v="0"/>
    <n v="0"/>
    <n v="1250"/>
    <n v="450"/>
    <n v="350"/>
    <n v="0"/>
    <n v="0"/>
    <n v="0"/>
    <n v="0"/>
    <n v="0"/>
    <n v="0"/>
    <n v="0"/>
    <n v="0"/>
    <n v="16874"/>
    <n v="16874"/>
    <n v="0"/>
  </r>
  <r>
    <n v="381"/>
    <s v="ABC Textile Ltd."/>
    <n v="7160060"/>
    <s v="Moinul Hoque"/>
    <s v="Production"/>
    <s v="Sewing Geo"/>
    <s v="Operator"/>
    <m/>
    <n v="1900"/>
    <x v="300"/>
    <m/>
    <d v="1985-02-18T00:00:00"/>
    <s v="F"/>
    <s v="Y"/>
    <s v="Worker"/>
    <n v="16519"/>
    <n v="16519"/>
    <n v="9379"/>
    <n v="4690"/>
    <n v="750"/>
    <n v="450"/>
    <n v="0"/>
    <n v="0"/>
    <n v="1250"/>
    <n v="450"/>
    <n v="350"/>
    <n v="0"/>
    <n v="0"/>
    <n v="0"/>
    <n v="0"/>
    <n v="0"/>
    <n v="0"/>
    <n v="0"/>
    <n v="0"/>
    <n v="16869"/>
    <n v="16869"/>
    <n v="0"/>
  </r>
  <r>
    <n v="382"/>
    <s v="ABC Textile Ltd."/>
    <n v="6227794"/>
    <s v="Rafiqul Islam"/>
    <s v="Production"/>
    <s v="Sewing Geo"/>
    <s v="Assistant Sewing Machine Operator"/>
    <m/>
    <n v="1900"/>
    <x v="301"/>
    <m/>
    <d v="1990-03-20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83"/>
    <s v="ABC Textile Ltd."/>
    <n v="5337770"/>
    <s v="Arshad Ali"/>
    <s v="Production"/>
    <s v="Sewing Geo"/>
    <s v="Assistant Sewing Machine Operator"/>
    <m/>
    <n v="1900"/>
    <x v="244"/>
    <m/>
    <d v="1994-03-15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84"/>
    <s v="ABC Textile Ltd."/>
    <n v="7155119"/>
    <s v="Abdul Kader"/>
    <s v="Production"/>
    <s v="Sewing Geo"/>
    <s v="Assistant Sewing Machine Operator"/>
    <m/>
    <n v="1900"/>
    <x v="302"/>
    <m/>
    <d v="1985-06-17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85"/>
    <s v="ABC Textile Ltd."/>
    <n v="8168486"/>
    <s v="Abdur Rahim"/>
    <s v="Production"/>
    <s v="Sewing Geo"/>
    <s v="Assistant Sewing Machine Operator"/>
    <m/>
    <n v="2022"/>
    <x v="56"/>
    <d v="2022-01-01T00:00:00"/>
    <d v="1981-10-10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86"/>
    <s v="ABC Textile Ltd."/>
    <n v="5122509"/>
    <s v="Abid Hasan"/>
    <s v="Production"/>
    <s v="Sewing Geo"/>
    <s v="Assistant Sewing Machine Operator"/>
    <m/>
    <n v="1900"/>
    <x v="303"/>
    <m/>
    <d v="1983-01-13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87"/>
    <s v="ABC Textile Ltd."/>
    <n v="7699004"/>
    <s v="Afzal"/>
    <s v="Production"/>
    <s v="Sewing Geo"/>
    <s v="Sewing Machine Operator"/>
    <m/>
    <n v="1900"/>
    <x v="304"/>
    <m/>
    <d v="1980-05-15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388"/>
    <s v="ABC Textile Ltd."/>
    <n v="5304355"/>
    <s v="Akib"/>
    <s v="Production"/>
    <s v="Sewing Geo"/>
    <s v="Assistant Sewing Machine Operator"/>
    <m/>
    <n v="1900"/>
    <x v="305"/>
    <m/>
    <d v="1972-02-05T00:00:00"/>
    <s v="F"/>
    <s v="Y"/>
    <s v="Worker"/>
    <n v="16424"/>
    <n v="16424"/>
    <n v="9316"/>
    <n v="4658"/>
    <n v="750"/>
    <n v="450"/>
    <n v="0"/>
    <n v="0"/>
    <n v="1250"/>
    <n v="450"/>
    <n v="0"/>
    <n v="0"/>
    <n v="0"/>
    <n v="0"/>
    <n v="0"/>
    <n v="0"/>
    <n v="0"/>
    <n v="0"/>
    <n v="0"/>
    <n v="16424"/>
    <n v="16424"/>
    <n v="0"/>
  </r>
  <r>
    <n v="389"/>
    <s v="ABC Textile Ltd."/>
    <n v="8624132"/>
    <s v="Alim"/>
    <s v="Production"/>
    <s v="Sewing Geo"/>
    <s v="Assistant Sewing Machine Operator"/>
    <m/>
    <n v="2020"/>
    <x v="306"/>
    <d v="2020-02-11T00:00:00"/>
    <d v="1988-02-11T00:00:00"/>
    <s v="F"/>
    <s v="Y"/>
    <s v="Worker"/>
    <n v="15659"/>
    <n v="15659"/>
    <n v="8806"/>
    <n v="4403"/>
    <n v="750"/>
    <n v="450"/>
    <n v="0"/>
    <n v="0"/>
    <n v="1250"/>
    <n v="450"/>
    <n v="350"/>
    <n v="0"/>
    <n v="0"/>
    <n v="0"/>
    <n v="0"/>
    <n v="0"/>
    <n v="0"/>
    <n v="0"/>
    <n v="0"/>
    <n v="16009"/>
    <n v="16009"/>
    <n v="0"/>
  </r>
  <r>
    <n v="390"/>
    <s v="ABC Textile Ltd."/>
    <n v="6353320"/>
    <s v="Anowar"/>
    <s v="Production"/>
    <s v="Sewing Geo"/>
    <s v="Operator"/>
    <m/>
    <n v="2020"/>
    <x v="307"/>
    <d v="2020-10-19T00:00:00"/>
    <d v="1988-10-19T00:00:00"/>
    <s v="F"/>
    <s v="Y"/>
    <s v="Worker"/>
    <n v="15337"/>
    <n v="15337"/>
    <n v="8591"/>
    <n v="4296"/>
    <n v="750"/>
    <n v="450"/>
    <n v="0"/>
    <n v="0"/>
    <n v="1250"/>
    <n v="450"/>
    <n v="0"/>
    <n v="0"/>
    <n v="0"/>
    <n v="0"/>
    <n v="0"/>
    <n v="0"/>
    <n v="0"/>
    <n v="0"/>
    <n v="0"/>
    <n v="15337"/>
    <n v="15337"/>
    <n v="0"/>
  </r>
  <r>
    <n v="391"/>
    <s v="ABC Textile Ltd."/>
    <n v="5689681"/>
    <s v="Anwarul"/>
    <s v="Production"/>
    <s v="Sewing Geo"/>
    <s v="Cleaner"/>
    <m/>
    <n v="1900"/>
    <x v="308"/>
    <m/>
    <d v="1984-03-07T00:00:00"/>
    <s v="F"/>
    <s v="Y"/>
    <s v="Worker"/>
    <n v="13949"/>
    <n v="13949"/>
    <n v="7666"/>
    <n v="3833"/>
    <n v="750"/>
    <n v="450"/>
    <n v="0"/>
    <n v="0"/>
    <n v="1250"/>
    <n v="450"/>
    <n v="350"/>
    <n v="0"/>
    <n v="0"/>
    <n v="0"/>
    <n v="0"/>
    <n v="0"/>
    <n v="0"/>
    <n v="0"/>
    <n v="0"/>
    <n v="14299"/>
    <n v="14299"/>
    <n v="0"/>
  </r>
  <r>
    <n v="392"/>
    <s v="ABC Textile Ltd."/>
    <n v="7038834"/>
    <s v="Ariful"/>
    <s v="Production"/>
    <s v="Sewing Geo"/>
    <s v="Operator"/>
    <m/>
    <n v="1900"/>
    <x v="309"/>
    <m/>
    <d v="1979-05-12T00:00:00"/>
    <s v="F"/>
    <s v="Y"/>
    <s v="Worker"/>
    <n v="17600"/>
    <n v="17600"/>
    <n v="10100"/>
    <n v="5050"/>
    <n v="750"/>
    <n v="450"/>
    <n v="0"/>
    <n v="0"/>
    <n v="1250"/>
    <n v="450"/>
    <n v="350"/>
    <n v="0"/>
    <n v="0"/>
    <n v="0"/>
    <n v="0"/>
    <n v="0"/>
    <n v="0"/>
    <n v="0"/>
    <n v="0"/>
    <n v="17950"/>
    <n v="17950"/>
    <n v="0"/>
  </r>
  <r>
    <n v="393"/>
    <s v="ABC Textile Ltd."/>
    <n v="7977461"/>
    <s v="Ashik"/>
    <s v="Production"/>
    <s v="Sewing Geo"/>
    <s v="Cleaner"/>
    <m/>
    <n v="1900"/>
    <x v="211"/>
    <m/>
    <d v="1981-05-08T00:00:00"/>
    <s v="F"/>
    <s v="Y"/>
    <s v="Worker"/>
    <n v="13841"/>
    <n v="13841"/>
    <n v="7594"/>
    <n v="3797"/>
    <n v="750"/>
    <n v="450"/>
    <n v="0"/>
    <n v="0"/>
    <n v="1250"/>
    <n v="450"/>
    <n v="350"/>
    <n v="0"/>
    <n v="0"/>
    <n v="0"/>
    <n v="0"/>
    <n v="0"/>
    <n v="0"/>
    <n v="0"/>
    <n v="0"/>
    <n v="14191"/>
    <n v="14191"/>
    <n v="0"/>
  </r>
  <r>
    <n v="394"/>
    <s v="ABC Textile Ltd."/>
    <n v="6327717"/>
    <s v="Ataur"/>
    <s v="Production"/>
    <s v="Sewing Geo"/>
    <s v="Assistant Sewing Machine Operator"/>
    <m/>
    <n v="1900"/>
    <x v="310"/>
    <m/>
    <d v="1980-09-06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95"/>
    <s v="ABC Textile Ltd."/>
    <n v="7682163"/>
    <s v="Azharul"/>
    <s v="Production"/>
    <s v="Sewing Geo"/>
    <s v="Assistant Sewing Machine Operator"/>
    <m/>
    <n v="1900"/>
    <x v="311"/>
    <m/>
    <d v="1994-02-05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96"/>
    <s v="ABC Textile Ltd."/>
    <n v="7456673"/>
    <s v="Babul"/>
    <s v="Production"/>
    <s v="Sewing Geo"/>
    <s v="Assistant Operator"/>
    <m/>
    <n v="1900"/>
    <x v="312"/>
    <m/>
    <d v="1972-05-05T00:00:00"/>
    <s v="F"/>
    <s v="Y"/>
    <s v="Worker"/>
    <n v="15895"/>
    <n v="15895"/>
    <n v="8963"/>
    <n v="4482"/>
    <n v="750"/>
    <n v="450"/>
    <n v="0"/>
    <n v="0"/>
    <n v="1250"/>
    <n v="450"/>
    <n v="0"/>
    <n v="0"/>
    <n v="0"/>
    <n v="0"/>
    <n v="0"/>
    <n v="0"/>
    <n v="0"/>
    <n v="0"/>
    <n v="0"/>
    <n v="15895"/>
    <n v="15895"/>
    <n v="0"/>
  </r>
  <r>
    <n v="397"/>
    <s v="ABC Textile Ltd."/>
    <n v="7735903"/>
    <s v="Bakhtiar"/>
    <s v="Production"/>
    <s v="Sewing Geo"/>
    <s v="Assistant Operator"/>
    <m/>
    <n v="1900"/>
    <x v="313"/>
    <m/>
    <d v="1980-02-18T00:00:00"/>
    <s v="F"/>
    <s v="Y"/>
    <s v="Worker"/>
    <n v="15188"/>
    <n v="15188"/>
    <n v="8492"/>
    <n v="4246"/>
    <n v="750"/>
    <n v="450"/>
    <n v="0"/>
    <n v="0"/>
    <n v="1250"/>
    <n v="450"/>
    <n v="350"/>
    <n v="0"/>
    <n v="0"/>
    <n v="0"/>
    <n v="0"/>
    <n v="0"/>
    <n v="0"/>
    <n v="0"/>
    <n v="0"/>
    <n v="15538"/>
    <n v="15538"/>
    <n v="0"/>
  </r>
  <r>
    <n v="398"/>
    <s v="ABC Textile Ltd."/>
    <n v="7705886"/>
    <s v="Bappi"/>
    <s v="Production"/>
    <s v="Sewing Geo"/>
    <s v="Assistant Operator"/>
    <m/>
    <n v="1900"/>
    <x v="314"/>
    <m/>
    <d v="1980-10-17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399"/>
    <s v="ABC Textile Ltd."/>
    <n v="6026661"/>
    <s v="Delwar"/>
    <s v="Production"/>
    <s v="Sewing Geo"/>
    <s v="Assistant Operator"/>
    <m/>
    <n v="1900"/>
    <x v="315"/>
    <m/>
    <d v="1971-11-12T00:00:00"/>
    <s v="F"/>
    <s v="Y"/>
    <s v="Worker"/>
    <n v="14996"/>
    <n v="14996"/>
    <n v="8364"/>
    <n v="4182"/>
    <n v="750"/>
    <n v="450"/>
    <n v="0"/>
    <n v="0"/>
    <n v="1250"/>
    <n v="450"/>
    <n v="350"/>
    <n v="0"/>
    <n v="0"/>
    <n v="0"/>
    <n v="0"/>
    <n v="0"/>
    <n v="0"/>
    <n v="0"/>
    <n v="0"/>
    <n v="15346"/>
    <n v="15346"/>
    <n v="0"/>
  </r>
  <r>
    <n v="400"/>
    <s v="ABC Textile Ltd."/>
    <n v="5763687"/>
    <s v="Ekramul"/>
    <s v="Production"/>
    <s v="Sewing Geo"/>
    <s v="Assistant Operator"/>
    <m/>
    <n v="2020"/>
    <x v="316"/>
    <d v="2020-01-01T00:00:00"/>
    <d v="1977-01-01T00:00:00"/>
    <s v="F"/>
    <s v="Y"/>
    <s v="Worker"/>
    <n v="13568"/>
    <n v="12244"/>
    <n v="7412"/>
    <n v="3706"/>
    <n v="750"/>
    <n v="450"/>
    <n v="0"/>
    <n v="0"/>
    <n v="1250"/>
    <n v="450"/>
    <n v="0"/>
    <n v="0"/>
    <n v="0"/>
    <n v="0"/>
    <n v="1324"/>
    <n v="0"/>
    <n v="0"/>
    <n v="0"/>
    <n v="0"/>
    <n v="12244"/>
    <n v="12244"/>
    <n v="0"/>
  </r>
  <r>
    <n v="401"/>
    <s v="ABC Textile Ltd."/>
    <n v="8400628"/>
    <s v="Emran"/>
    <s v="Production"/>
    <s v="Sewing Geo"/>
    <s v="Assistant Operator"/>
    <m/>
    <n v="1900"/>
    <x v="317"/>
    <m/>
    <d v="1983-01-03T00:00:00"/>
    <s v="F"/>
    <s v="Y"/>
    <s v="Worker"/>
    <n v="14315"/>
    <n v="14315"/>
    <n v="7910"/>
    <n v="3955"/>
    <n v="750"/>
    <n v="450"/>
    <n v="0"/>
    <n v="0"/>
    <n v="1250"/>
    <n v="450"/>
    <n v="350"/>
    <n v="0"/>
    <n v="0"/>
    <n v="0"/>
    <n v="0"/>
    <n v="0"/>
    <n v="0"/>
    <n v="0"/>
    <n v="0"/>
    <n v="14665"/>
    <n v="14665"/>
    <n v="0"/>
  </r>
  <r>
    <n v="402"/>
    <s v="ABC Textile Ltd."/>
    <n v="5344504"/>
    <s v="Ershad"/>
    <s v="Production"/>
    <s v="Sewing Geo"/>
    <s v="Assistant Operator"/>
    <m/>
    <n v="1900"/>
    <x v="318"/>
    <m/>
    <d v="1984-06-01T00:00:00"/>
    <s v="F"/>
    <s v="Y"/>
    <s v="Worker"/>
    <n v="13568"/>
    <n v="13568"/>
    <n v="7412"/>
    <n v="3706"/>
    <n v="750"/>
    <n v="450"/>
    <n v="0"/>
    <n v="0"/>
    <n v="1250"/>
    <n v="450"/>
    <n v="0"/>
    <n v="0"/>
    <n v="0"/>
    <n v="0"/>
    <n v="0"/>
    <n v="0"/>
    <n v="0"/>
    <n v="0"/>
    <n v="0"/>
    <n v="13568"/>
    <n v="13568"/>
    <n v="0"/>
  </r>
  <r>
    <n v="403"/>
    <s v="ABC Textile Ltd."/>
    <n v="8689992"/>
    <s v="Fakhrul"/>
    <s v="Production"/>
    <s v="Sewing Geo"/>
    <s v="Assistant Operator"/>
    <m/>
    <n v="2020"/>
    <x v="218"/>
    <d v="2020-05-01T00:00:00"/>
    <d v="1977-05-01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404"/>
    <s v="ABC Textile Ltd."/>
    <n v="8922938"/>
    <s v="Farid"/>
    <s v="Utility &amp; Maintenance"/>
    <s v="Electrical"/>
    <s v="Armechar Assistant"/>
    <m/>
    <n v="1900"/>
    <x v="319"/>
    <m/>
    <d v="2001-05-03T00:00:00"/>
    <s v="M"/>
    <s v="Y"/>
    <s v="Worker"/>
    <n v="13405"/>
    <n v="13405"/>
    <n v="7303"/>
    <n v="3652"/>
    <n v="750"/>
    <n v="450"/>
    <n v="0"/>
    <n v="0"/>
    <n v="1250"/>
    <n v="450"/>
    <n v="250"/>
    <n v="0"/>
    <n v="0"/>
    <n v="0"/>
    <n v="0"/>
    <n v="0"/>
    <n v="0"/>
    <n v="0"/>
    <n v="0"/>
    <n v="13655"/>
    <n v="13655"/>
    <n v="0"/>
  </r>
  <r>
    <n v="405"/>
    <s v="ABC J (Bangladesh) Ltd."/>
    <n v="8062911"/>
    <s v="Golam Rabbani"/>
    <s v="Admin"/>
    <s v="House Keeping"/>
    <s v="Sweeper"/>
    <s v="9005001700037460"/>
    <n v="1900"/>
    <x v="320"/>
    <m/>
    <d v="1986-01-01T00:00:00"/>
    <s v="M"/>
    <s v="Y"/>
    <s v="Worker"/>
    <n v="13732"/>
    <n v="13463"/>
    <n v="7521"/>
    <n v="3761"/>
    <n v="750"/>
    <n v="450"/>
    <n v="0"/>
    <n v="0"/>
    <n v="1250"/>
    <n v="450"/>
    <n v="0"/>
    <n v="0"/>
    <n v="0"/>
    <n v="0"/>
    <n v="269"/>
    <n v="0"/>
    <n v="1000"/>
    <n v="0"/>
    <n v="0"/>
    <n v="12463"/>
    <n v="12463"/>
    <n v="0"/>
  </r>
  <r>
    <n v="406"/>
    <s v="ABC J (Bangladesh) Ltd."/>
    <n v="6394799"/>
    <s v="Golam Mostafa"/>
    <s v="Admin"/>
    <s v="House Keeping"/>
    <s v="Cleaner"/>
    <s v="9005001700037430"/>
    <n v="1900"/>
    <x v="321"/>
    <m/>
    <d v="1982-02-01T00:00:00"/>
    <s v="F"/>
    <s v="Y"/>
    <s v="Worker"/>
    <n v="13841"/>
    <n v="13841"/>
    <n v="7594"/>
    <n v="3797"/>
    <n v="750"/>
    <n v="450"/>
    <n v="0"/>
    <n v="0"/>
    <n v="1250"/>
    <n v="450"/>
    <n v="350"/>
    <n v="0"/>
    <n v="0"/>
    <n v="0"/>
    <n v="0"/>
    <n v="0"/>
    <n v="0"/>
    <n v="0"/>
    <n v="0"/>
    <n v="14191"/>
    <n v="14191"/>
    <n v="0"/>
  </r>
  <r>
    <n v="407"/>
    <s v="ABC J (Bangladesh) Ltd."/>
    <n v="6311360"/>
    <s v="Goutam"/>
    <s v="Admin"/>
    <s v="House Keeping"/>
    <s v="Cleaner"/>
    <s v="9005001700037430"/>
    <n v="1900"/>
    <x v="322"/>
    <m/>
    <d v="1973-01-01T00:00:00"/>
    <s v="F"/>
    <s v="Y"/>
    <s v="Worker"/>
    <n v="13841"/>
    <n v="13841"/>
    <n v="7594"/>
    <n v="3797"/>
    <n v="750"/>
    <n v="450"/>
    <n v="0"/>
    <n v="0"/>
    <n v="1250"/>
    <n v="450"/>
    <n v="350"/>
    <n v="0"/>
    <n v="0"/>
    <n v="0"/>
    <n v="0"/>
    <n v="0"/>
    <n v="0"/>
    <n v="0"/>
    <n v="0"/>
    <n v="14191"/>
    <n v="14191"/>
    <n v="0"/>
  </r>
  <r>
    <n v="408"/>
    <s v="ABC J (Bangladesh) Ltd."/>
    <n v="7472776"/>
    <s v="Harun"/>
    <s v="Admin"/>
    <s v="House Keeping"/>
    <s v="Cleaner"/>
    <s v="9005001700037460"/>
    <n v="1900"/>
    <x v="321"/>
    <m/>
    <d v="1975-01-01T00:00:00"/>
    <s v="F"/>
    <s v="Y"/>
    <s v="Worker"/>
    <n v="13841"/>
    <n v="13841"/>
    <n v="7594"/>
    <n v="3797"/>
    <n v="750"/>
    <n v="450"/>
    <n v="0"/>
    <n v="0"/>
    <n v="1250"/>
    <n v="450"/>
    <n v="350"/>
    <n v="0"/>
    <n v="0"/>
    <n v="0"/>
    <n v="0"/>
    <n v="0"/>
    <n v="0"/>
    <n v="0"/>
    <n v="0"/>
    <n v="14191"/>
    <n v="14191"/>
    <n v="0"/>
  </r>
  <r>
    <n v="409"/>
    <s v="ABC J (Bangladesh) Ltd."/>
    <n v="8756095"/>
    <s v="Helal Uddin"/>
    <s v="Admin"/>
    <s v="House Keeping"/>
    <s v="Sweeper"/>
    <s v="9005001700037450"/>
    <n v="1900"/>
    <x v="323"/>
    <m/>
    <d v="1983-12-03T00:00:00"/>
    <s v="F"/>
    <s v="Y"/>
    <s v="Worker"/>
    <n v="13841"/>
    <n v="13841"/>
    <n v="7594"/>
    <n v="3797"/>
    <n v="750"/>
    <n v="450"/>
    <n v="0"/>
    <n v="0"/>
    <n v="1250"/>
    <n v="450"/>
    <n v="0"/>
    <n v="0"/>
    <n v="0"/>
    <n v="0"/>
    <n v="0"/>
    <n v="0"/>
    <n v="0"/>
    <n v="0"/>
    <n v="0"/>
    <n v="13841"/>
    <n v="13841"/>
    <n v="0"/>
  </r>
  <r>
    <n v="410"/>
    <s v="ABC J (Bangladesh) Ltd."/>
    <n v="9620493"/>
    <s v="Ilias"/>
    <s v="Production"/>
    <s v="Cutting Export"/>
    <s v="Assistant Cutter"/>
    <s v="9005001700037470"/>
    <n v="1900"/>
    <x v="321"/>
    <m/>
    <d v="1982-02-01T00:00:00"/>
    <s v="M"/>
    <s v="Y"/>
    <s v="Worker"/>
    <n v="13622"/>
    <n v="13622"/>
    <n v="7448"/>
    <n v="3724"/>
    <n v="750"/>
    <n v="450"/>
    <n v="0"/>
    <n v="0"/>
    <n v="1250"/>
    <n v="450"/>
    <n v="0"/>
    <n v="0"/>
    <n v="0"/>
    <n v="0"/>
    <n v="0"/>
    <n v="0"/>
    <n v="0"/>
    <n v="0"/>
    <n v="0"/>
    <n v="13622"/>
    <n v="13622"/>
    <n v="0"/>
  </r>
  <r>
    <n v="411"/>
    <s v="ABC J (Bangladesh) Ltd."/>
    <n v="5574072"/>
    <s v="Jahirul"/>
    <s v="Production"/>
    <s v="Cutting Export"/>
    <s v="Assistant Cutter"/>
    <s v="9005001700037460"/>
    <n v="2020"/>
    <x v="324"/>
    <d v="2020-01-01T00:00:00"/>
    <d v="1967-01-15T00:00:00"/>
    <s v="M"/>
    <s v="Y"/>
    <s v="Worker"/>
    <n v="13622"/>
    <n v="13622"/>
    <n v="7448"/>
    <n v="3724"/>
    <n v="750"/>
    <n v="450"/>
    <n v="0"/>
    <n v="0"/>
    <n v="1250"/>
    <n v="450"/>
    <n v="350"/>
    <n v="0"/>
    <n v="0"/>
    <n v="0"/>
    <n v="0"/>
    <n v="0"/>
    <n v="0"/>
    <n v="0"/>
    <n v="0"/>
    <n v="13972"/>
    <n v="13972"/>
    <n v="0"/>
  </r>
  <r>
    <n v="412"/>
    <s v="ABC J (Bangladesh) Ltd."/>
    <n v="9901612"/>
    <s v="Kamruzzaman"/>
    <s v="Production"/>
    <s v="Cutting Export"/>
    <s v="Assistant"/>
    <s v="9005001700037380"/>
    <n v="1900"/>
    <x v="325"/>
    <m/>
    <d v="1980-08-24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413"/>
    <s v="ABC J (Bangladesh) Ltd."/>
    <n v="5413417"/>
    <s v="Khalilur"/>
    <s v="Production"/>
    <s v="Cutting Export"/>
    <s v="Junior Cutter"/>
    <s v="9005001700037460"/>
    <n v="1900"/>
    <x v="326"/>
    <m/>
    <d v="1969-01-01T00:00:00"/>
    <s v="M"/>
    <s v="Y"/>
    <s v="Worker"/>
    <n v="16544"/>
    <n v="16544"/>
    <n v="9396"/>
    <n v="4698"/>
    <n v="750"/>
    <n v="450"/>
    <n v="0"/>
    <n v="0"/>
    <n v="1250"/>
    <n v="450"/>
    <n v="250"/>
    <n v="0"/>
    <n v="0"/>
    <n v="0"/>
    <n v="0"/>
    <n v="0"/>
    <n v="0"/>
    <n v="0"/>
    <n v="0"/>
    <n v="16794"/>
    <n v="16794"/>
    <n v="0"/>
  </r>
  <r>
    <n v="414"/>
    <s v="ABC J (Bangladesh) Ltd."/>
    <n v="7839039"/>
    <s v="Kibria"/>
    <s v="Production"/>
    <s v="Finishing Export"/>
    <s v="Assistant Bundle Man"/>
    <m/>
    <n v="2020"/>
    <x v="209"/>
    <d v="2020-01-01T00:00:00"/>
    <d v="1986-01-01T00:00:00"/>
    <s v="M"/>
    <s v="Y"/>
    <s v="Worker"/>
    <n v="13514"/>
    <n v="13514"/>
    <n v="7376"/>
    <n v="3688"/>
    <n v="750"/>
    <n v="450"/>
    <n v="0"/>
    <n v="0"/>
    <n v="1250"/>
    <n v="450"/>
    <n v="350"/>
    <n v="0"/>
    <n v="0"/>
    <n v="0"/>
    <n v="0"/>
    <n v="0"/>
    <n v="0"/>
    <n v="0"/>
    <n v="0"/>
    <n v="13864"/>
    <n v="13864"/>
    <n v="0"/>
  </r>
  <r>
    <n v="415"/>
    <s v="ABC J (Bangladesh) Ltd."/>
    <n v="6905669"/>
    <s v="Lutfar Rahman"/>
    <s v="Production"/>
    <s v="Finishing Export"/>
    <s v="Packing Man"/>
    <s v="9005001700037450"/>
    <n v="1900"/>
    <x v="327"/>
    <m/>
    <d v="1982-01-02T00:00:00"/>
    <s v="M"/>
    <s v="Y"/>
    <s v="Worker"/>
    <n v="17073"/>
    <n v="13073"/>
    <n v="9749"/>
    <n v="4874"/>
    <n v="750"/>
    <n v="450"/>
    <n v="0"/>
    <n v="0"/>
    <n v="1250"/>
    <n v="450"/>
    <n v="250"/>
    <n v="0"/>
    <n v="-4000"/>
    <n v="0"/>
    <n v="0"/>
    <n v="0"/>
    <n v="1000"/>
    <n v="0"/>
    <n v="0"/>
    <n v="20323"/>
    <n v="12323"/>
    <n v="0"/>
  </r>
  <r>
    <n v="416"/>
    <s v="ABC J (Bangladesh) Ltd."/>
    <n v="6811491"/>
    <s v="Mamunur"/>
    <s v="Production"/>
    <s v="Finishing Export"/>
    <s v="Assistant Finishing Man"/>
    <s v="9005001700038380"/>
    <n v="1900"/>
    <x v="328"/>
    <m/>
    <d v="1997-06-27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417"/>
    <s v="ABC J (Bangladesh) Ltd."/>
    <n v="9426595"/>
    <s v="Masudur"/>
    <s v="Production"/>
    <s v="Finishing Export"/>
    <s v="Packing Man"/>
    <s v="9005001700037460"/>
    <n v="1900"/>
    <x v="329"/>
    <m/>
    <d v="1990-08-19T00:00:00"/>
    <s v="M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418"/>
    <s v="ABC J (Bangladesh) Ltd."/>
    <n v="8724759"/>
    <s v="Mazharul"/>
    <s v="Production"/>
    <s v="Finishing Export"/>
    <s v="Packing Man"/>
    <s v="9005001700037460"/>
    <n v="1900"/>
    <x v="330"/>
    <m/>
    <d v="1991-10-20T00:00:00"/>
    <s v="M"/>
    <s v="Y"/>
    <s v="Worker"/>
    <n v="15337"/>
    <n v="14723"/>
    <n v="8591"/>
    <n v="4296"/>
    <n v="750"/>
    <n v="450"/>
    <n v="0"/>
    <n v="0"/>
    <n v="1250"/>
    <n v="450"/>
    <n v="0"/>
    <n v="0"/>
    <n v="0"/>
    <n v="0"/>
    <n v="614"/>
    <n v="0"/>
    <n v="0"/>
    <n v="0"/>
    <n v="0"/>
    <n v="14723"/>
    <n v="14723"/>
    <n v="0"/>
  </r>
  <r>
    <n v="419"/>
    <s v="ABC J (Bangladesh) Ltd."/>
    <n v="7458673"/>
    <s v="Miron"/>
    <s v="Production"/>
    <s v="Finishing Export"/>
    <s v="Assistant Finishing Man"/>
    <s v="9005001700037500"/>
    <n v="1900"/>
    <x v="30"/>
    <m/>
    <d v="1998-01-19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420"/>
    <s v="ABC J (Bangladesh) Ltd."/>
    <n v="6009110"/>
    <s v="Mobarak"/>
    <s v="Production"/>
    <s v="Padding A"/>
    <s v="Assistant"/>
    <m/>
    <n v="2020"/>
    <x v="202"/>
    <d v="2020-01-01T00:00:00"/>
    <d v="1899-12-31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421"/>
    <s v="ABC J (Bangladesh) Ltd."/>
    <n v="7119772"/>
    <s v="Mohidul"/>
    <s v="Production"/>
    <s v="Padding A"/>
    <s v="Assistant Operator"/>
    <s v="9005001700037480"/>
    <n v="1900"/>
    <x v="331"/>
    <m/>
    <d v="2002-02-01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422"/>
    <s v="ABC J (Bangladesh) Ltd."/>
    <n v="7690989"/>
    <s v="Mohsin"/>
    <s v="Production"/>
    <s v="Padding A"/>
    <s v="Assistant Operator"/>
    <s v="9005001700037490"/>
    <n v="1900"/>
    <x v="332"/>
    <m/>
    <d v="1996-10-15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423"/>
    <s v="ABC J (Bangladesh) Ltd."/>
    <n v="7258858"/>
    <s v="Monjur"/>
    <s v="Production"/>
    <s v="Padding A"/>
    <s v="Assistant Operator"/>
    <s v="9005001700037420"/>
    <n v="1900"/>
    <x v="264"/>
    <m/>
    <d v="1995-05-01T00:00:00"/>
    <s v="M"/>
    <s v="Y"/>
    <s v="Worker"/>
    <n v="13405"/>
    <n v="13144"/>
    <n v="7303"/>
    <n v="3652"/>
    <n v="750"/>
    <n v="450"/>
    <n v="0"/>
    <n v="0"/>
    <n v="1250"/>
    <n v="450"/>
    <n v="0"/>
    <n v="0"/>
    <n v="0"/>
    <n v="0"/>
    <n v="261"/>
    <n v="0"/>
    <n v="0"/>
    <n v="0"/>
    <n v="0"/>
    <n v="13144"/>
    <n v="13144"/>
    <n v="0"/>
  </r>
  <r>
    <n v="424"/>
    <s v="ABC J (Bangladesh) Ltd."/>
    <n v="6647371"/>
    <s v="Nasrul"/>
    <s v="Production"/>
    <s v="Padding A"/>
    <s v="Assistant Operator"/>
    <s v="9005001700037440"/>
    <n v="1900"/>
    <x v="133"/>
    <m/>
    <d v="1997-05-21T00:00:00"/>
    <s v="M"/>
    <s v="Y"/>
    <s v="Worker"/>
    <n v="13405"/>
    <n v="13144"/>
    <n v="7303"/>
    <n v="3652"/>
    <n v="750"/>
    <n v="450"/>
    <n v="0"/>
    <n v="0"/>
    <n v="1250"/>
    <n v="450"/>
    <n v="0"/>
    <n v="0"/>
    <n v="0"/>
    <n v="0"/>
    <n v="261"/>
    <n v="0"/>
    <n v="0"/>
    <n v="0"/>
    <n v="0"/>
    <n v="13144"/>
    <n v="13144"/>
    <n v="0"/>
  </r>
  <r>
    <n v="425"/>
    <s v="ABC J (Bangladesh) Ltd."/>
    <n v="5114610"/>
    <s v="Nazrul"/>
    <s v="Production"/>
    <s v="Padding A"/>
    <s v="Assistant Bale Breaker Machine Operator"/>
    <s v="9005001700037410"/>
    <n v="1900"/>
    <x v="333"/>
    <m/>
    <d v="1972-02-05T00:00:00"/>
    <s v="M"/>
    <s v="Y"/>
    <s v="Worker"/>
    <n v="15368"/>
    <n v="15368"/>
    <n v="8612"/>
    <n v="4306"/>
    <n v="750"/>
    <n v="450"/>
    <n v="0"/>
    <n v="0"/>
    <n v="1250"/>
    <n v="450"/>
    <n v="350"/>
    <n v="0"/>
    <n v="0"/>
    <n v="0"/>
    <n v="0"/>
    <n v="0"/>
    <n v="0"/>
    <n v="0"/>
    <n v="0"/>
    <n v="15718"/>
    <n v="15718"/>
    <n v="0"/>
  </r>
  <r>
    <n v="426"/>
    <s v="ABC J (Bangladesh) Ltd."/>
    <n v="6754826"/>
    <s v="Nizam"/>
    <s v="Production"/>
    <s v="Padding A"/>
    <s v="Assistant Winder Operator"/>
    <s v="9005001700037490"/>
    <n v="1900"/>
    <x v="334"/>
    <m/>
    <d v="1984-03-25T00:00:00"/>
    <s v="M"/>
    <s v="Y"/>
    <s v="Worker"/>
    <n v="13458"/>
    <n v="13196"/>
    <n v="7339"/>
    <n v="3669"/>
    <n v="750"/>
    <n v="450"/>
    <n v="0"/>
    <n v="0"/>
    <n v="1250"/>
    <n v="450"/>
    <n v="0"/>
    <n v="0"/>
    <n v="0"/>
    <n v="0"/>
    <n v="262"/>
    <n v="0"/>
    <n v="0"/>
    <n v="0"/>
    <n v="0"/>
    <n v="13196"/>
    <n v="13196"/>
    <n v="0"/>
  </r>
  <r>
    <n v="427"/>
    <s v="ABC J (Bangladesh) Ltd."/>
    <n v="6128556"/>
    <s v="Nur Hossain"/>
    <s v="Production"/>
    <s v="Padding A"/>
    <s v="Assistant Winder Operator"/>
    <s v="9005001700038390"/>
    <n v="1900"/>
    <x v="335"/>
    <m/>
    <d v="1981-05-21T00:00:00"/>
    <s v="M"/>
    <s v="Y"/>
    <s v="Worker"/>
    <n v="14315"/>
    <n v="14315"/>
    <n v="7910"/>
    <n v="3955"/>
    <n v="750"/>
    <n v="450"/>
    <n v="0"/>
    <n v="0"/>
    <n v="1250"/>
    <n v="450"/>
    <n v="0"/>
    <n v="0"/>
    <n v="0"/>
    <n v="0"/>
    <n v="0"/>
    <n v="0"/>
    <n v="0"/>
    <n v="0"/>
    <n v="0"/>
    <n v="14315"/>
    <n v="14315"/>
    <n v="0"/>
  </r>
  <r>
    <n v="428"/>
    <s v="ABC J (Bangladesh) Ltd."/>
    <n v="9206362"/>
    <s v="Omar Faruk"/>
    <s v="Production"/>
    <s v="Padding A"/>
    <s v="Assistant Operator"/>
    <s v="9005001700037420"/>
    <n v="2022"/>
    <x v="336"/>
    <d v="2022-09-02T00:00:00"/>
    <d v="1988-09-02T00:00:00"/>
    <s v="M"/>
    <s v="Y"/>
    <s v="Worker"/>
    <n v="13458"/>
    <n v="13458"/>
    <n v="7339"/>
    <n v="3669"/>
    <n v="750"/>
    <n v="450"/>
    <n v="0"/>
    <n v="0"/>
    <n v="1250"/>
    <n v="450"/>
    <n v="0"/>
    <n v="0"/>
    <n v="0"/>
    <n v="0"/>
    <n v="0"/>
    <n v="0"/>
    <n v="0"/>
    <n v="0"/>
    <n v="0"/>
    <n v="13458"/>
    <n v="13458"/>
    <n v="0"/>
  </r>
  <r>
    <n v="429"/>
    <s v="ABC J (Bangladesh) Ltd."/>
    <n v="9585481"/>
    <s v="Piyash"/>
    <s v="Production"/>
    <s v="Padding A"/>
    <s v="Assistant Bale Breaker Machine Operator"/>
    <s v="9005001700037390"/>
    <n v="1900"/>
    <x v="337"/>
    <m/>
    <d v="1996-01-01T00:00:00"/>
    <s v="M"/>
    <s v="Y"/>
    <s v="Worker"/>
    <n v="13458"/>
    <n v="13458"/>
    <n v="7339"/>
    <n v="3669"/>
    <n v="750"/>
    <n v="450"/>
    <n v="0"/>
    <n v="0"/>
    <n v="1250"/>
    <n v="450"/>
    <n v="0"/>
    <n v="0"/>
    <n v="0"/>
    <n v="0"/>
    <n v="0"/>
    <n v="0"/>
    <n v="0"/>
    <n v="0"/>
    <n v="0"/>
    <n v="13458"/>
    <n v="13458"/>
    <n v="0"/>
  </r>
  <r>
    <n v="430"/>
    <s v="ABC J (Bangladesh) Ltd."/>
    <n v="7115901"/>
    <s v="Qamrul"/>
    <s v="Production"/>
    <s v="Padding A"/>
    <s v="Bale Breaker Machine Operator "/>
    <s v="9005001700037420"/>
    <n v="1900"/>
    <x v="338"/>
    <m/>
    <d v="1991-03-17T00:00:00"/>
    <s v="M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431"/>
    <s v="ABC J (Bangladesh) Ltd."/>
    <n v="8343136"/>
    <s v="Rafiqul"/>
    <s v="Production"/>
    <s v="Padding A"/>
    <s v="Assistant Winder Operator"/>
    <s v="9005001700037400"/>
    <n v="1900"/>
    <x v="339"/>
    <m/>
    <d v="1973-11-10T00:00:00"/>
    <s v="M"/>
    <s v="Y"/>
    <s v="Worker"/>
    <n v="15368"/>
    <n v="15368"/>
    <n v="8612"/>
    <n v="4306"/>
    <n v="750"/>
    <n v="450"/>
    <n v="0"/>
    <n v="0"/>
    <n v="1250"/>
    <n v="450"/>
    <n v="250"/>
    <n v="0"/>
    <n v="0"/>
    <n v="0"/>
    <n v="0"/>
    <n v="0"/>
    <n v="0"/>
    <n v="0"/>
    <n v="0"/>
    <n v="15618"/>
    <n v="15618"/>
    <n v="0"/>
  </r>
  <r>
    <n v="432"/>
    <s v="ABC J (Bangladesh) Ltd."/>
    <n v="5455674"/>
    <s v="Rajib"/>
    <s v="Production"/>
    <s v="Padding A"/>
    <s v="Winder Machine Operator"/>
    <s v="9005001700037420"/>
    <n v="1900"/>
    <x v="340"/>
    <m/>
    <d v="1986-01-12T00:00:00"/>
    <s v="M"/>
    <s v="Y"/>
    <s v="Worker"/>
    <n v="16642"/>
    <n v="16642"/>
    <n v="9461"/>
    <n v="4731"/>
    <n v="750"/>
    <n v="450"/>
    <n v="0"/>
    <n v="0"/>
    <n v="1250"/>
    <n v="450"/>
    <n v="0"/>
    <n v="0"/>
    <n v="0"/>
    <n v="0"/>
    <n v="0"/>
    <n v="0"/>
    <n v="0"/>
    <n v="0"/>
    <n v="0"/>
    <n v="16642"/>
    <n v="16642"/>
    <n v="0"/>
  </r>
  <r>
    <n v="433"/>
    <s v="ABC J (Bangladesh) Ltd."/>
    <n v="6973269"/>
    <s v="Rakibur"/>
    <s v="Production"/>
    <s v="Padding A"/>
    <s v="Padding Machine Operator"/>
    <s v="9005001700037470"/>
    <n v="1900"/>
    <x v="341"/>
    <m/>
    <d v="1972-02-07T00:00:00"/>
    <s v="M"/>
    <s v="Y"/>
    <s v="Worker"/>
    <n v="17711"/>
    <n v="17711"/>
    <n v="10174"/>
    <n v="5087"/>
    <n v="750"/>
    <n v="450"/>
    <n v="0"/>
    <n v="0"/>
    <n v="1250"/>
    <n v="450"/>
    <n v="350"/>
    <n v="0"/>
    <n v="0"/>
    <n v="0"/>
    <n v="0"/>
    <n v="0"/>
    <n v="0"/>
    <n v="0"/>
    <n v="0"/>
    <n v="18061"/>
    <n v="18061"/>
    <n v="0"/>
  </r>
  <r>
    <n v="434"/>
    <s v="ABC J (Bangladesh) Ltd."/>
    <n v="5608758"/>
    <s v="Rashedul"/>
    <s v="Production"/>
    <s v="Padding A"/>
    <s v="Junior bale breaker machine operator"/>
    <s v="9005001700037390"/>
    <n v="2022"/>
    <x v="342"/>
    <d v="2022-01-01T00:00:00"/>
    <d v="1967-08-02T00:00:00"/>
    <s v="M"/>
    <s v="Y"/>
    <s v="Worker"/>
    <n v="16697"/>
    <n v="16697"/>
    <n v="9498"/>
    <n v="4749"/>
    <n v="750"/>
    <n v="450"/>
    <n v="0"/>
    <n v="0"/>
    <n v="1250"/>
    <n v="450"/>
    <n v="0"/>
    <n v="0"/>
    <n v="0"/>
    <n v="0"/>
    <n v="0"/>
    <n v="0"/>
    <n v="0"/>
    <n v="0"/>
    <n v="0"/>
    <n v="16697"/>
    <n v="16697"/>
    <n v="0"/>
  </r>
  <r>
    <n v="435"/>
    <s v="ABC J (Bangladesh) Ltd."/>
    <n v="7692783"/>
    <s v="Rejwan"/>
    <s v="Production"/>
    <s v="Padding A"/>
    <s v="Bale Breaker Machine Operator "/>
    <s v="9005001700037480"/>
    <n v="1900"/>
    <x v="343"/>
    <m/>
    <d v="1981-05-07T00:00:00"/>
    <s v="M"/>
    <s v="Y"/>
    <s v="Worker"/>
    <n v="15337"/>
    <n v="15337"/>
    <n v="8591"/>
    <n v="4296"/>
    <n v="750"/>
    <n v="450"/>
    <n v="0"/>
    <n v="0"/>
    <n v="1250"/>
    <n v="450"/>
    <n v="250"/>
    <n v="0"/>
    <n v="0"/>
    <n v="0"/>
    <n v="0"/>
    <n v="0"/>
    <n v="0"/>
    <n v="0"/>
    <n v="0"/>
    <n v="15587"/>
    <n v="15587"/>
    <n v="0"/>
  </r>
  <r>
    <n v="436"/>
    <s v="ABC J (Bangladesh) Ltd."/>
    <n v="6361142"/>
    <s v="Ruhul Amin"/>
    <s v="Production"/>
    <s v="Padding A"/>
    <s v="Junior Resin Mix. Operator"/>
    <s v="9005001700037490"/>
    <n v="1900"/>
    <x v="344"/>
    <m/>
    <d v="1975-04-01T00:00:00"/>
    <s v="M"/>
    <s v="Y"/>
    <s v="Worker"/>
    <n v="15726"/>
    <n v="15726"/>
    <n v="8851"/>
    <n v="4425"/>
    <n v="750"/>
    <n v="450"/>
    <n v="0"/>
    <n v="0"/>
    <n v="1250"/>
    <n v="450"/>
    <n v="350"/>
    <n v="0"/>
    <n v="0"/>
    <n v="0"/>
    <n v="0"/>
    <n v="0"/>
    <n v="0"/>
    <n v="0"/>
    <n v="0"/>
    <n v="16076"/>
    <n v="16076"/>
    <n v="0"/>
  </r>
  <r>
    <n v="437"/>
    <s v="ABC J (Bangladesh) Ltd."/>
    <n v="7699550"/>
    <s v="Russel"/>
    <s v="Production"/>
    <s v="Padding A"/>
    <s v="Assistant Winder Operator"/>
    <s v="9005001700037490"/>
    <n v="1900"/>
    <x v="345"/>
    <m/>
    <d v="1972-10-10T00:00:00"/>
    <s v="M"/>
    <s v="Y"/>
    <s v="Worker"/>
    <n v="15368"/>
    <n v="15368"/>
    <n v="8612"/>
    <n v="4306"/>
    <n v="750"/>
    <n v="450"/>
    <n v="0"/>
    <n v="0"/>
    <n v="1250"/>
    <n v="450"/>
    <n v="0"/>
    <n v="0"/>
    <n v="0"/>
    <n v="0"/>
    <n v="0"/>
    <n v="0"/>
    <n v="0"/>
    <n v="0"/>
    <n v="0"/>
    <n v="15368"/>
    <n v="15368"/>
    <n v="0"/>
  </r>
  <r>
    <n v="438"/>
    <s v="ABC J (Bangladesh) Ltd."/>
    <n v="9096747"/>
    <s v="Sakhawat"/>
    <s v="Production"/>
    <s v="Padding A"/>
    <s v="Padding Machine Operator"/>
    <s v="9005001700037410"/>
    <n v="1900"/>
    <x v="346"/>
    <m/>
    <d v="1990-05-02T00:00:00"/>
    <s v="M"/>
    <s v="Y"/>
    <s v="Worker"/>
    <n v="15337"/>
    <n v="15337"/>
    <n v="8591"/>
    <n v="4296"/>
    <n v="750"/>
    <n v="450"/>
    <n v="0"/>
    <n v="0"/>
    <n v="1250"/>
    <n v="450"/>
    <n v="0"/>
    <n v="0"/>
    <n v="0"/>
    <n v="0"/>
    <n v="0"/>
    <n v="0"/>
    <n v="0"/>
    <n v="0"/>
    <n v="0"/>
    <n v="15337"/>
    <n v="15337"/>
    <n v="0"/>
  </r>
  <r>
    <n v="439"/>
    <s v="ABC J (Bangladesh) Ltd."/>
    <n v="9541432"/>
    <s v="Salam"/>
    <s v="Production"/>
    <s v="Padding A"/>
    <s v="Assistant Operator"/>
    <s v="9005001700037480"/>
    <n v="2022"/>
    <x v="347"/>
    <d v="2022-04-15T00:00:00"/>
    <d v="1988-04-15T00:00:00"/>
    <s v="M"/>
    <s v="Y"/>
    <s v="Worker"/>
    <n v="13514"/>
    <n v="13514"/>
    <n v="7376"/>
    <n v="3688"/>
    <n v="750"/>
    <n v="450"/>
    <n v="0"/>
    <n v="0"/>
    <n v="1250"/>
    <n v="450"/>
    <n v="0"/>
    <n v="0"/>
    <n v="0"/>
    <n v="0"/>
    <n v="0"/>
    <n v="0"/>
    <n v="0"/>
    <n v="0"/>
    <n v="0"/>
    <n v="13514"/>
    <n v="13514"/>
    <n v="0"/>
  </r>
  <r>
    <n v="440"/>
    <s v="ABC J (Bangladesh) Ltd."/>
    <n v="6923976"/>
    <s v="Salman"/>
    <s v="Production"/>
    <s v="Padding A"/>
    <s v="Bale Breaker Machine Operator "/>
    <s v="9005001700037420"/>
    <n v="1900"/>
    <x v="347"/>
    <m/>
    <d v="1978-01-02T00:00:00"/>
    <s v="M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441"/>
    <s v="ABC J (Bangladesh) Ltd."/>
    <n v="8061217"/>
    <s v="Shamsul"/>
    <s v="Production"/>
    <s v="Padding A"/>
    <s v="Assistant Operator"/>
    <s v="9005001700037450"/>
    <n v="1900"/>
    <x v="52"/>
    <m/>
    <d v="1986-05-10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442"/>
    <s v="ABC J (Bangladesh) Ltd."/>
    <n v="9337921"/>
    <s v="Shariful"/>
    <s v="Production"/>
    <s v="Padding A"/>
    <s v="Assistant"/>
    <s v="9005001700037400"/>
    <n v="1900"/>
    <x v="348"/>
    <m/>
    <d v="2003-07-04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443"/>
    <s v="ABC J (Bangladesh) Ltd."/>
    <n v="9433202"/>
    <s v="Shoaib"/>
    <s v="Production"/>
    <s v="Padding A"/>
    <s v="Assistant"/>
    <s v="9005001700037490"/>
    <n v="1900"/>
    <x v="268"/>
    <m/>
    <d v="2003-12-11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444"/>
    <s v="ABC J (Bangladesh) Ltd."/>
    <n v="8559500"/>
    <s v="Shofiqul"/>
    <s v="Production"/>
    <s v="Padding A"/>
    <s v="Assistant"/>
    <s v="9005001700037500"/>
    <n v="1900"/>
    <x v="349"/>
    <m/>
    <d v="1999-04-21T00:00:00"/>
    <s v="M"/>
    <s v="Y"/>
    <s v="Worker"/>
    <n v="13405"/>
    <n v="12362"/>
    <n v="7303"/>
    <n v="3652"/>
    <n v="750"/>
    <n v="450"/>
    <n v="0"/>
    <n v="0"/>
    <n v="1250"/>
    <n v="450"/>
    <n v="0"/>
    <n v="0"/>
    <n v="0"/>
    <n v="0"/>
    <n v="782"/>
    <n v="261"/>
    <n v="0"/>
    <n v="0"/>
    <n v="0"/>
    <n v="12362"/>
    <n v="12362"/>
    <n v="0"/>
  </r>
  <r>
    <n v="445"/>
    <s v="ABC J (Bangladesh) Ltd."/>
    <n v="7805354"/>
    <s v="Sulaiman"/>
    <s v="Production"/>
    <s v="Padding A"/>
    <s v="Assistant"/>
    <s v="9005001700043090"/>
    <n v="2022"/>
    <x v="350"/>
    <d v="2022-01-01T00:00:00"/>
    <d v="2000-10-12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446"/>
    <s v="ABC J (Bangladesh) Ltd."/>
    <n v="9977181"/>
    <s v="Tajul"/>
    <s v="Production"/>
    <s v="Padding A"/>
    <s v="Assistant"/>
    <s v="9005001700043090"/>
    <n v="2022"/>
    <x v="177"/>
    <d v="2022-01-01T00:00:00"/>
    <d v="2001-08-07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447"/>
    <s v="ABC J (Bangladesh) Ltd."/>
    <n v="7851871"/>
    <s v="Tamim"/>
    <s v="Production"/>
    <s v="Padding A"/>
    <s v="Assistant"/>
    <s v="9005001700043090"/>
    <n v="2022"/>
    <x v="166"/>
    <d v="2022-01-01T00:00:00"/>
    <d v="1998-01-01T00:00:00"/>
    <s v="M"/>
    <s v="Y"/>
    <s v="Worker"/>
    <n v="13405"/>
    <n v="13405"/>
    <n v="7303"/>
    <n v="3652"/>
    <n v="750"/>
    <n v="450"/>
    <n v="0"/>
    <n v="0"/>
    <n v="1250"/>
    <n v="450"/>
    <n v="250"/>
    <n v="0"/>
    <n v="0"/>
    <n v="0"/>
    <n v="0"/>
    <n v="0"/>
    <n v="0"/>
    <n v="0"/>
    <n v="0"/>
    <n v="13655"/>
    <n v="13655"/>
    <n v="0"/>
  </r>
  <r>
    <n v="448"/>
    <s v="ABC J (Bangladesh) Ltd."/>
    <n v="9096938"/>
    <s v="Tanim"/>
    <s v="Production"/>
    <s v="Padding A"/>
    <s v="Assistant"/>
    <s v="9005001700043090"/>
    <n v="2022"/>
    <x v="45"/>
    <d v="2022-01-01T00:00:00"/>
    <d v="1999-04-07T00:00:00"/>
    <s v="M"/>
    <s v="Y"/>
    <s v="Worker"/>
    <n v="13405"/>
    <n v="12623"/>
    <n v="7303"/>
    <n v="3652"/>
    <n v="750"/>
    <n v="450"/>
    <n v="0"/>
    <n v="0"/>
    <n v="1250"/>
    <n v="450"/>
    <n v="0"/>
    <n v="0"/>
    <n v="0"/>
    <n v="0"/>
    <n v="782"/>
    <n v="0"/>
    <n v="0"/>
    <n v="0"/>
    <n v="0"/>
    <n v="12623"/>
    <n v="12623"/>
    <n v="0"/>
  </r>
  <r>
    <n v="449"/>
    <s v="ABC J (Bangladesh) Ltd."/>
    <n v="7311242"/>
    <s v="Towfiq"/>
    <s v="Production"/>
    <s v="Padding A"/>
    <s v="Assistant"/>
    <m/>
    <n v="2022"/>
    <x v="351"/>
    <d v="2022-01-01T00:00:00"/>
    <d v="2000-01-01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450"/>
    <s v="ABC J (Bangladesh) Ltd."/>
    <n v="5353632"/>
    <s v="Ujjal"/>
    <s v="Production"/>
    <s v="Quilting Export"/>
    <s v="Assistant Operator"/>
    <s v="9005001700037480"/>
    <n v="1900"/>
    <x v="352"/>
    <m/>
    <d v="1981-07-01T00:00:00"/>
    <s v="F"/>
    <s v="Y"/>
    <s v="Worker"/>
    <n v="15368"/>
    <n v="15368"/>
    <n v="8612"/>
    <n v="4306"/>
    <n v="750"/>
    <n v="450"/>
    <n v="0"/>
    <n v="0"/>
    <n v="1250"/>
    <n v="450"/>
    <n v="0"/>
    <n v="0"/>
    <n v="0"/>
    <n v="0"/>
    <n v="0"/>
    <n v="0"/>
    <n v="0"/>
    <n v="0"/>
    <n v="0"/>
    <n v="15368"/>
    <n v="15368"/>
    <n v="0"/>
  </r>
  <r>
    <n v="451"/>
    <s v="ABC J (Bangladesh) Ltd."/>
    <n v="6188011"/>
    <s v="Wahidur"/>
    <s v="Production"/>
    <s v="Quilting Export"/>
    <s v="Assistant Rolling Man"/>
    <s v="9005001700037420"/>
    <n v="2022"/>
    <x v="353"/>
    <d v="2022-01-01T00:00:00"/>
    <d v="1988-07-02T00:00:00"/>
    <s v="M"/>
    <s v="Y"/>
    <s v="Worker"/>
    <n v="13405"/>
    <n v="13144"/>
    <n v="7303"/>
    <n v="3652"/>
    <n v="750"/>
    <n v="450"/>
    <n v="0"/>
    <n v="0"/>
    <n v="1250"/>
    <n v="450"/>
    <n v="0"/>
    <n v="0"/>
    <n v="0"/>
    <n v="0"/>
    <n v="261"/>
    <n v="0"/>
    <n v="0"/>
    <n v="0"/>
    <n v="0"/>
    <n v="13144"/>
    <n v="13144"/>
    <n v="0"/>
  </r>
  <r>
    <n v="452"/>
    <s v="ABC J (Bangladesh) Ltd."/>
    <n v="8899187"/>
    <s v="Wasif"/>
    <s v="Production"/>
    <s v="Quilting Export"/>
    <s v="Assistant Operator"/>
    <s v="9005001700037390"/>
    <n v="1900"/>
    <x v="354"/>
    <m/>
    <d v="1982-01-01T00:00:00"/>
    <s v="F"/>
    <s v="Y"/>
    <s v="Worker"/>
    <n v="15313"/>
    <n v="15313"/>
    <n v="8575"/>
    <n v="4288"/>
    <n v="750"/>
    <n v="450"/>
    <n v="0"/>
    <n v="0"/>
    <n v="1250"/>
    <n v="450"/>
    <n v="350"/>
    <n v="0"/>
    <n v="0"/>
    <n v="0"/>
    <n v="0"/>
    <n v="0"/>
    <n v="0"/>
    <n v="0"/>
    <n v="0"/>
    <n v="15663"/>
    <n v="15663"/>
    <n v="0"/>
  </r>
  <r>
    <n v="453"/>
    <s v="ABC J (Bangladesh) Ltd."/>
    <n v="8924732"/>
    <s v="Yamin"/>
    <s v="Production"/>
    <s v="Quilting Export"/>
    <s v="Junior Operator"/>
    <s v="9005001700037470"/>
    <n v="1900"/>
    <x v="355"/>
    <m/>
    <d v="1986-01-01T00:00:00"/>
    <s v="F"/>
    <s v="Y"/>
    <s v="Worker"/>
    <n v="14549"/>
    <n v="14549"/>
    <n v="8066"/>
    <n v="4033"/>
    <n v="750"/>
    <n v="450"/>
    <n v="0"/>
    <n v="0"/>
    <n v="1250"/>
    <n v="450"/>
    <n v="250"/>
    <n v="0"/>
    <n v="0"/>
    <n v="0"/>
    <n v="0"/>
    <n v="0"/>
    <n v="0"/>
    <n v="0"/>
    <n v="0"/>
    <n v="14799"/>
    <n v="14799"/>
    <n v="0"/>
  </r>
  <r>
    <n v="454"/>
    <s v="ABC J (Bangladesh) Ltd."/>
    <n v="9182183"/>
    <s v="Yusuf"/>
    <s v="Production"/>
    <s v="Quilting Export"/>
    <s v="Operator"/>
    <s v="9005001700037470"/>
    <n v="1900"/>
    <x v="334"/>
    <m/>
    <d v="1983-11-12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455"/>
    <s v="ABC J (Bangladesh) Ltd."/>
    <n v="5204787"/>
    <s v="Continued):"/>
    <s v="Production"/>
    <s v="Quilting Export"/>
    <s v="Operator"/>
    <s v="9005001700037390"/>
    <n v="1900"/>
    <x v="356"/>
    <m/>
    <d v="1982-05-11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456"/>
    <s v="ABC J (Bangladesh) Ltd."/>
    <n v="6930134"/>
    <s v="Adiba"/>
    <s v="Production"/>
    <s v="Quilting Export"/>
    <s v="Assistant Operator"/>
    <s v="9005001700037480"/>
    <n v="1900"/>
    <x v="357"/>
    <m/>
    <d v="1972-04-20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457"/>
    <s v="ABC J (Bangladesh) Ltd."/>
    <n v="6678668"/>
    <s v="Anjuman"/>
    <s v="Production"/>
    <s v="Quilting Export"/>
    <s v="Assistant Operator"/>
    <s v="9005001700037430"/>
    <n v="1900"/>
    <x v="38"/>
    <m/>
    <d v="1981-01-30T00:00:00"/>
    <s v="F"/>
    <s v="Y"/>
    <s v="Worker"/>
    <n v="13458"/>
    <n v="13458"/>
    <n v="7339"/>
    <n v="3669"/>
    <n v="750"/>
    <n v="450"/>
    <n v="0"/>
    <n v="0"/>
    <n v="1250"/>
    <n v="450"/>
    <n v="350"/>
    <n v="0"/>
    <n v="0"/>
    <n v="0"/>
    <n v="0"/>
    <n v="0"/>
    <n v="0"/>
    <n v="0"/>
    <n v="0"/>
    <n v="13808"/>
    <n v="13808"/>
    <n v="0"/>
  </r>
  <r>
    <n v="458"/>
    <s v="ABC J (Bangladesh) Ltd."/>
    <n v="7086300"/>
    <s v="Ayesha"/>
    <s v="Production"/>
    <s v="Quilting Export"/>
    <s v="Assistant Operator"/>
    <s v="9005001700038380"/>
    <n v="1900"/>
    <x v="330"/>
    <m/>
    <d v="1995-05-03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459"/>
    <s v="ABC J (Bangladesh) Ltd."/>
    <n v="8609517"/>
    <s v="Banya"/>
    <s v="Production"/>
    <s v="Quilting Export"/>
    <s v="Operator"/>
    <s v="9005001700037470"/>
    <n v="1900"/>
    <x v="358"/>
    <m/>
    <d v="1980-07-10T00:00:00"/>
    <s v="F"/>
    <s v="Y"/>
    <s v="Worker"/>
    <n v="17093"/>
    <n v="17093"/>
    <n v="9762"/>
    <n v="4881"/>
    <n v="750"/>
    <n v="450"/>
    <n v="0"/>
    <n v="0"/>
    <n v="1250"/>
    <n v="450"/>
    <n v="350"/>
    <n v="0"/>
    <n v="0"/>
    <n v="0"/>
    <n v="0"/>
    <n v="0"/>
    <n v="0"/>
    <n v="0"/>
    <n v="0"/>
    <n v="17443"/>
    <n v="17443"/>
    <n v="0"/>
  </r>
  <r>
    <n v="460"/>
    <s v="ABC J (Bangladesh) Ltd."/>
    <n v="8135576"/>
    <s v="Chandni"/>
    <s v="Production"/>
    <s v="Quilting Export"/>
    <s v="Assistant Operator"/>
    <s v="9005001700037440"/>
    <n v="1900"/>
    <x v="359"/>
    <m/>
    <d v="1982-12-09T00:00:00"/>
    <s v="F"/>
    <s v="Y"/>
    <s v="Worker"/>
    <n v="14533"/>
    <n v="14533"/>
    <n v="8055"/>
    <n v="4028"/>
    <n v="750"/>
    <n v="450"/>
    <n v="0"/>
    <n v="0"/>
    <n v="1250"/>
    <n v="450"/>
    <n v="350"/>
    <n v="0"/>
    <n v="0"/>
    <n v="0"/>
    <n v="0"/>
    <n v="0"/>
    <n v="0"/>
    <n v="0"/>
    <n v="0"/>
    <n v="14883"/>
    <n v="14883"/>
    <n v="0"/>
  </r>
  <r>
    <n v="461"/>
    <s v="ABC J (Bangladesh) Ltd."/>
    <n v="9622272"/>
    <s v="Dilshad"/>
    <s v="Production"/>
    <s v="Quilting Export"/>
    <s v="Operator"/>
    <s v="9005001700037410"/>
    <n v="1900"/>
    <x v="119"/>
    <m/>
    <d v="1975-05-02T00:00:00"/>
    <s v="F"/>
    <s v="Y"/>
    <s v="Worker"/>
    <n v="15337"/>
    <n v="15337"/>
    <n v="8591"/>
    <n v="4296"/>
    <n v="750"/>
    <n v="450"/>
    <n v="0"/>
    <n v="0"/>
    <n v="1250"/>
    <n v="450"/>
    <n v="250"/>
    <n v="0"/>
    <n v="0"/>
    <n v="0"/>
    <n v="0"/>
    <n v="0"/>
    <n v="0"/>
    <n v="0"/>
    <n v="0"/>
    <n v="15587"/>
    <n v="15587"/>
    <n v="0"/>
  </r>
  <r>
    <n v="462"/>
    <s v="ABC J (Bangladesh) Ltd."/>
    <n v="5573112"/>
    <s v="Hasnita"/>
    <s v="Production"/>
    <s v="Quilting Export"/>
    <s v="Assistant Operator"/>
    <s v="9005001700037410"/>
    <n v="1900"/>
    <x v="360"/>
    <m/>
    <d v="1967-11-19T00:00:00"/>
    <s v="F"/>
    <s v="Y"/>
    <s v="Worker"/>
    <n v="14603"/>
    <n v="14603"/>
    <n v="8102"/>
    <n v="4051"/>
    <n v="750"/>
    <n v="450"/>
    <n v="0"/>
    <n v="0"/>
    <n v="1250"/>
    <n v="450"/>
    <n v="350"/>
    <n v="0"/>
    <n v="0"/>
    <n v="0"/>
    <n v="0"/>
    <n v="0"/>
    <n v="0"/>
    <n v="0"/>
    <n v="0"/>
    <n v="14953"/>
    <n v="14953"/>
    <n v="0"/>
  </r>
  <r>
    <n v="463"/>
    <s v="ABC J (Bangladesh) Ltd."/>
    <n v="7114389"/>
    <s v="Marjia"/>
    <s v="Production"/>
    <s v="Quilting Export"/>
    <s v="Assistant Operator"/>
    <s v="9005001700037440"/>
    <n v="1900"/>
    <x v="361"/>
    <m/>
    <d v="1982-01-09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464"/>
    <s v="ABC J (Bangladesh) Ltd."/>
    <n v="7710591"/>
    <s v="Rojina"/>
    <s v="Production"/>
    <s v="Quilting Export"/>
    <s v="Operator"/>
    <s v="9005001700037480"/>
    <n v="1900"/>
    <x v="362"/>
    <m/>
    <d v="1982-10-11T00:00:00"/>
    <s v="F"/>
    <s v="Y"/>
    <s v="Worker"/>
    <n v="17093"/>
    <n v="17093"/>
    <n v="9762"/>
    <n v="4881"/>
    <n v="750"/>
    <n v="450"/>
    <n v="0"/>
    <n v="0"/>
    <n v="1250"/>
    <n v="450"/>
    <n v="350"/>
    <n v="0"/>
    <n v="0"/>
    <n v="0"/>
    <n v="0"/>
    <n v="0"/>
    <n v="0"/>
    <n v="0"/>
    <n v="0"/>
    <n v="17443"/>
    <n v="17443"/>
    <n v="0"/>
  </r>
  <r>
    <n v="465"/>
    <s v="ABC J (Bangladesh) Ltd."/>
    <n v="7902200"/>
    <s v="Tahera"/>
    <s v="Production"/>
    <s v="Quilting Export"/>
    <s v="Operator"/>
    <s v="9005001700038380"/>
    <n v="2022"/>
    <x v="363"/>
    <d v="2022-04-11T00:00:00"/>
    <d v="1988-04-11T00:00:00"/>
    <s v="F"/>
    <s v="Y"/>
    <s v="Worker"/>
    <n v="17093"/>
    <n v="17093"/>
    <n v="9762"/>
    <n v="4881"/>
    <n v="750"/>
    <n v="450"/>
    <n v="0"/>
    <n v="0"/>
    <n v="1250"/>
    <n v="450"/>
    <n v="0"/>
    <n v="0"/>
    <n v="0"/>
    <n v="0"/>
    <n v="0"/>
    <n v="0"/>
    <n v="0"/>
    <n v="0"/>
    <n v="0"/>
    <n v="17093"/>
    <n v="17093"/>
    <n v="0"/>
  </r>
  <r>
    <n v="466"/>
    <s v="ABC J (Bangladesh) Ltd."/>
    <n v="9035213"/>
    <s v="Aaron"/>
    <s v="Production"/>
    <s v="Quilting Export"/>
    <s v="Operator"/>
    <s v="9005001700037470"/>
    <n v="1900"/>
    <x v="364"/>
    <m/>
    <d v="1982-05-20T00:00:00"/>
    <s v="F"/>
    <s v="Y"/>
    <s v="Worker"/>
    <n v="17711"/>
    <n v="17711"/>
    <n v="10174"/>
    <n v="5087"/>
    <n v="750"/>
    <n v="450"/>
    <n v="0"/>
    <n v="0"/>
    <n v="1250"/>
    <n v="450"/>
    <n v="350"/>
    <n v="0"/>
    <n v="0"/>
    <n v="0"/>
    <n v="0"/>
    <n v="0"/>
    <n v="0"/>
    <n v="0"/>
    <n v="0"/>
    <n v="18061"/>
    <n v="18061"/>
    <n v="0"/>
  </r>
  <r>
    <n v="467"/>
    <s v="ABC J (Bangladesh) Ltd."/>
    <n v="9583537"/>
    <s v="Abby"/>
    <s v="Production"/>
    <s v="Quilting Export"/>
    <s v="Operator"/>
    <s v="9005001700037490"/>
    <n v="1900"/>
    <x v="365"/>
    <m/>
    <d v="1983-02-18T00:00:00"/>
    <s v="F"/>
    <s v="Y"/>
    <s v="Worker"/>
    <n v="16519"/>
    <n v="16519"/>
    <n v="9379"/>
    <n v="4690"/>
    <n v="750"/>
    <n v="450"/>
    <n v="0"/>
    <n v="0"/>
    <n v="1250"/>
    <n v="450"/>
    <n v="0"/>
    <n v="0"/>
    <n v="0"/>
    <n v="0"/>
    <n v="0"/>
    <n v="0"/>
    <n v="0"/>
    <n v="0"/>
    <n v="0"/>
    <n v="16519"/>
    <n v="16519"/>
    <n v="0"/>
  </r>
  <r>
    <n v="468"/>
    <s v="ABC J (Bangladesh) Ltd."/>
    <n v="5733020"/>
    <s v="Adam"/>
    <s v="Production"/>
    <s v="Quilting Export"/>
    <s v="Assistant Operator"/>
    <s v="9005001700037400"/>
    <n v="1900"/>
    <x v="366"/>
    <m/>
    <d v="1994-02-01T00:00:00"/>
    <s v="M"/>
    <s v="Y"/>
    <s v="Worker"/>
    <n v="14996"/>
    <n v="14996"/>
    <n v="8364"/>
    <n v="4182"/>
    <n v="750"/>
    <n v="450"/>
    <n v="0"/>
    <n v="0"/>
    <n v="1250"/>
    <n v="450"/>
    <n v="350"/>
    <n v="0"/>
    <n v="0"/>
    <n v="0"/>
    <n v="0"/>
    <n v="0"/>
    <n v="0"/>
    <n v="0"/>
    <n v="0"/>
    <n v="15346"/>
    <n v="15346"/>
    <n v="0"/>
  </r>
  <r>
    <n v="469"/>
    <s v="ABC J (Bangladesh) Ltd."/>
    <n v="5875515"/>
    <s v="Adriana"/>
    <s v="Production"/>
    <s v="Quilting Export"/>
    <s v="Operator"/>
    <s v="9005001700037400"/>
    <n v="1900"/>
    <x v="367"/>
    <m/>
    <d v="1985-10-05T00:00:00"/>
    <s v="F"/>
    <s v="Y"/>
    <s v="Worker"/>
    <n v="17656"/>
    <n v="17656"/>
    <n v="10137"/>
    <n v="5069"/>
    <n v="750"/>
    <n v="450"/>
    <n v="0"/>
    <n v="0"/>
    <n v="1250"/>
    <n v="450"/>
    <n v="0"/>
    <n v="0"/>
    <n v="0"/>
    <n v="0"/>
    <n v="0"/>
    <n v="0"/>
    <n v="0"/>
    <n v="0"/>
    <n v="0"/>
    <n v="17656"/>
    <n v="17656"/>
    <n v="0"/>
  </r>
  <r>
    <n v="470"/>
    <s v="ABC J (Bangladesh) Ltd."/>
    <n v="7541573"/>
    <s v="Aiden"/>
    <s v="Production"/>
    <s v="Quilting Export"/>
    <s v="Operator"/>
    <s v="9005001700037430"/>
    <n v="1900"/>
    <x v="368"/>
    <m/>
    <d v="1981-01-01T00:00:00"/>
    <s v="F"/>
    <s v="Y"/>
    <s v="Worker"/>
    <n v="19964"/>
    <n v="19964"/>
    <n v="11676"/>
    <n v="5838"/>
    <n v="750"/>
    <n v="450"/>
    <n v="0"/>
    <n v="0"/>
    <n v="1250"/>
    <n v="450"/>
    <n v="350"/>
    <n v="0"/>
    <n v="0"/>
    <n v="0"/>
    <n v="0"/>
    <n v="0"/>
    <n v="0"/>
    <n v="0"/>
    <n v="0"/>
    <n v="20314"/>
    <n v="20314"/>
    <n v="0"/>
  </r>
  <r>
    <n v="471"/>
    <s v="ABC J (Bangladesh) Ltd."/>
    <n v="7343691"/>
    <s v="Alexa"/>
    <s v="Production"/>
    <s v="Quilting Export"/>
    <s v="Operator"/>
    <s v="9005001700037480"/>
    <n v="1900"/>
    <x v="369"/>
    <m/>
    <d v="1994-03-05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472"/>
    <s v="ABC J (Bangladesh) Ltd."/>
    <n v="5841481"/>
    <s v="Alex"/>
    <s v="Production"/>
    <s v="Quilting Export"/>
    <s v="Rolling Man"/>
    <s v="9005001700037480"/>
    <n v="1900"/>
    <x v="370"/>
    <m/>
    <d v="1990-01-01T00:00:00"/>
    <s v="M"/>
    <s v="Y"/>
    <s v="Worker"/>
    <n v="16068"/>
    <n v="16068"/>
    <n v="9079"/>
    <n v="4539"/>
    <n v="750"/>
    <n v="450"/>
    <n v="0"/>
    <n v="0"/>
    <n v="1250"/>
    <n v="450"/>
    <n v="0"/>
    <n v="0"/>
    <n v="0"/>
    <n v="0"/>
    <n v="0"/>
    <n v="0"/>
    <n v="0"/>
    <n v="0"/>
    <n v="0"/>
    <n v="16068"/>
    <n v="16068"/>
    <n v="0"/>
  </r>
  <r>
    <n v="473"/>
    <s v="ABC J (Bangladesh) Ltd."/>
    <n v="7287828"/>
    <s v="Alice"/>
    <s v="Production"/>
    <s v="Quilting Export"/>
    <s v="Loader"/>
    <s v="9005001700037450"/>
    <n v="1900"/>
    <x v="119"/>
    <m/>
    <d v="1976-06-05T00:00:00"/>
    <s v="M"/>
    <s v="Y"/>
    <s v="Worker"/>
    <n v="13949"/>
    <n v="13949"/>
    <n v="7666"/>
    <n v="3833"/>
    <n v="750"/>
    <n v="450"/>
    <n v="0"/>
    <n v="0"/>
    <n v="1250"/>
    <n v="450"/>
    <n v="350"/>
    <n v="0"/>
    <n v="0"/>
    <n v="0"/>
    <n v="0"/>
    <n v="0"/>
    <n v="0"/>
    <n v="0"/>
    <n v="0"/>
    <n v="14299"/>
    <n v="14299"/>
    <n v="0"/>
  </r>
  <r>
    <n v="474"/>
    <s v="ABC J (Bangladesh) Ltd."/>
    <n v="5344578"/>
    <s v="Amanda"/>
    <s v="Production"/>
    <s v="Quilting Export"/>
    <s v="Operator"/>
    <s v="9005001700037470"/>
    <n v="1900"/>
    <x v="371"/>
    <m/>
    <d v="1985-10-18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475"/>
    <s v="ABC J (Bangladesh) Ltd."/>
    <n v="6746223"/>
    <s v="Amelia"/>
    <s v="Production"/>
    <s v="Quilting Export"/>
    <s v="Rolling Man"/>
    <s v="9005001700037420"/>
    <n v="1900"/>
    <x v="372"/>
    <m/>
    <d v="1990-07-10T00:00:00"/>
    <s v="M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476"/>
    <s v="ABC J (Bangladesh) Ltd."/>
    <n v="6306804"/>
    <s v="Andre"/>
    <s v="Production"/>
    <s v="Quilting Export"/>
    <s v="Operator"/>
    <s v="9005001700037440"/>
    <n v="2022"/>
    <x v="373"/>
    <d v="2022-07-05T00:00:00"/>
    <d v="1977-07-05T00:00:00"/>
    <s v="F"/>
    <s v="Y"/>
    <s v="Worker"/>
    <n v="16980"/>
    <n v="16980"/>
    <n v="9687"/>
    <n v="4843"/>
    <n v="750"/>
    <n v="450"/>
    <n v="0"/>
    <n v="0"/>
    <n v="1250"/>
    <n v="450"/>
    <n v="350"/>
    <n v="0"/>
    <n v="0"/>
    <n v="0"/>
    <n v="0"/>
    <n v="0"/>
    <n v="0"/>
    <n v="0"/>
    <n v="0"/>
    <n v="17330"/>
    <n v="17330"/>
    <n v="0"/>
  </r>
  <r>
    <n v="477"/>
    <s v="ABC J (Bangladesh) Ltd."/>
    <n v="7307397"/>
    <s v="Andrew"/>
    <s v="Production"/>
    <s v="Quilting Export"/>
    <s v="Operator"/>
    <s v="9005001700037440"/>
    <n v="1900"/>
    <x v="374"/>
    <m/>
    <d v="1988-07-05T00:00:00"/>
    <s v="F"/>
    <s v="Y"/>
    <s v="Worker"/>
    <n v="17093"/>
    <n v="17093"/>
    <n v="9762"/>
    <n v="4881"/>
    <n v="750"/>
    <n v="450"/>
    <n v="0"/>
    <n v="0"/>
    <n v="1250"/>
    <n v="450"/>
    <n v="350"/>
    <n v="0"/>
    <n v="0"/>
    <n v="0"/>
    <n v="0"/>
    <n v="0"/>
    <n v="0"/>
    <n v="0"/>
    <n v="0"/>
    <n v="17443"/>
    <n v="17443"/>
    <n v="0"/>
  </r>
  <r>
    <n v="478"/>
    <s v="ABC J (Bangladesh) Ltd."/>
    <n v="5429146"/>
    <s v="Angela"/>
    <s v="Production"/>
    <s v="Quilting Export"/>
    <s v="Asst. Quilting Machine Operator"/>
    <s v="9005001700037440"/>
    <n v="1900"/>
    <x v="375"/>
    <m/>
    <d v="1990-02-01T00:00:00"/>
    <s v="M"/>
    <s v="Y"/>
    <s v="Worker"/>
    <n v="13458"/>
    <n v="13458"/>
    <n v="7339"/>
    <n v="3669"/>
    <n v="750"/>
    <n v="450"/>
    <n v="0"/>
    <n v="0"/>
    <n v="1250"/>
    <n v="450"/>
    <n v="250"/>
    <n v="0"/>
    <n v="0"/>
    <n v="0"/>
    <n v="0"/>
    <n v="0"/>
    <n v="0"/>
    <n v="0"/>
    <n v="0"/>
    <n v="13708"/>
    <n v="13708"/>
    <n v="0"/>
  </r>
  <r>
    <n v="479"/>
    <s v="ABC J (Bangladesh) Ltd."/>
    <n v="8596595"/>
    <s v="Anna"/>
    <s v="Production"/>
    <s v="Quilting Export"/>
    <s v="Quilting Machine Operator"/>
    <s v="9005001700037440"/>
    <n v="1900"/>
    <x v="376"/>
    <m/>
    <d v="1986-02-15T00:00:00"/>
    <s v="F"/>
    <s v="Y"/>
    <s v="Worker"/>
    <n v="15337"/>
    <n v="15030"/>
    <n v="8591"/>
    <n v="4296"/>
    <n v="750"/>
    <n v="450"/>
    <n v="0"/>
    <n v="0"/>
    <n v="1250"/>
    <n v="450"/>
    <n v="0"/>
    <n v="0"/>
    <n v="0"/>
    <n v="0"/>
    <n v="307"/>
    <n v="0"/>
    <n v="0"/>
    <n v="0"/>
    <n v="0"/>
    <n v="15030"/>
    <n v="15030"/>
    <n v="0"/>
  </r>
  <r>
    <n v="480"/>
    <s v="ABC J (Bangladesh) Ltd."/>
    <n v="7413105"/>
    <s v="Anthony"/>
    <s v="Production"/>
    <s v="Quilting Export"/>
    <s v="Assistant"/>
    <s v="9005001700037440"/>
    <n v="1900"/>
    <x v="249"/>
    <m/>
    <d v="1985-02-07T00:00:00"/>
    <s v="F"/>
    <s v="Y"/>
    <s v="Worker"/>
    <n v="13405"/>
    <n v="13405"/>
    <n v="7303"/>
    <n v="3652"/>
    <n v="750"/>
    <n v="450"/>
    <n v="0"/>
    <n v="0"/>
    <n v="1250"/>
    <n v="450"/>
    <n v="250"/>
    <n v="0"/>
    <n v="0"/>
    <n v="0"/>
    <n v="0"/>
    <n v="0"/>
    <n v="0"/>
    <n v="0"/>
    <n v="0"/>
    <n v="13655"/>
    <n v="13655"/>
    <n v="0"/>
  </r>
  <r>
    <n v="481"/>
    <s v="ABC J (Bangladesh) Ltd."/>
    <n v="6532658"/>
    <s v="April"/>
    <s v="Production"/>
    <s v="Quilting Export"/>
    <s v="Assistant Bundle Man"/>
    <s v="9005001700037400"/>
    <n v="2022"/>
    <x v="377"/>
    <d v="2022-01-13T00:00:00"/>
    <d v="1985-10-17T00:00:00"/>
    <s v="M"/>
    <s v="Y"/>
    <s v="Worker"/>
    <n v="13514"/>
    <n v="13514"/>
    <n v="7376"/>
    <n v="3688"/>
    <n v="750"/>
    <n v="450"/>
    <n v="0"/>
    <n v="0"/>
    <n v="1250"/>
    <n v="450"/>
    <n v="0"/>
    <n v="0"/>
    <n v="0"/>
    <n v="0"/>
    <n v="0"/>
    <n v="0"/>
    <n v="0"/>
    <n v="0"/>
    <n v="0"/>
    <n v="13514"/>
    <n v="13514"/>
    <n v="0"/>
  </r>
  <r>
    <n v="482"/>
    <s v="ABC J (Bangladesh) Ltd."/>
    <n v="5824711"/>
    <s v="Arianna"/>
    <s v="Production"/>
    <s v="Quilting Export"/>
    <s v="Operator"/>
    <s v="9005001700037420"/>
    <n v="2022"/>
    <x v="378"/>
    <d v="2022-02-01T00:00:00"/>
    <d v="1988-02-01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483"/>
    <s v="ABC J (Bangladesh) Ltd."/>
    <n v="9531509"/>
    <s v="Arthur"/>
    <s v="Production"/>
    <s v="Quilting Export"/>
    <s v="Assistant Bundle Man"/>
    <s v="9005001700037450"/>
    <n v="1900"/>
    <x v="379"/>
    <m/>
    <d v="1993-01-14T00:00:00"/>
    <s v="M"/>
    <s v="Y"/>
    <s v="Worker"/>
    <n v="14888"/>
    <n v="14888"/>
    <n v="8292"/>
    <n v="4146"/>
    <n v="750"/>
    <n v="450"/>
    <n v="0"/>
    <n v="0"/>
    <n v="1250"/>
    <n v="450"/>
    <n v="350"/>
    <n v="0"/>
    <n v="0"/>
    <n v="0"/>
    <n v="0"/>
    <n v="0"/>
    <n v="0"/>
    <n v="0"/>
    <n v="0"/>
    <n v="15238"/>
    <n v="15238"/>
    <n v="0"/>
  </r>
  <r>
    <n v="484"/>
    <s v="ABC J (Bangladesh) Ltd."/>
    <n v="6711848"/>
    <s v="Ashley"/>
    <s v="Production"/>
    <s v="Quilting Export"/>
    <s v="Operator"/>
    <s v="9005001700037470"/>
    <n v="1900"/>
    <x v="38"/>
    <m/>
    <d v="1987-09-26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485"/>
    <s v="ABC J (Bangladesh) Ltd."/>
    <n v="9633079"/>
    <s v="Asher"/>
    <s v="Production"/>
    <s v="Quilting Export"/>
    <s v="Operator"/>
    <s v="9005001700037470"/>
    <n v="1900"/>
    <x v="380"/>
    <m/>
    <d v="1981-03-05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486"/>
    <s v="ABC J (Bangladesh) Ltd."/>
    <n v="8624255"/>
    <s v="Austin"/>
    <s v="Production"/>
    <s v="Quilting Export"/>
    <s v="Operator"/>
    <s v="9005001700037400"/>
    <n v="1900"/>
    <x v="330"/>
    <m/>
    <d v="1985-05-05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487"/>
    <s v="ABC J (Bangladesh) Ltd."/>
    <n v="9745485"/>
    <s v="Autumn"/>
    <s v="Production"/>
    <s v="Quilting Export"/>
    <s v="Operator"/>
    <s v="9005001700037430"/>
    <n v="1900"/>
    <x v="381"/>
    <m/>
    <d v="1980-10-05T00:00:00"/>
    <s v="F"/>
    <s v="Y"/>
    <s v="Worker"/>
    <n v="15337"/>
    <n v="15030"/>
    <n v="8591"/>
    <n v="4296"/>
    <n v="750"/>
    <n v="450"/>
    <n v="0"/>
    <n v="0"/>
    <n v="1250"/>
    <n v="450"/>
    <n v="0"/>
    <n v="0"/>
    <n v="0"/>
    <n v="0"/>
    <n v="307"/>
    <n v="0"/>
    <n v="0"/>
    <n v="0"/>
    <n v="0"/>
    <n v="15030"/>
    <n v="15030"/>
    <n v="0"/>
  </r>
  <r>
    <n v="488"/>
    <s v="ABC J (Bangladesh) Ltd."/>
    <n v="7813069"/>
    <s v="Ava"/>
    <s v="Production"/>
    <s v="Quilting Export"/>
    <s v="Operator"/>
    <s v="9005001700037410"/>
    <n v="1900"/>
    <x v="382"/>
    <m/>
    <d v="1984-07-12T00:00:00"/>
    <s v="F"/>
    <s v="Y"/>
    <s v="Worker"/>
    <n v="17204"/>
    <n v="17204"/>
    <n v="9836"/>
    <n v="4918"/>
    <n v="750"/>
    <n v="450"/>
    <n v="0"/>
    <n v="0"/>
    <n v="1250"/>
    <n v="450"/>
    <n v="350"/>
    <n v="0"/>
    <n v="0"/>
    <n v="0"/>
    <n v="0"/>
    <n v="0"/>
    <n v="0"/>
    <n v="0"/>
    <n v="0"/>
    <n v="17554"/>
    <n v="17554"/>
    <n v="0"/>
  </r>
  <r>
    <n v="489"/>
    <s v="ABC J (Bangladesh) Ltd."/>
    <n v="5181763"/>
    <s v="Avery"/>
    <s v="Production"/>
    <s v="Quilting Export"/>
    <s v="Operator"/>
    <s v="9005001700037480"/>
    <n v="1900"/>
    <x v="383"/>
    <m/>
    <d v="1986-09-13T00:00:00"/>
    <s v="F"/>
    <s v="Y"/>
    <s v="Worker"/>
    <n v="16529"/>
    <n v="16529"/>
    <n v="9386"/>
    <n v="4693"/>
    <n v="750"/>
    <n v="450"/>
    <n v="0"/>
    <n v="0"/>
    <n v="1250"/>
    <n v="450"/>
    <n v="250"/>
    <n v="0"/>
    <n v="0"/>
    <n v="0"/>
    <n v="0"/>
    <n v="0"/>
    <n v="0"/>
    <n v="0"/>
    <n v="0"/>
    <n v="16779"/>
    <n v="16779"/>
    <n v="0"/>
  </r>
  <r>
    <n v="490"/>
    <s v="ABC J (Bangladesh) Ltd."/>
    <n v="9042018"/>
    <s v="Barbara"/>
    <s v="Production"/>
    <s v="Quilting Export"/>
    <s v="Assistant Operator"/>
    <s v="9005001700037420"/>
    <n v="2022"/>
    <x v="334"/>
    <d v="2022-06-20T00:00:00"/>
    <d v="1992-06-20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491"/>
    <s v="ABC J (Bangladesh) Ltd."/>
    <n v="7070729"/>
    <s v="Benjamin"/>
    <s v="Production"/>
    <s v="Sewing Export"/>
    <s v="Assistant"/>
    <m/>
    <n v="2022"/>
    <x v="189"/>
    <d v="2022-01-01T00:00:00"/>
    <d v="1998-01-01T00:00:00"/>
    <s v="F"/>
    <s v="Y"/>
    <s v="Worker"/>
    <n v="13405"/>
    <n v="12623"/>
    <n v="7303"/>
    <n v="3652"/>
    <n v="750"/>
    <n v="450"/>
    <n v="0"/>
    <n v="0"/>
    <n v="1250"/>
    <n v="450"/>
    <n v="0"/>
    <n v="0"/>
    <n v="0"/>
    <n v="0"/>
    <n v="782"/>
    <n v="0"/>
    <n v="0"/>
    <n v="0"/>
    <n v="0"/>
    <n v="12623"/>
    <n v="12623"/>
    <n v="0"/>
  </r>
  <r>
    <n v="492"/>
    <s v="ABC J (Bangladesh) Ltd."/>
    <n v="7542621"/>
    <s v="Bethany"/>
    <s v="Production"/>
    <s v="Sewing Export"/>
    <s v="Assistant"/>
    <m/>
    <n v="2022"/>
    <x v="127"/>
    <d v="2022-01-01T00:00:00"/>
    <d v="1987-03-19T00:00:00"/>
    <s v="F"/>
    <s v="Y"/>
    <s v="Worker"/>
    <n v="13405"/>
    <n v="12362"/>
    <n v="7303"/>
    <n v="3652"/>
    <n v="750"/>
    <n v="450"/>
    <n v="0"/>
    <n v="0"/>
    <n v="1250"/>
    <n v="450"/>
    <n v="0"/>
    <n v="0"/>
    <n v="0"/>
    <n v="0"/>
    <n v="1043"/>
    <n v="0"/>
    <n v="0"/>
    <n v="0"/>
    <n v="0"/>
    <n v="12362"/>
    <n v="12362"/>
    <n v="0"/>
  </r>
  <r>
    <n v="493"/>
    <s v="ABC J (Bangladesh) Ltd."/>
    <n v="8989052"/>
    <s v="Blake"/>
    <s v="Production"/>
    <s v="Sewing Export"/>
    <s v="Assistant Sewing Machine Operator"/>
    <m/>
    <n v="2022"/>
    <x v="384"/>
    <d v="2022-01-01T00:00:00"/>
    <d v="1984-05-10T00:00:00"/>
    <s v="F"/>
    <s v="Y"/>
    <s v="Worker"/>
    <n v="15718"/>
    <n v="15718"/>
    <n v="8845"/>
    <n v="4423"/>
    <n v="750"/>
    <n v="450"/>
    <n v="0"/>
    <n v="0"/>
    <n v="1250"/>
    <n v="450"/>
    <n v="350"/>
    <n v="0"/>
    <n v="0"/>
    <n v="0"/>
    <n v="0"/>
    <n v="0"/>
    <n v="0"/>
    <n v="0"/>
    <n v="0"/>
    <n v="16068"/>
    <n v="16068"/>
    <n v="0"/>
  </r>
  <r>
    <n v="494"/>
    <s v="ABC J (Bangladesh) Ltd."/>
    <n v="8769258"/>
    <s v="Brandon"/>
    <s v="Production"/>
    <s v="Sewing Export"/>
    <s v="Junior Operator"/>
    <m/>
    <n v="2022"/>
    <x v="385"/>
    <d v="2022-01-01T00:00:00"/>
    <d v="1986-11-14T00:00:00"/>
    <s v="F"/>
    <s v="Y"/>
    <s v="Worker"/>
    <n v="14713"/>
    <n v="14713"/>
    <n v="8175"/>
    <n v="4088"/>
    <n v="750"/>
    <n v="450"/>
    <n v="0"/>
    <n v="0"/>
    <n v="1250"/>
    <n v="450"/>
    <n v="250"/>
    <n v="0"/>
    <n v="0"/>
    <n v="0"/>
    <n v="0"/>
    <n v="0"/>
    <n v="0"/>
    <n v="0"/>
    <n v="0"/>
    <n v="14963"/>
    <n v="14963"/>
    <n v="0"/>
  </r>
  <r>
    <n v="495"/>
    <s v="ABC J (Bangladesh) Ltd."/>
    <n v="7632219"/>
    <s v="Brianna"/>
    <s v="Production"/>
    <s v="Sewing Export"/>
    <s v="Operator"/>
    <m/>
    <n v="2022"/>
    <x v="288"/>
    <d v="2022-01-01T00:00:00"/>
    <d v="1985-06-01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496"/>
    <s v="ABC J (Bangladesh) Ltd."/>
    <n v="8176869"/>
    <s v="Brittany"/>
    <s v="Production"/>
    <s v="Sewing Export"/>
    <s v="Assistant"/>
    <m/>
    <n v="2022"/>
    <x v="282"/>
    <d v="2022-01-01T00:00:00"/>
    <d v="1993-01-02T00:00:00"/>
    <s v="F"/>
    <s v="Y"/>
    <s v="Worker"/>
    <n v="13568"/>
    <n v="13303"/>
    <n v="7412"/>
    <n v="3706"/>
    <n v="750"/>
    <n v="450"/>
    <n v="0"/>
    <n v="0"/>
    <n v="1250"/>
    <n v="450"/>
    <n v="0"/>
    <n v="0"/>
    <n v="0"/>
    <n v="0"/>
    <n v="265"/>
    <n v="0"/>
    <n v="0"/>
    <n v="0"/>
    <n v="0"/>
    <n v="13303"/>
    <n v="13303"/>
    <n v="0"/>
  </r>
  <r>
    <n v="497"/>
    <s v="ABC J (Bangladesh) Ltd."/>
    <n v="7390458"/>
    <s v="Brock"/>
    <s v="Production"/>
    <s v="Sewing Export"/>
    <s v="Assistant"/>
    <m/>
    <n v="2019"/>
    <x v="386"/>
    <d v="2019-01-01T00:00:00"/>
    <d v="1980-09-17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498"/>
    <s v="ABC J (Bangladesh) Ltd."/>
    <n v="8195113"/>
    <s v="Brooklyn"/>
    <s v="Production"/>
    <s v="Sewing Export"/>
    <s v="Assistant"/>
    <m/>
    <n v="2019"/>
    <x v="185"/>
    <d v="2019-01-01T00:00:00"/>
    <d v="1975-08-07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499"/>
    <s v="ABC J (Bangladesh) Ltd."/>
    <n v="5315294"/>
    <s v="Caleb"/>
    <s v="Production"/>
    <s v="Sewing Export"/>
    <s v="Operator"/>
    <m/>
    <n v="2019"/>
    <x v="387"/>
    <d v="2019-01-01T00:00:00"/>
    <d v="1985-04-11T00:00:00"/>
    <s v="F"/>
    <s v="Y"/>
    <s v="Worker"/>
    <n v="16519"/>
    <n v="16519"/>
    <n v="9379"/>
    <n v="4690"/>
    <n v="750"/>
    <n v="450"/>
    <n v="0"/>
    <n v="0"/>
    <n v="1250"/>
    <n v="450"/>
    <n v="350"/>
    <n v="0"/>
    <n v="0"/>
    <n v="0"/>
    <n v="0"/>
    <n v="0"/>
    <n v="0"/>
    <n v="0"/>
    <n v="0"/>
    <n v="16869"/>
    <n v="16869"/>
    <n v="0"/>
  </r>
  <r>
    <n v="500"/>
    <s v="ABC J (Bangladesh) Ltd."/>
    <n v="9145184"/>
    <s v="Cameron"/>
    <s v="Production"/>
    <s v="Sewing Export"/>
    <s v="Operator"/>
    <m/>
    <n v="2019"/>
    <x v="278"/>
    <d v="2019-01-01T00:00:00"/>
    <d v="1990-08-12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501"/>
    <s v="ABC J (Bangladesh) Ltd."/>
    <n v="7510170"/>
    <s v="Carl"/>
    <s v="Production"/>
    <s v="Sewing Export"/>
    <s v="Assistant Sewing Machine Operator"/>
    <m/>
    <n v="2019"/>
    <x v="388"/>
    <d v="2019-01-01T00:00:00"/>
    <d v="1973-08-06T00:00:00"/>
    <s v="F"/>
    <s v="Y"/>
    <s v="Worker"/>
    <n v="16248"/>
    <n v="16248"/>
    <n v="9199"/>
    <n v="4599"/>
    <n v="750"/>
    <n v="450"/>
    <n v="0"/>
    <n v="0"/>
    <n v="1250"/>
    <n v="450"/>
    <n v="350"/>
    <n v="0"/>
    <n v="0"/>
    <n v="0"/>
    <n v="0"/>
    <n v="0"/>
    <n v="0"/>
    <n v="0"/>
    <n v="0"/>
    <n v="16598"/>
    <n v="16598"/>
    <n v="0"/>
  </r>
  <r>
    <n v="502"/>
    <s v="ABC J (Bangladesh) Ltd."/>
    <n v="6875407"/>
    <s v="Carlos"/>
    <s v="Production"/>
    <s v="Sewing Export"/>
    <s v="Assistant Sewing Machine Operator"/>
    <m/>
    <n v="2025"/>
    <x v="288"/>
    <d v="2025-03-31T00:00:00"/>
    <d v="1975-10-20T00:00:00"/>
    <s v="F"/>
    <s v="Y"/>
    <s v="Worker"/>
    <n v="13568"/>
    <n v="11980"/>
    <n v="7412"/>
    <n v="3706"/>
    <n v="750"/>
    <n v="450"/>
    <n v="0"/>
    <n v="0"/>
    <n v="1250"/>
    <n v="450"/>
    <n v="0"/>
    <n v="0"/>
    <n v="0"/>
    <n v="0"/>
    <n v="1588"/>
    <n v="0"/>
    <n v="0"/>
    <n v="0"/>
    <n v="0"/>
    <n v="11980"/>
    <n v="11980"/>
    <n v="0"/>
  </r>
  <r>
    <n v="503"/>
    <s v="ABC J (Bangladesh) Ltd."/>
    <n v="5267423"/>
    <s v="Carter"/>
    <s v="Production"/>
    <s v="Sewing Export"/>
    <s v="Assistant Sewing Machine Operator"/>
    <m/>
    <n v="2019"/>
    <x v="209"/>
    <d v="2019-01-01T00:00:00"/>
    <d v="1971-01-01T00:00:00"/>
    <s v="F"/>
    <s v="Y"/>
    <s v="Worker"/>
    <n v="15337"/>
    <n v="15030"/>
    <n v="8591"/>
    <n v="4296"/>
    <n v="750"/>
    <n v="450"/>
    <n v="0"/>
    <n v="0"/>
    <n v="1250"/>
    <n v="450"/>
    <n v="0"/>
    <n v="0"/>
    <n v="0"/>
    <n v="0"/>
    <n v="307"/>
    <n v="0"/>
    <n v="0"/>
    <n v="0"/>
    <n v="0"/>
    <n v="15030"/>
    <n v="15030"/>
    <n v="0"/>
  </r>
  <r>
    <n v="504"/>
    <s v="ABC J (Bangladesh) Ltd."/>
    <n v="6209844"/>
    <s v="Cassandra"/>
    <s v="Production"/>
    <s v="Sewing Export"/>
    <s v="Assistant Sewing Machine Operator"/>
    <m/>
    <n v="2019"/>
    <x v="389"/>
    <d v="2019-01-01T00:00:00"/>
    <d v="1978-03-05T00:00:00"/>
    <s v="F"/>
    <s v="Y"/>
    <s v="Worker"/>
    <n v="13568"/>
    <n v="13568"/>
    <n v="7412"/>
    <n v="3706"/>
    <n v="750"/>
    <n v="450"/>
    <n v="0"/>
    <n v="0"/>
    <n v="1250"/>
    <n v="450"/>
    <n v="350"/>
    <n v="0"/>
    <n v="0"/>
    <n v="0"/>
    <n v="0"/>
    <n v="0"/>
    <n v="0"/>
    <n v="0"/>
    <n v="0"/>
    <n v="13918"/>
    <n v="13918"/>
    <n v="0"/>
  </r>
  <r>
    <n v="505"/>
    <s v="ABC J (Bangladesh) Ltd."/>
    <n v="7204074"/>
    <s v="Catherine"/>
    <s v="Production"/>
    <s v="Sewing Export"/>
    <s v="Sewing Machine Operator"/>
    <m/>
    <n v="2019"/>
    <x v="390"/>
    <d v="2019-01-01T00:00:00"/>
    <d v="1975-01-01T00:00:00"/>
    <s v="F"/>
    <s v="Y"/>
    <s v="Worker"/>
    <n v="13568"/>
    <n v="13303"/>
    <n v="7412"/>
    <n v="3706"/>
    <n v="750"/>
    <n v="450"/>
    <n v="0"/>
    <n v="0"/>
    <n v="1250"/>
    <n v="450"/>
    <n v="0"/>
    <n v="0"/>
    <n v="0"/>
    <n v="0"/>
    <n v="265"/>
    <n v="0"/>
    <n v="0"/>
    <n v="0"/>
    <n v="0"/>
    <n v="13303"/>
    <n v="13303"/>
    <n v="0"/>
  </r>
  <r>
    <n v="506"/>
    <s v="ABC J (Bangladesh) Ltd."/>
    <n v="8866923"/>
    <s v="Charles"/>
    <s v="Production"/>
    <s v="Sewing Export"/>
    <s v="Junior Operator"/>
    <m/>
    <n v="2019"/>
    <x v="391"/>
    <d v="2019-01-01T00:00:00"/>
    <d v="1972-03-18T00:00:00"/>
    <s v="F"/>
    <s v="Y"/>
    <s v="Worker"/>
    <n v="14549"/>
    <n v="14549"/>
    <n v="8066"/>
    <n v="4033"/>
    <n v="750"/>
    <n v="450"/>
    <n v="0"/>
    <n v="0"/>
    <n v="1250"/>
    <n v="450"/>
    <n v="0"/>
    <n v="0"/>
    <n v="0"/>
    <n v="0"/>
    <n v="0"/>
    <n v="0"/>
    <n v="0"/>
    <n v="0"/>
    <n v="0"/>
    <n v="14549"/>
    <n v="14549"/>
    <n v="0"/>
  </r>
  <r>
    <n v="507"/>
    <s v="ABC J (Bangladesh) Ltd."/>
    <n v="6598902"/>
    <s v="Charlotte"/>
    <s v="Production"/>
    <s v="Sewing Export"/>
    <s v="Assistant Sewing Machine Operator"/>
    <m/>
    <n v="2019"/>
    <x v="392"/>
    <d v="2019-01-01T00:00:00"/>
    <d v="1987-08-12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508"/>
    <s v="ABC J (Bangladesh) Ltd."/>
    <n v="5578181"/>
    <s v="Chloe"/>
    <s v="Production"/>
    <s v="Sewing Export"/>
    <s v="Assistant"/>
    <s v="9005001700038380"/>
    <n v="1900"/>
    <x v="256"/>
    <m/>
    <d v="2001-06-01T00:00:00"/>
    <s v="F"/>
    <s v="Y"/>
    <s v="Worker"/>
    <n v="13405"/>
    <n v="12883"/>
    <n v="7303"/>
    <n v="3652"/>
    <n v="750"/>
    <n v="450"/>
    <n v="0"/>
    <n v="0"/>
    <n v="1250"/>
    <n v="450"/>
    <n v="0"/>
    <n v="0"/>
    <n v="0"/>
    <n v="0"/>
    <n v="522"/>
    <n v="0"/>
    <n v="0"/>
    <n v="0"/>
    <n v="0"/>
    <n v="12883"/>
    <n v="12883"/>
    <n v="0"/>
  </r>
  <r>
    <n v="509"/>
    <s v="ABC J (Bangladesh) Ltd."/>
    <n v="7682415"/>
    <s v="Christian"/>
    <s v="Production"/>
    <s v="Sewing Export"/>
    <s v="Assistant"/>
    <s v="9005001700037400"/>
    <n v="1900"/>
    <x v="393"/>
    <m/>
    <d v="1991-01-03T00:00:00"/>
    <s v="F"/>
    <s v="Y"/>
    <s v="Worker"/>
    <n v="13405"/>
    <n v="12883"/>
    <n v="7303"/>
    <n v="3652"/>
    <n v="750"/>
    <n v="450"/>
    <n v="0"/>
    <n v="0"/>
    <n v="1250"/>
    <n v="450"/>
    <n v="0"/>
    <n v="0"/>
    <n v="0"/>
    <n v="0"/>
    <n v="522"/>
    <n v="0"/>
    <n v="0"/>
    <n v="0"/>
    <n v="0"/>
    <n v="12883"/>
    <n v="12883"/>
    <n v="0"/>
  </r>
  <r>
    <n v="510"/>
    <s v="ABC J (Bangladesh) Ltd."/>
    <n v="5706718"/>
    <s v="Christina"/>
    <s v="Production"/>
    <s v="Sewing Export"/>
    <s v="Assistant Operator"/>
    <s v="9005001700037460"/>
    <n v="1900"/>
    <x v="229"/>
    <m/>
    <d v="1993-01-01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511"/>
    <s v="ABC J (Bangladesh) Ltd."/>
    <n v="8171056"/>
    <s v="Christopher"/>
    <s v="Production"/>
    <s v="Sewing Export"/>
    <s v="Assistant Operator"/>
    <s v="9005001700037390"/>
    <n v="1900"/>
    <x v="229"/>
    <m/>
    <d v="1999-01-01T00:00:00"/>
    <s v="F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512"/>
    <s v="ABC J (Bangladesh) Ltd."/>
    <n v="6846799"/>
    <s v="Claire"/>
    <s v="Production"/>
    <s v="Sewing Export"/>
    <s v="Operator"/>
    <s v="9005001700037460"/>
    <n v="2019"/>
    <x v="394"/>
    <d v="2019-09-05T00:00:00"/>
    <d v="1988-09-05T00:00:00"/>
    <s v="F"/>
    <s v="Y"/>
    <s v="Worker"/>
    <n v="16642"/>
    <n v="16642"/>
    <n v="9461"/>
    <n v="4731"/>
    <n v="750"/>
    <n v="450"/>
    <n v="0"/>
    <n v="0"/>
    <n v="1250"/>
    <n v="450"/>
    <n v="350"/>
    <n v="0"/>
    <n v="0"/>
    <n v="0"/>
    <n v="0"/>
    <n v="0"/>
    <n v="0"/>
    <n v="0"/>
    <n v="0"/>
    <n v="16992"/>
    <n v="16992"/>
    <n v="0"/>
  </r>
  <r>
    <n v="513"/>
    <s v="ABC J (Bangladesh) Ltd."/>
    <n v="8268033"/>
    <s v="Clara"/>
    <s v="Production"/>
    <s v="Sewing Export"/>
    <s v="Assistant Operator"/>
    <s v="9005001700037400"/>
    <n v="1900"/>
    <x v="218"/>
    <m/>
    <d v="1984-03-09T00:00:00"/>
    <s v="F"/>
    <s v="Y"/>
    <s v="Worker"/>
    <n v="13732"/>
    <n v="13732"/>
    <n v="7521"/>
    <n v="3761"/>
    <n v="750"/>
    <n v="450"/>
    <n v="0"/>
    <n v="0"/>
    <n v="1250"/>
    <n v="450"/>
    <n v="350"/>
    <n v="0"/>
    <n v="0"/>
    <n v="0"/>
    <n v="0"/>
    <n v="0"/>
    <n v="0"/>
    <n v="0"/>
    <n v="0"/>
    <n v="14082"/>
    <n v="14082"/>
    <n v="0"/>
  </r>
  <r>
    <n v="514"/>
    <s v="ABC J (Bangladesh) Ltd."/>
    <n v="9591750"/>
    <s v="Connor"/>
    <s v="Production"/>
    <s v="Sewing Export"/>
    <s v="Operator"/>
    <s v="9005001700037410"/>
    <n v="2019"/>
    <x v="395"/>
    <d v="2019-01-01T00:00:00"/>
    <d v="1988-01-01T00:00:00"/>
    <s v="F"/>
    <s v="Y"/>
    <s v="Worker"/>
    <n v="18331"/>
    <n v="18331"/>
    <n v="10587"/>
    <n v="5294"/>
    <n v="750"/>
    <n v="450"/>
    <n v="0"/>
    <n v="0"/>
    <n v="1250"/>
    <n v="450"/>
    <n v="350"/>
    <n v="0"/>
    <n v="0"/>
    <n v="0"/>
    <n v="0"/>
    <n v="0"/>
    <n v="0"/>
    <n v="0"/>
    <n v="0"/>
    <n v="18681"/>
    <n v="18681"/>
    <n v="0"/>
  </r>
  <r>
    <n v="515"/>
    <s v="ABC J (Bangladesh) Ltd."/>
    <n v="7663306"/>
    <s v="Cooper"/>
    <s v="Production"/>
    <s v="Sewing Export"/>
    <s v="Operator"/>
    <s v="9005001700037450"/>
    <n v="1900"/>
    <x v="396"/>
    <m/>
    <d v="1996-02-03T00:00:00"/>
    <s v="F"/>
    <s v="Y"/>
    <s v="Worker"/>
    <n v="15337"/>
    <n v="15337"/>
    <n v="8591"/>
    <n v="4296"/>
    <n v="750"/>
    <n v="450"/>
    <n v="0"/>
    <n v="0"/>
    <n v="1250"/>
    <n v="450"/>
    <n v="250"/>
    <n v="0"/>
    <n v="0"/>
    <n v="0"/>
    <n v="0"/>
    <n v="0"/>
    <n v="0"/>
    <n v="0"/>
    <n v="0"/>
    <n v="15587"/>
    <n v="15587"/>
    <n v="0"/>
  </r>
  <r>
    <n v="516"/>
    <s v="ABC J (Bangladesh) Ltd."/>
    <n v="7983430"/>
    <s v="Courtney"/>
    <s v="Production"/>
    <s v="Sewing Export"/>
    <s v="Junior Operator"/>
    <s v="9005001700037430"/>
    <n v="1900"/>
    <x v="397"/>
    <m/>
    <d v="1973-08-06T00:00:00"/>
    <s v="F"/>
    <s v="Y"/>
    <s v="Worker"/>
    <n v="16606"/>
    <n v="16606"/>
    <n v="9437"/>
    <n v="4719"/>
    <n v="750"/>
    <n v="450"/>
    <n v="0"/>
    <n v="0"/>
    <n v="1250"/>
    <n v="450"/>
    <n v="350"/>
    <n v="0"/>
    <n v="0"/>
    <n v="0"/>
    <n v="0"/>
    <n v="0"/>
    <n v="0"/>
    <n v="0"/>
    <n v="0"/>
    <n v="16956"/>
    <n v="16956"/>
    <n v="0"/>
  </r>
  <r>
    <n v="517"/>
    <s v="ABC J (Bangladesh) Ltd."/>
    <n v="7413675"/>
    <s v="Damian"/>
    <s v="Production"/>
    <s v="Sewing Export"/>
    <s v="Operator"/>
    <s v="9005001700037410"/>
    <n v="1900"/>
    <x v="398"/>
    <m/>
    <d v="1995-05-14T00:00:00"/>
    <s v="F"/>
    <s v="Y"/>
    <s v="Worker"/>
    <n v="16519"/>
    <n v="16519"/>
    <n v="9379"/>
    <n v="4690"/>
    <n v="750"/>
    <n v="450"/>
    <n v="0"/>
    <n v="0"/>
    <n v="1250"/>
    <n v="450"/>
    <n v="350"/>
    <n v="0"/>
    <n v="0"/>
    <n v="0"/>
    <n v="0"/>
    <n v="0"/>
    <n v="0"/>
    <n v="0"/>
    <n v="0"/>
    <n v="16869"/>
    <n v="16869"/>
    <n v="0"/>
  </r>
  <r>
    <n v="518"/>
    <s v="ABC J (Bangladesh) Ltd."/>
    <n v="8931729"/>
    <s v="Daniel"/>
    <s v="Production"/>
    <s v="Sewing Export"/>
    <s v="Junior Operator"/>
    <s v="9005001700037460"/>
    <n v="1900"/>
    <x v="399"/>
    <m/>
    <d v="1984-09-12T00:00:00"/>
    <s v="F"/>
    <s v="Y"/>
    <s v="Worker"/>
    <n v="16661"/>
    <n v="16661"/>
    <n v="9474"/>
    <n v="4737"/>
    <n v="750"/>
    <n v="450"/>
    <n v="0"/>
    <n v="0"/>
    <n v="1250"/>
    <n v="450"/>
    <n v="350"/>
    <n v="0"/>
    <n v="0"/>
    <n v="0"/>
    <n v="0"/>
    <n v="0"/>
    <n v="0"/>
    <n v="0"/>
    <n v="0"/>
    <n v="17011"/>
    <n v="17011"/>
    <n v="0"/>
  </r>
  <r>
    <n v="519"/>
    <s v="ABC J (Bangladesh) Ltd."/>
    <n v="7309528"/>
    <s v="Danielle"/>
    <s v="Production"/>
    <s v="Sewing Export"/>
    <s v="Operator"/>
    <s v="9005001700037390"/>
    <n v="1900"/>
    <x v="400"/>
    <m/>
    <d v="1979-08-12T00:00:00"/>
    <s v="F"/>
    <s v="Y"/>
    <s v="Worker"/>
    <n v="18388"/>
    <n v="18388"/>
    <n v="10625"/>
    <n v="5313"/>
    <n v="750"/>
    <n v="450"/>
    <n v="0"/>
    <n v="0"/>
    <n v="1250"/>
    <n v="450"/>
    <n v="350"/>
    <n v="0"/>
    <n v="0"/>
    <n v="0"/>
    <n v="0"/>
    <n v="0"/>
    <n v="0"/>
    <n v="0"/>
    <n v="0"/>
    <n v="18738"/>
    <n v="18738"/>
    <n v="0"/>
  </r>
  <r>
    <n v="520"/>
    <s v="ABC J (Bangladesh) Ltd."/>
    <n v="9048200"/>
    <s v="David"/>
    <s v="Production"/>
    <s v="Sewing Export"/>
    <s v="Operator"/>
    <s v="9005001700037390"/>
    <n v="1900"/>
    <x v="401"/>
    <m/>
    <d v="1980-01-02T00:00:00"/>
    <s v="F"/>
    <s v="Y"/>
    <s v="Worker"/>
    <n v="18388"/>
    <n v="18388"/>
    <n v="10625"/>
    <n v="5313"/>
    <n v="750"/>
    <n v="450"/>
    <n v="0"/>
    <n v="0"/>
    <n v="1250"/>
    <n v="450"/>
    <n v="0"/>
    <n v="0"/>
    <n v="0"/>
    <n v="0"/>
    <n v="0"/>
    <n v="0"/>
    <n v="0"/>
    <n v="0"/>
    <n v="0"/>
    <n v="18388"/>
    <n v="18388"/>
    <n v="0"/>
  </r>
  <r>
    <n v="521"/>
    <s v="ABC J (Bangladesh) Ltd."/>
    <n v="7047074"/>
    <s v="Dean"/>
    <s v="Production"/>
    <s v="Sewing Export"/>
    <s v="Operator"/>
    <s v="9005001700037430"/>
    <n v="1900"/>
    <x v="402"/>
    <m/>
    <d v="1972-10-07T00:00:00"/>
    <s v="F"/>
    <s v="Y"/>
    <s v="Worker"/>
    <n v="15337"/>
    <n v="15337"/>
    <n v="8591"/>
    <n v="4296"/>
    <n v="750"/>
    <n v="450"/>
    <n v="0"/>
    <n v="0"/>
    <n v="1250"/>
    <n v="450"/>
    <n v="250"/>
    <n v="0"/>
    <n v="0"/>
    <n v="0"/>
    <n v="0"/>
    <n v="0"/>
    <n v="0"/>
    <n v="0"/>
    <n v="0"/>
    <n v="15587"/>
    <n v="15587"/>
    <n v="0"/>
  </r>
  <r>
    <n v="522"/>
    <s v="ABC J (Bangladesh) Ltd."/>
    <n v="6842956"/>
    <s v="Delilah"/>
    <s v="Production"/>
    <s v="Sewing Export"/>
    <s v="Assistant Operator"/>
    <s v="9005001700037480"/>
    <n v="1900"/>
    <x v="403"/>
    <m/>
    <d v="1972-07-22T00:00:00"/>
    <s v="F"/>
    <s v="Y"/>
    <s v="Worker"/>
    <n v="13622"/>
    <n v="13622"/>
    <n v="7448"/>
    <n v="3724"/>
    <n v="750"/>
    <n v="450"/>
    <n v="0"/>
    <n v="0"/>
    <n v="1250"/>
    <n v="450"/>
    <n v="0"/>
    <n v="0"/>
    <n v="0"/>
    <n v="0"/>
    <n v="0"/>
    <n v="0"/>
    <n v="0"/>
    <n v="0"/>
    <n v="0"/>
    <n v="13622"/>
    <n v="13622"/>
    <n v="0"/>
  </r>
  <r>
    <n v="523"/>
    <s v="ABC J (Bangladesh) Ltd."/>
    <n v="5610236"/>
    <s v="Derek"/>
    <s v="Production"/>
    <s v="Sewing Export"/>
    <s v="Operator"/>
    <s v="9005001700037380"/>
    <n v="1900"/>
    <x v="276"/>
    <m/>
    <d v="1994-05-18T00:00:00"/>
    <s v="F"/>
    <s v="Y"/>
    <s v="Worker"/>
    <n v="16642"/>
    <n v="16642"/>
    <n v="9461"/>
    <n v="4731"/>
    <n v="750"/>
    <n v="450"/>
    <n v="0"/>
    <n v="0"/>
    <n v="1250"/>
    <n v="450"/>
    <n v="350"/>
    <n v="0"/>
    <n v="0"/>
    <n v="0"/>
    <n v="0"/>
    <n v="0"/>
    <n v="0"/>
    <n v="0"/>
    <n v="0"/>
    <n v="16992"/>
    <n v="16992"/>
    <n v="0"/>
  </r>
  <r>
    <n v="524"/>
    <s v="ABC J (Bangladesh) Ltd."/>
    <n v="6186293"/>
    <s v="Devin"/>
    <s v="Production"/>
    <s v="Sewing Export"/>
    <s v="Operator"/>
    <s v="9005001700037430"/>
    <n v="1900"/>
    <x v="404"/>
    <m/>
    <d v="1985-02-01T00:00:00"/>
    <s v="F"/>
    <s v="Y"/>
    <s v="Worker"/>
    <n v="15337"/>
    <n v="15337"/>
    <n v="8591"/>
    <n v="4296"/>
    <n v="750"/>
    <n v="450"/>
    <n v="0"/>
    <n v="0"/>
    <n v="1250"/>
    <n v="450"/>
    <n v="0"/>
    <n v="0"/>
    <n v="0"/>
    <n v="0"/>
    <n v="0"/>
    <n v="0"/>
    <n v="0"/>
    <n v="0"/>
    <n v="0"/>
    <n v="15337"/>
    <n v="15337"/>
    <n v="0"/>
  </r>
  <r>
    <n v="525"/>
    <s v="ABC J (Bangladesh) Ltd."/>
    <n v="9634565"/>
    <s v="Diana"/>
    <s v="Production"/>
    <s v="Sewing Export"/>
    <s v="Operator"/>
    <s v="9005001700037400"/>
    <n v="1900"/>
    <x v="405"/>
    <m/>
    <d v="1989-01-01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526"/>
    <s v="ABC J (Bangladesh) Ltd."/>
    <n v="9894284"/>
    <s v="Dominic"/>
    <s v="Production"/>
    <s v="Sewing Export"/>
    <s v="Operator"/>
    <s v="9005001700037400"/>
    <n v="2019"/>
    <x v="354"/>
    <d v="2019-01-16T00:00:00"/>
    <d v="1988-01-16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527"/>
    <s v="ABC J (Bangladesh) Ltd."/>
    <n v="7566362"/>
    <s v="Dylan"/>
    <s v="Production"/>
    <s v="Sewing Export"/>
    <s v="Assistant Operator"/>
    <s v="9005001700037410"/>
    <n v="2019"/>
    <x v="406"/>
    <d v="2019-01-10T00:00:00"/>
    <d v="1992-01-10T00:00:00"/>
    <s v="F"/>
    <s v="Y"/>
    <s v="Worker"/>
    <n v="14663"/>
    <n v="14663"/>
    <n v="8142"/>
    <n v="4071"/>
    <n v="750"/>
    <n v="450"/>
    <n v="0"/>
    <n v="0"/>
    <n v="1250"/>
    <n v="450"/>
    <n v="350"/>
    <n v="0"/>
    <n v="0"/>
    <n v="0"/>
    <n v="0"/>
    <n v="0"/>
    <n v="0"/>
    <n v="0"/>
    <n v="0"/>
    <n v="15013"/>
    <n v="15013"/>
    <n v="0"/>
  </r>
  <r>
    <n v="528"/>
    <s v="ABC J (Bangladesh) Ltd."/>
    <n v="7790075"/>
    <s v="Edward"/>
    <s v="Production"/>
    <s v="Sewing Export"/>
    <s v="Operator"/>
    <s v="9005001700037450"/>
    <n v="1900"/>
    <x v="407"/>
    <m/>
    <d v="1983-01-01T00:00:00"/>
    <s v="F"/>
    <s v="Y"/>
    <s v="Worker"/>
    <n v="17824"/>
    <n v="17824"/>
    <n v="10249"/>
    <n v="5125"/>
    <n v="750"/>
    <n v="450"/>
    <n v="0"/>
    <n v="0"/>
    <n v="1250"/>
    <n v="450"/>
    <n v="350"/>
    <n v="0"/>
    <n v="0"/>
    <n v="0"/>
    <n v="0"/>
    <n v="0"/>
    <n v="0"/>
    <n v="0"/>
    <n v="0"/>
    <n v="18174"/>
    <n v="18174"/>
    <n v="0"/>
  </r>
  <r>
    <n v="529"/>
    <s v="ABC J Padding &amp; Quilting Ltd."/>
    <n v="8078286"/>
    <s v="Elena"/>
    <s v="Admin"/>
    <s v="House Keeping"/>
    <s v="Sweeper"/>
    <m/>
    <n v="2022"/>
    <x v="408"/>
    <d v="2022-01-01T00:00:00"/>
    <d v="2004-07-21T00:00:00"/>
    <s v="M"/>
    <s v="Y"/>
    <s v="Worker"/>
    <n v="14059"/>
    <n v="13506"/>
    <n v="7739"/>
    <n v="3870"/>
    <n v="750"/>
    <n v="450"/>
    <n v="0"/>
    <n v="0"/>
    <n v="1250"/>
    <n v="450"/>
    <n v="0"/>
    <n v="0"/>
    <n v="0"/>
    <n v="0"/>
    <n v="553"/>
    <n v="0"/>
    <n v="0"/>
    <n v="0"/>
    <n v="0"/>
    <n v="13506"/>
    <n v="13506"/>
    <n v="0"/>
  </r>
  <r>
    <n v="530"/>
    <s v="ABC J Padding &amp; Quilting Ltd."/>
    <n v="9114080"/>
    <s v="Eli"/>
    <s v="Admin"/>
    <s v="House Keeping"/>
    <s v="Cleaner"/>
    <m/>
    <n v="2022"/>
    <x v="409"/>
    <d v="2022-01-01T00:00:00"/>
    <d v="1975-12-16T00:00:00"/>
    <s v="F"/>
    <s v="Y"/>
    <s v="Worker"/>
    <n v="13732"/>
    <n v="13732"/>
    <n v="7521"/>
    <n v="3761"/>
    <n v="750"/>
    <n v="450"/>
    <n v="0"/>
    <n v="0"/>
    <n v="1250"/>
    <n v="450"/>
    <n v="350"/>
    <n v="0"/>
    <n v="0"/>
    <n v="0"/>
    <n v="0"/>
    <n v="0"/>
    <n v="0"/>
    <n v="0"/>
    <n v="0"/>
    <n v="14082"/>
    <n v="14082"/>
    <n v="0"/>
  </r>
  <r>
    <n v="531"/>
    <s v="ABC J Padding &amp; Quilting Ltd."/>
    <n v="5737934"/>
    <s v="Elias"/>
    <s v="Admin"/>
    <s v="Supports"/>
    <s v="Gardener"/>
    <m/>
    <n v="2022"/>
    <x v="410"/>
    <d v="2022-01-01T00:00:00"/>
    <d v="1971-11-09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532"/>
    <s v="ABC J Padding &amp; Quilting Ltd."/>
    <n v="6943865"/>
    <s v="Elijah"/>
    <s v="Admin"/>
    <s v="Vehicle Management"/>
    <s v="Auto Driver"/>
    <m/>
    <n v="2022"/>
    <x v="411"/>
    <d v="2022-01-01T00:00:00"/>
    <d v="1982-06-17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533"/>
    <s v="ABC J Padding &amp; Quilting Ltd."/>
    <n v="9399493"/>
    <s v="Elizabeth"/>
    <s v="Admin"/>
    <s v="Vehicle Management"/>
    <s v="Asst. Driver"/>
    <m/>
    <n v="1900"/>
    <x v="61"/>
    <m/>
    <d v="2002-01-03T00:00:00"/>
    <s v="M"/>
    <s v="N"/>
    <s v="Worker"/>
    <n v="14276"/>
    <n v="13994"/>
    <n v="7884"/>
    <n v="3942"/>
    <n v="750"/>
    <n v="450"/>
    <n v="0"/>
    <n v="0"/>
    <n v="1250"/>
    <n v="450"/>
    <n v="0"/>
    <n v="0"/>
    <n v="0"/>
    <n v="0"/>
    <n v="282"/>
    <n v="0"/>
    <n v="0"/>
    <n v="0"/>
    <n v="0"/>
    <n v="13994"/>
    <n v="13994"/>
    <n v="0"/>
  </r>
  <r>
    <n v="534"/>
    <s v="ABC J Padding &amp; Quilting Ltd."/>
    <n v="5350694"/>
    <s v="Ella"/>
    <s v="Production"/>
    <s v="Padding B"/>
    <s v="Assistant"/>
    <m/>
    <n v="2022"/>
    <x v="61"/>
    <d v="2022-01-01T00:00:00"/>
    <d v="2002-10-20T00:00:00"/>
    <s v="M"/>
    <s v="Y"/>
    <s v="Worker"/>
    <n v="13405"/>
    <n v="13144"/>
    <n v="7303"/>
    <n v="3652"/>
    <n v="750"/>
    <n v="450"/>
    <n v="0"/>
    <n v="0"/>
    <n v="1250"/>
    <n v="450"/>
    <n v="0"/>
    <n v="0"/>
    <n v="0"/>
    <n v="0"/>
    <n v="261"/>
    <n v="0"/>
    <n v="0"/>
    <n v="0"/>
    <n v="0"/>
    <n v="13144"/>
    <n v="13144"/>
    <n v="0"/>
  </r>
  <r>
    <n v="535"/>
    <s v="ABC J Padding &amp; Quilting Ltd."/>
    <n v="7676595"/>
    <s v="Elliot"/>
    <s v="Production"/>
    <s v="Padding B"/>
    <s v="Assistant"/>
    <m/>
    <n v="2022"/>
    <x v="255"/>
    <d v="2022-01-01T00:00:00"/>
    <d v="2001-01-20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536"/>
    <s v="ABC J Padding &amp; Quilting Ltd."/>
    <n v="7624333"/>
    <s v="Emily"/>
    <s v="Production"/>
    <s v="Padding B"/>
    <s v="Assistant"/>
    <m/>
    <n v="2022"/>
    <x v="146"/>
    <d v="2022-01-01T00:00:00"/>
    <d v="1996-06-01T00:00:00"/>
    <s v="M"/>
    <s v="Y"/>
    <s v="Worker"/>
    <n v="13405"/>
    <n v="13144"/>
    <n v="7303"/>
    <n v="3652"/>
    <n v="750"/>
    <n v="450"/>
    <n v="0"/>
    <n v="0"/>
    <n v="1250"/>
    <n v="450"/>
    <n v="0"/>
    <n v="0"/>
    <n v="0"/>
    <n v="0"/>
    <n v="261"/>
    <n v="0"/>
    <n v="0"/>
    <n v="0"/>
    <n v="0"/>
    <n v="13144"/>
    <n v="13144"/>
    <n v="0"/>
  </r>
  <r>
    <n v="537"/>
    <s v="ABC J Padding &amp; Quilting Ltd."/>
    <n v="6531627"/>
    <s v="Emma"/>
    <s v="Production"/>
    <s v="Padding B"/>
    <s v="Assistant"/>
    <m/>
    <n v="2022"/>
    <x v="412"/>
    <d v="2022-01-01T00:00:00"/>
    <d v="1987-04-01T00:00:00"/>
    <s v="M"/>
    <s v="Y"/>
    <s v="Worker"/>
    <n v="13405"/>
    <n v="13144"/>
    <n v="7303"/>
    <n v="3652"/>
    <n v="750"/>
    <n v="450"/>
    <n v="0"/>
    <n v="0"/>
    <n v="1250"/>
    <n v="450"/>
    <n v="0"/>
    <n v="0"/>
    <n v="0"/>
    <n v="0"/>
    <n v="261"/>
    <n v="0"/>
    <n v="0"/>
    <n v="0"/>
    <n v="0"/>
    <n v="13144"/>
    <n v="13144"/>
    <n v="0"/>
  </r>
  <r>
    <n v="538"/>
    <s v="ABC J Padding &amp; Quilting Ltd."/>
    <n v="8830958"/>
    <s v="Eric"/>
    <s v="Production"/>
    <s v="Padding B"/>
    <s v="Quality Inspector"/>
    <m/>
    <n v="1900"/>
    <x v="188"/>
    <m/>
    <d v="1992-12-15T00:00:00"/>
    <s v="M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539"/>
    <s v="ABC J Padding &amp; Quilting Ltd."/>
    <n v="6873298"/>
    <s v="Ethan"/>
    <s v="Production"/>
    <s v="Padding B"/>
    <s v="Assistant"/>
    <m/>
    <n v="1900"/>
    <x v="413"/>
    <m/>
    <d v="2002-06-18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540"/>
    <s v="ABC J Padding &amp; Quilting Ltd."/>
    <n v="8837890"/>
    <s v="Evan"/>
    <s v="Production"/>
    <s v="Padding B"/>
    <s v="Assistant"/>
    <m/>
    <n v="2022"/>
    <x v="414"/>
    <d v="2022-03-26T00:00:00"/>
    <d v="1987-03-26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541"/>
    <s v="ABC J Padding &amp; Quilting Ltd."/>
    <n v="9478337"/>
    <s v="Evelyn"/>
    <s v="Production"/>
    <s v="Padding B"/>
    <s v="Operator"/>
    <m/>
    <n v="1900"/>
    <x v="415"/>
    <m/>
    <d v="1976-07-03T00:00:00"/>
    <s v="M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2500"/>
    <n v="0"/>
    <n v="0"/>
    <n v="13187"/>
    <n v="13187"/>
    <n v="0"/>
  </r>
  <r>
    <n v="542"/>
    <s v="ABC J Padding &amp; Quilting Ltd."/>
    <n v="7962460"/>
    <s v="Faith"/>
    <s v="Production"/>
    <s v="Padding B"/>
    <s v="General Quality"/>
    <m/>
    <n v="1900"/>
    <x v="416"/>
    <m/>
    <d v="1999-08-20T00:00:00"/>
    <s v="M"/>
    <s v="Y"/>
    <s v="Worker"/>
    <n v="14549"/>
    <n v="14549"/>
    <n v="8066"/>
    <n v="4033"/>
    <n v="750"/>
    <n v="450"/>
    <n v="0"/>
    <n v="0"/>
    <n v="1250"/>
    <n v="450"/>
    <n v="350"/>
    <n v="0"/>
    <n v="0"/>
    <n v="0"/>
    <n v="0"/>
    <n v="0"/>
    <n v="0"/>
    <n v="0"/>
    <n v="0"/>
    <n v="14899"/>
    <n v="14899"/>
    <n v="0"/>
  </r>
  <r>
    <n v="543"/>
    <s v="ABC J Padding &amp; Quilting Ltd."/>
    <n v="7060357"/>
    <s v="Finn"/>
    <s v="Production"/>
    <s v="Padding B"/>
    <s v="Assistant"/>
    <m/>
    <n v="1900"/>
    <x v="142"/>
    <m/>
    <d v="1995-05-01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544"/>
    <s v="ABC J Padding &amp; Quilting Ltd."/>
    <n v="7539413"/>
    <s v="Fiona"/>
    <s v="Production"/>
    <s v="Padding B"/>
    <s v="Assistant"/>
    <m/>
    <n v="1900"/>
    <x v="57"/>
    <m/>
    <d v="1994-08-20T00:00:00"/>
    <s v="M"/>
    <s v="Y"/>
    <s v="Worker"/>
    <n v="13405"/>
    <n v="12101"/>
    <n v="7303"/>
    <n v="3652"/>
    <n v="750"/>
    <n v="450"/>
    <n v="0"/>
    <n v="0"/>
    <n v="1250"/>
    <n v="450"/>
    <n v="0"/>
    <n v="0"/>
    <n v="0"/>
    <n v="0"/>
    <n v="1304"/>
    <n v="0"/>
    <n v="0"/>
    <n v="0"/>
    <n v="0"/>
    <n v="12101"/>
    <n v="12101"/>
    <n v="0"/>
  </r>
  <r>
    <n v="545"/>
    <s v="ABC J Padding &amp; Quilting Ltd."/>
    <n v="9167224"/>
    <s v="Francesca"/>
    <s v="Production"/>
    <s v="Padding B"/>
    <s v="Operator"/>
    <m/>
    <n v="2022"/>
    <x v="417"/>
    <d v="2022-01-01T00:00:00"/>
    <d v="1971-03-10T00:00:00"/>
    <s v="M"/>
    <s v="Y"/>
    <s v="Worker"/>
    <n v="15337"/>
    <n v="15337"/>
    <n v="8591"/>
    <n v="4296"/>
    <n v="750"/>
    <n v="450"/>
    <n v="0"/>
    <n v="0"/>
    <n v="1250"/>
    <n v="450"/>
    <n v="0"/>
    <n v="0"/>
    <n v="0"/>
    <n v="0"/>
    <n v="0"/>
    <n v="0"/>
    <n v="0"/>
    <n v="0"/>
    <n v="0"/>
    <n v="15337"/>
    <n v="15337"/>
    <n v="0"/>
  </r>
  <r>
    <n v="546"/>
    <s v="ABC J Padding &amp; Quilting Ltd."/>
    <n v="7864772"/>
    <s v="Gabriel"/>
    <s v="Production"/>
    <s v="Padding B"/>
    <s v="Junior Winder Operator"/>
    <m/>
    <n v="2022"/>
    <x v="347"/>
    <d v="2022-01-01T00:00:00"/>
    <d v="1990-09-01T00:00:00"/>
    <s v="M"/>
    <s v="Y"/>
    <s v="Worker"/>
    <n v="14549"/>
    <n v="14549"/>
    <n v="8066"/>
    <n v="4033"/>
    <n v="750"/>
    <n v="450"/>
    <n v="0"/>
    <n v="0"/>
    <n v="1250"/>
    <n v="450"/>
    <n v="350"/>
    <n v="4653"/>
    <n v="0"/>
    <n v="0"/>
    <n v="0"/>
    <n v="0"/>
    <n v="0"/>
    <n v="0"/>
    <n v="0"/>
    <n v="19552"/>
    <n v="19552"/>
    <n v="0"/>
  </r>
  <r>
    <n v="547"/>
    <s v="ABC J Padding &amp; Quilting Ltd."/>
    <n v="7668555"/>
    <s v="Gabriella"/>
    <s v="Production"/>
    <s v="Padding B"/>
    <s v="Assistant Winder Machine Operator"/>
    <m/>
    <n v="2022"/>
    <x v="117"/>
    <d v="2022-01-01T00:00:00"/>
    <d v="1979-03-01T00:00:00"/>
    <s v="M"/>
    <s v="Y"/>
    <s v="Worker"/>
    <n v="13458"/>
    <n v="13458"/>
    <n v="7339"/>
    <n v="3669"/>
    <n v="750"/>
    <n v="450"/>
    <n v="0"/>
    <n v="0"/>
    <n v="1250"/>
    <n v="450"/>
    <n v="350"/>
    <n v="0"/>
    <n v="0"/>
    <n v="0"/>
    <n v="0"/>
    <n v="0"/>
    <n v="0"/>
    <n v="0"/>
    <n v="0"/>
    <n v="13808"/>
    <n v="13808"/>
    <n v="0"/>
  </r>
  <r>
    <n v="548"/>
    <s v="ABC J Padding &amp; Quilting Ltd."/>
    <n v="9311190"/>
    <s v="Garrett"/>
    <s v="Production"/>
    <s v="Padding B"/>
    <s v="Assistant Winder Machine Operator"/>
    <m/>
    <n v="2022"/>
    <x v="418"/>
    <d v="2022-01-01T00:00:00"/>
    <d v="1989-12-31T00:00:00"/>
    <s v="M"/>
    <s v="Y"/>
    <s v="Worker"/>
    <n v="16133"/>
    <n v="15807"/>
    <n v="9122"/>
    <n v="4561"/>
    <n v="750"/>
    <n v="450"/>
    <n v="0"/>
    <n v="0"/>
    <n v="1250"/>
    <n v="450"/>
    <n v="0"/>
    <n v="0"/>
    <n v="0"/>
    <n v="0"/>
    <n v="326"/>
    <n v="0"/>
    <n v="0"/>
    <n v="0"/>
    <n v="0"/>
    <n v="15807"/>
    <n v="15807"/>
    <n v="0"/>
  </r>
  <r>
    <n v="549"/>
    <s v="ABC J Padding &amp; Quilting Ltd."/>
    <n v="7692670"/>
    <s v="Gavin"/>
    <s v="Production"/>
    <s v="Padding B"/>
    <s v="Resin Mix Machine Operator"/>
    <m/>
    <n v="2022"/>
    <x v="419"/>
    <d v="2022-01-01T00:00:00"/>
    <d v="1977-07-06T00:00:00"/>
    <s v="M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550"/>
    <s v="ABC J Padding &amp; Quilting Ltd."/>
    <n v="9680087"/>
    <s v="Genevieve"/>
    <s v="Production"/>
    <s v="Padding B"/>
    <s v="Assistant Carding Machine Operator"/>
    <m/>
    <n v="2022"/>
    <x v="358"/>
    <d v="2022-01-01T00:00:00"/>
    <d v="1965-11-10T00:00:00"/>
    <s v="M"/>
    <s v="Y"/>
    <s v="Worker"/>
    <n v="18388"/>
    <n v="18388"/>
    <n v="10625"/>
    <n v="5313"/>
    <n v="750"/>
    <n v="450"/>
    <n v="0"/>
    <n v="0"/>
    <n v="1250"/>
    <n v="450"/>
    <n v="350"/>
    <n v="6743"/>
    <n v="0"/>
    <n v="0"/>
    <n v="0"/>
    <n v="0"/>
    <n v="1000"/>
    <n v="0"/>
    <n v="0"/>
    <n v="24481"/>
    <n v="24481"/>
    <n v="0"/>
  </r>
  <r>
    <n v="551"/>
    <s v="ABC J Padding &amp; Quilting Ltd."/>
    <n v="7538701"/>
    <s v="George"/>
    <s v="Production"/>
    <s v="Padding B"/>
    <s v="Assistant"/>
    <m/>
    <n v="2022"/>
    <x v="420"/>
    <d v="2022-01-04T00:00:00"/>
    <d v="1986-01-04T00:00:00"/>
    <s v="M"/>
    <s v="Y"/>
    <s v="Worker"/>
    <n v="13405"/>
    <n v="13405"/>
    <n v="7303"/>
    <n v="3652"/>
    <n v="750"/>
    <n v="450"/>
    <n v="0"/>
    <n v="0"/>
    <n v="1250"/>
    <n v="450"/>
    <n v="350"/>
    <n v="4634"/>
    <n v="0"/>
    <n v="0"/>
    <n v="0"/>
    <n v="0"/>
    <n v="0"/>
    <n v="0"/>
    <n v="0"/>
    <n v="18389"/>
    <n v="18389"/>
    <n v="0"/>
  </r>
  <r>
    <n v="552"/>
    <s v="ABC J Padding &amp; Quilting Ltd."/>
    <n v="7894030"/>
    <s v="Grace"/>
    <s v="Production"/>
    <s v="Padding B"/>
    <s v="Operator"/>
    <m/>
    <n v="1900"/>
    <x v="181"/>
    <m/>
    <d v="1991-01-01T00:00:00"/>
    <s v="M"/>
    <s v="Y"/>
    <s v="Worker"/>
    <n v="15337"/>
    <n v="15337"/>
    <n v="8591"/>
    <n v="4296"/>
    <n v="750"/>
    <n v="450"/>
    <n v="0"/>
    <n v="0"/>
    <n v="1250"/>
    <n v="450"/>
    <n v="350"/>
    <n v="4626"/>
    <n v="0"/>
    <n v="0"/>
    <n v="0"/>
    <n v="0"/>
    <n v="0"/>
    <n v="0"/>
    <n v="0"/>
    <n v="20313"/>
    <n v="20313"/>
    <n v="0"/>
  </r>
  <r>
    <n v="553"/>
    <s v="ABC J Padding &amp; Quilting Ltd."/>
    <n v="7733562"/>
    <s v="Grayson"/>
    <s v="Production"/>
    <s v="Padding B"/>
    <s v="Assistant"/>
    <m/>
    <n v="1900"/>
    <x v="421"/>
    <m/>
    <d v="2001-01-02T00:00:00"/>
    <s v="M"/>
    <s v="Y"/>
    <s v="Worker"/>
    <n v="13405"/>
    <n v="13405"/>
    <n v="7303"/>
    <n v="3652"/>
    <n v="750"/>
    <n v="450"/>
    <n v="0"/>
    <n v="0"/>
    <n v="1250"/>
    <n v="450"/>
    <n v="350"/>
    <n v="4634"/>
    <n v="0"/>
    <n v="0"/>
    <n v="0"/>
    <n v="0"/>
    <n v="0"/>
    <n v="0"/>
    <n v="0"/>
    <n v="18389"/>
    <n v="18389"/>
    <n v="0"/>
  </r>
  <r>
    <n v="554"/>
    <s v="ABC J Padding &amp; Quilting Ltd."/>
    <n v="5110704"/>
    <s v="Hailey"/>
    <s v="Production"/>
    <s v="Padding B"/>
    <s v="Assistant"/>
    <m/>
    <n v="1900"/>
    <x v="422"/>
    <m/>
    <d v="2001-01-10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555"/>
    <s v="ABC J Padding &amp; Quilting Ltd."/>
    <n v="7799229"/>
    <s v="Hannah"/>
    <s v="Production"/>
    <s v="Padding B"/>
    <s v="Operator"/>
    <m/>
    <n v="2022"/>
    <x v="393"/>
    <d v="2022-01-01T00:00:00"/>
    <d v="1979-01-01T00:00:00"/>
    <s v="M"/>
    <s v="Y"/>
    <s v="Worker"/>
    <n v="15337"/>
    <n v="14723"/>
    <n v="8591"/>
    <n v="4296"/>
    <n v="750"/>
    <n v="450"/>
    <n v="0"/>
    <n v="0"/>
    <n v="1250"/>
    <n v="450"/>
    <n v="0"/>
    <n v="0"/>
    <n v="0"/>
    <n v="0"/>
    <n v="614"/>
    <n v="0"/>
    <n v="500"/>
    <n v="0"/>
    <n v="0"/>
    <n v="14223"/>
    <n v="14223"/>
    <n v="0"/>
  </r>
  <r>
    <n v="556"/>
    <s v="ABC J Padding &amp; Quilting Ltd."/>
    <n v="7176230"/>
    <s v="Harper"/>
    <s v="Production"/>
    <s v="Padding B"/>
    <s v="Assistant Bale Breaker Machine Operator"/>
    <m/>
    <n v="2022"/>
    <x v="334"/>
    <d v="2022-02-03T00:00:00"/>
    <d v="1987-02-03T00:00:00"/>
    <s v="M"/>
    <s v="Y"/>
    <s v="Worker"/>
    <n v="13514"/>
    <n v="13514"/>
    <n v="7376"/>
    <n v="3688"/>
    <n v="750"/>
    <n v="450"/>
    <n v="0"/>
    <n v="0"/>
    <n v="1250"/>
    <n v="450"/>
    <n v="0"/>
    <n v="0"/>
    <n v="0"/>
    <n v="0"/>
    <n v="0"/>
    <n v="0"/>
    <n v="500"/>
    <n v="0"/>
    <n v="0"/>
    <n v="13014"/>
    <n v="13014"/>
    <n v="0"/>
  </r>
  <r>
    <n v="557"/>
    <s v="ABC J Padding &amp; Quilting Ltd."/>
    <n v="7182086"/>
    <s v="Harrison"/>
    <s v="Production"/>
    <s v="Padding B"/>
    <s v="Assistant Bale Breaker Machine Operator"/>
    <m/>
    <n v="2022"/>
    <x v="260"/>
    <d v="2022-10-05T00:00:00"/>
    <d v="1977-10-05T00:00:00"/>
    <s v="M"/>
    <s v="Y"/>
    <s v="Worker"/>
    <n v="14734"/>
    <n v="14734"/>
    <n v="8189"/>
    <n v="4095"/>
    <n v="750"/>
    <n v="450"/>
    <n v="0"/>
    <n v="0"/>
    <n v="1250"/>
    <n v="450"/>
    <n v="350"/>
    <n v="0"/>
    <n v="0"/>
    <n v="0"/>
    <n v="0"/>
    <n v="0"/>
    <n v="0"/>
    <n v="0"/>
    <n v="0"/>
    <n v="15084"/>
    <n v="15084"/>
    <n v="0"/>
  </r>
  <r>
    <n v="558"/>
    <s v="ABC J Padding &amp; Quilting Ltd."/>
    <n v="6586242"/>
    <s v="Hayden"/>
    <s v="Production"/>
    <s v="Padding B"/>
    <s v="Assistant Winder Machine Operator"/>
    <m/>
    <n v="2022"/>
    <x v="94"/>
    <d v="2022-01-01T00:00:00"/>
    <d v="1981-01-01T00:00:00"/>
    <s v="M"/>
    <s v="Y"/>
    <s v="Worker"/>
    <n v="13622"/>
    <n v="13622"/>
    <n v="7448"/>
    <n v="3724"/>
    <n v="750"/>
    <n v="450"/>
    <n v="0"/>
    <n v="0"/>
    <n v="1250"/>
    <n v="450"/>
    <n v="350"/>
    <n v="0"/>
    <n v="0"/>
    <n v="0"/>
    <n v="0"/>
    <n v="0"/>
    <n v="0"/>
    <n v="0"/>
    <n v="0"/>
    <n v="13972"/>
    <n v="13972"/>
    <n v="0"/>
  </r>
  <r>
    <n v="559"/>
    <s v="ABC J Padding &amp; Quilting Ltd."/>
    <n v="6765613"/>
    <s v="Henry"/>
    <s v="Production"/>
    <s v="Padding B"/>
    <s v="General Bale Breaker Machine Operator"/>
    <m/>
    <n v="1900"/>
    <x v="94"/>
    <m/>
    <d v="1998-01-02T00:00:00"/>
    <s v="M"/>
    <s v="Y"/>
    <s v="Worker"/>
    <n v="14549"/>
    <n v="14549"/>
    <n v="8066"/>
    <n v="4033"/>
    <n v="750"/>
    <n v="450"/>
    <n v="0"/>
    <n v="0"/>
    <n v="1250"/>
    <n v="450"/>
    <n v="0"/>
    <n v="0"/>
    <n v="0"/>
    <n v="0"/>
    <n v="0"/>
    <n v="0"/>
    <n v="0"/>
    <n v="0"/>
    <n v="0"/>
    <n v="14549"/>
    <n v="14549"/>
    <n v="0"/>
  </r>
  <r>
    <n v="560"/>
    <s v="ABC J Padding &amp; Quilting Ltd."/>
    <n v="7667724"/>
    <s v="Hudson"/>
    <s v="Production"/>
    <s v="Quilting"/>
    <s v="Quilting Machine Operator"/>
    <m/>
    <n v="2022"/>
    <x v="153"/>
    <d v="2022-01-01T00:00:00"/>
    <d v="1983-03-12T00:00:00"/>
    <s v="F"/>
    <s v="Y"/>
    <s v="Worker"/>
    <n v="18838"/>
    <n v="18838"/>
    <n v="10925"/>
    <n v="5463"/>
    <n v="750"/>
    <n v="450"/>
    <n v="0"/>
    <n v="0"/>
    <n v="1250"/>
    <n v="450"/>
    <n v="250"/>
    <n v="0"/>
    <n v="0"/>
    <n v="0"/>
    <n v="0"/>
    <n v="0"/>
    <n v="1500"/>
    <n v="0"/>
    <n v="0"/>
    <n v="17588"/>
    <n v="17588"/>
    <n v="0"/>
  </r>
  <r>
    <n v="561"/>
    <s v="ABC J Padding &amp; Quilting Ltd."/>
    <n v="5568969"/>
    <s v="Hunter"/>
    <s v="Production"/>
    <s v="Quilting"/>
    <s v="Sewing Machine Operator"/>
    <m/>
    <n v="2018"/>
    <x v="423"/>
    <d v="2018-01-01T00:00:00"/>
    <d v="1973-09-11T00:00:00"/>
    <s v="F"/>
    <s v="Y"/>
    <s v="Worker"/>
    <n v="19514"/>
    <n v="19514"/>
    <n v="11376"/>
    <n v="5688"/>
    <n v="750"/>
    <n v="450"/>
    <n v="0"/>
    <n v="0"/>
    <n v="1250"/>
    <n v="450"/>
    <n v="350"/>
    <n v="0"/>
    <n v="0"/>
    <n v="0"/>
    <n v="0"/>
    <n v="0"/>
    <n v="0"/>
    <n v="0"/>
    <n v="0"/>
    <n v="19864"/>
    <n v="19864"/>
    <n v="0"/>
  </r>
  <r>
    <n v="562"/>
    <s v="ABC J Padding &amp; Quilting Ltd."/>
    <n v="5645062"/>
    <s v="Isaac"/>
    <s v="Production"/>
    <s v="Quilting"/>
    <s v="Assistant Rolling-man"/>
    <m/>
    <n v="2018"/>
    <x v="424"/>
    <d v="2018-01-01T00:00:00"/>
    <d v="1981-07-06T00:00:00"/>
    <s v="M"/>
    <s v="Y"/>
    <s v="Worker"/>
    <n v="13458"/>
    <n v="13458"/>
    <n v="7339"/>
    <n v="3669"/>
    <n v="750"/>
    <n v="450"/>
    <n v="0"/>
    <n v="0"/>
    <n v="1250"/>
    <n v="450"/>
    <n v="350"/>
    <n v="0"/>
    <n v="0"/>
    <n v="0"/>
    <n v="0"/>
    <n v="0"/>
    <n v="0"/>
    <n v="0"/>
    <n v="0"/>
    <n v="13808"/>
    <n v="13808"/>
    <n v="0"/>
  </r>
  <r>
    <n v="563"/>
    <s v="ABC J Padding &amp; Quilting Ltd."/>
    <n v="6461409"/>
    <s v="Isabella"/>
    <s v="Production"/>
    <s v="Quilting"/>
    <s v="Quilting Machine Operator"/>
    <m/>
    <n v="1900"/>
    <x v="425"/>
    <m/>
    <d v="1982-03-28T00:00:00"/>
    <s v="F"/>
    <s v="Y"/>
    <s v="Worker"/>
    <n v="17711"/>
    <n v="17711"/>
    <n v="10174"/>
    <n v="5087"/>
    <n v="750"/>
    <n v="450"/>
    <n v="0"/>
    <n v="0"/>
    <n v="1250"/>
    <n v="450"/>
    <n v="350"/>
    <n v="0"/>
    <n v="0"/>
    <n v="0"/>
    <n v="0"/>
    <n v="0"/>
    <n v="0"/>
    <n v="0"/>
    <n v="0"/>
    <n v="18061"/>
    <n v="18061"/>
    <n v="0"/>
  </r>
  <r>
    <n v="564"/>
    <s v="ABC J Padding &amp; Quilting Ltd."/>
    <n v="8278426"/>
    <s v="Isabelle"/>
    <s v="Production"/>
    <s v="Quilting"/>
    <s v="Assistant Rolling-man"/>
    <m/>
    <n v="1900"/>
    <x v="426"/>
    <m/>
    <d v="1993-03-07T00:00:00"/>
    <s v="M"/>
    <s v="Y"/>
    <s v="Worker"/>
    <n v="15126"/>
    <n v="15126"/>
    <n v="8451"/>
    <n v="4225"/>
    <n v="750"/>
    <n v="450"/>
    <n v="0"/>
    <n v="0"/>
    <n v="1250"/>
    <n v="450"/>
    <n v="350"/>
    <n v="0"/>
    <n v="0"/>
    <n v="0"/>
    <n v="0"/>
    <n v="0"/>
    <n v="0"/>
    <n v="0"/>
    <n v="0"/>
    <n v="15476"/>
    <n v="15476"/>
    <n v="0"/>
  </r>
  <r>
    <n v="565"/>
    <s v="ABC J Padding &amp; Quilting Ltd."/>
    <n v="9003053"/>
    <s v="Isaiah"/>
    <s v="Production"/>
    <s v="Quilting"/>
    <s v="Rolling Man"/>
    <m/>
    <n v="2018"/>
    <x v="365"/>
    <d v="2018-01-01T00:00:00"/>
    <d v="1982-07-01T00:00:00"/>
    <s v="M"/>
    <s v="Y"/>
    <s v="Worker"/>
    <n v="16513"/>
    <n v="16513"/>
    <n v="9375"/>
    <n v="4688"/>
    <n v="750"/>
    <n v="450"/>
    <n v="0"/>
    <n v="0"/>
    <n v="1250"/>
    <n v="450"/>
    <n v="350"/>
    <n v="0"/>
    <n v="0"/>
    <n v="0"/>
    <n v="0"/>
    <n v="0"/>
    <n v="0"/>
    <n v="0"/>
    <n v="0"/>
    <n v="16863"/>
    <n v="16863"/>
    <n v="0"/>
  </r>
  <r>
    <n v="566"/>
    <s v="ABC J Padding &amp; Quilting Ltd."/>
    <n v="7528044"/>
    <s v="Jack"/>
    <s v="Production"/>
    <s v="Quilting"/>
    <s v="Sewing Machine Operator"/>
    <m/>
    <n v="2018"/>
    <x v="285"/>
    <d v="2018-01-01T00:00:00"/>
    <d v="1987-05-10T00:00:00"/>
    <s v="F"/>
    <s v="Y"/>
    <s v="Worker"/>
    <n v="16068"/>
    <n v="16068"/>
    <n v="9079"/>
    <n v="4539"/>
    <n v="750"/>
    <n v="450"/>
    <n v="0"/>
    <n v="0"/>
    <n v="1250"/>
    <n v="450"/>
    <n v="350"/>
    <n v="0"/>
    <n v="0"/>
    <n v="0"/>
    <n v="0"/>
    <n v="0"/>
    <n v="0"/>
    <n v="0"/>
    <n v="0"/>
    <n v="16418"/>
    <n v="16418"/>
    <n v="0"/>
  </r>
  <r>
    <n v="567"/>
    <s v="ABC J Padding &amp; Quilting Ltd."/>
    <n v="9828434"/>
    <s v="Jackson"/>
    <s v="Production"/>
    <s v="Quilting"/>
    <s v="Assistant"/>
    <m/>
    <n v="2018"/>
    <x v="427"/>
    <d v="2018-08-11T00:00:00"/>
    <d v="1994-07-15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568"/>
    <s v="ABC J Padding &amp; Quilting Ltd."/>
    <n v="9829901"/>
    <s v="Jacob"/>
    <s v="Production"/>
    <s v="Quilting"/>
    <s v="Assistant"/>
    <m/>
    <n v="2018"/>
    <x v="427"/>
    <d v="2018-08-11T00:00:00"/>
    <d v="1999-06-13T00:00:00"/>
    <s v="M"/>
    <s v="Y"/>
    <s v="Worker"/>
    <n v="13405"/>
    <n v="12883"/>
    <n v="7303"/>
    <n v="3652"/>
    <n v="750"/>
    <n v="450"/>
    <n v="0"/>
    <n v="0"/>
    <n v="1250"/>
    <n v="450"/>
    <n v="0"/>
    <n v="0"/>
    <n v="0"/>
    <n v="0"/>
    <n v="522"/>
    <n v="0"/>
    <n v="0"/>
    <n v="0"/>
    <n v="0"/>
    <n v="12883"/>
    <n v="12883"/>
    <n v="0"/>
  </r>
  <r>
    <n v="569"/>
    <s v="ABC J Padding &amp; Quilting Ltd."/>
    <n v="5185684"/>
    <s v="James"/>
    <s v="Production"/>
    <s v="Quilting"/>
    <s v="Assistant"/>
    <m/>
    <n v="2018"/>
    <x v="98"/>
    <d v="2018-01-01T00:00:00"/>
    <d v="2001-01-07T00:00:00"/>
    <s v="F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570"/>
    <s v="ABC J Padding &amp; Quilting Ltd."/>
    <n v="8545357"/>
    <s v="Jasmine"/>
    <s v="Production"/>
    <s v="Quilting"/>
    <s v="Assistant"/>
    <m/>
    <n v="2018"/>
    <x v="98"/>
    <d v="2018-01-01T00:00:00"/>
    <d v="1989-07-20T00:00:00"/>
    <s v="F"/>
    <s v="Y"/>
    <s v="Worker"/>
    <n v="13405"/>
    <n v="10536"/>
    <n v="7303"/>
    <n v="3652"/>
    <n v="750"/>
    <n v="450"/>
    <n v="0"/>
    <n v="0"/>
    <n v="1250"/>
    <n v="450"/>
    <n v="0"/>
    <n v="0"/>
    <n v="0"/>
    <n v="0"/>
    <n v="2869"/>
    <n v="0"/>
    <n v="0"/>
    <n v="0"/>
    <n v="0"/>
    <n v="10536"/>
    <n v="10536"/>
    <n v="0"/>
  </r>
  <r>
    <n v="571"/>
    <s v="ABC J Padding &amp; Quilting Ltd."/>
    <n v="8830439"/>
    <s v="Jason"/>
    <s v="Production"/>
    <s v="Quilting"/>
    <s v="Operator"/>
    <m/>
    <n v="1900"/>
    <x v="127"/>
    <m/>
    <d v="1989-08-21T00:00:00"/>
    <s v="F"/>
    <s v="Y"/>
    <s v="Worker"/>
    <n v="15337"/>
    <n v="15337"/>
    <n v="8591"/>
    <n v="4296"/>
    <n v="750"/>
    <n v="450"/>
    <n v="0"/>
    <n v="0"/>
    <n v="1250"/>
    <n v="450"/>
    <n v="250"/>
    <n v="0"/>
    <n v="0"/>
    <n v="0"/>
    <n v="0"/>
    <n v="0"/>
    <n v="0"/>
    <n v="0"/>
    <n v="0"/>
    <n v="15587"/>
    <n v="15587"/>
    <n v="0"/>
  </r>
  <r>
    <n v="572"/>
    <s v="ABC J Padding &amp; Quilting Ltd."/>
    <n v="7120846"/>
    <s v="Jasper"/>
    <s v="Production"/>
    <s v="Quilting"/>
    <s v="Operator"/>
    <m/>
    <n v="1900"/>
    <x v="127"/>
    <m/>
    <d v="1997-10-10T00:00:00"/>
    <s v="F"/>
    <s v="Y"/>
    <s v="Worker"/>
    <n v="15337"/>
    <n v="15337"/>
    <n v="8591"/>
    <n v="4296"/>
    <n v="750"/>
    <n v="450"/>
    <n v="0"/>
    <n v="0"/>
    <n v="1250"/>
    <n v="450"/>
    <n v="250"/>
    <n v="0"/>
    <n v="0"/>
    <n v="0"/>
    <n v="0"/>
    <n v="0"/>
    <n v="0"/>
    <n v="0"/>
    <n v="0"/>
    <n v="15587"/>
    <n v="15587"/>
    <n v="0"/>
  </r>
  <r>
    <n v="573"/>
    <s v="ABC J Padding &amp; Quilting Ltd."/>
    <n v="6250624"/>
    <s v="Jeffrey"/>
    <s v="Production"/>
    <s v="Quilting"/>
    <s v="Operator"/>
    <m/>
    <n v="1900"/>
    <x v="38"/>
    <m/>
    <d v="1995-03-03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574"/>
    <s v="ABC J Padding &amp; Quilting Ltd."/>
    <n v="5782039"/>
    <s v="Jennifer"/>
    <s v="Production"/>
    <s v="Quilting"/>
    <s v="Operator"/>
    <m/>
    <n v="2018"/>
    <x v="428"/>
    <d v="2018-09-03T00:00:00"/>
    <d v="1985-09-03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575"/>
    <s v="ABC J Padding &amp; Quilting Ltd."/>
    <n v="9365577"/>
    <s v="Jeremy"/>
    <s v="Production"/>
    <s v="Quilting"/>
    <s v="Assistant Operator"/>
    <m/>
    <n v="2018"/>
    <x v="429"/>
    <d v="2018-03-01T00:00:00"/>
    <d v="1972-03-01T00:00:00"/>
    <s v="F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576"/>
    <s v="ABC J Padding &amp; Quilting Ltd."/>
    <n v="9936139"/>
    <s v="Jessica"/>
    <s v="Production"/>
    <s v="Quilting"/>
    <s v="Operator"/>
    <m/>
    <n v="2018"/>
    <x v="430"/>
    <d v="2018-08-07T00:00:00"/>
    <d v="1973-08-07T00:00:00"/>
    <s v="F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577"/>
    <s v="ABC J Padding &amp; Quilting Ltd."/>
    <n v="6615630"/>
    <s v="Joel"/>
    <s v="Production"/>
    <s v="Quilting"/>
    <s v="Assistant"/>
    <m/>
    <n v="2018"/>
    <x v="431"/>
    <d v="2018-01-01T00:00:00"/>
    <d v="1986-03-04T00:00:00"/>
    <s v="F"/>
    <s v="Y"/>
    <s v="Worker"/>
    <n v="15481"/>
    <n v="15481"/>
    <n v="8687"/>
    <n v="4344"/>
    <n v="750"/>
    <n v="450"/>
    <n v="0"/>
    <n v="0"/>
    <n v="1250"/>
    <n v="450"/>
    <n v="0"/>
    <n v="0"/>
    <n v="0"/>
    <n v="0"/>
    <n v="0"/>
    <n v="0"/>
    <n v="0"/>
    <n v="0"/>
    <n v="0"/>
    <n v="15481"/>
    <n v="15481"/>
    <n v="0"/>
  </r>
  <r>
    <n v="578"/>
    <s v="ABC Fiber Ltd."/>
    <n v="8524162"/>
    <s v="John"/>
    <s v="Production"/>
    <s v="Bottle"/>
    <s v="Assistant"/>
    <m/>
    <n v="2022"/>
    <x v="224"/>
    <d v="2022-01-01T00:00:00"/>
    <d v="1993-02-03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579"/>
    <s v="ABC Fiber Ltd."/>
    <n v="6860380"/>
    <s v="Jonathan"/>
    <s v="Production"/>
    <s v="Bottle"/>
    <s v="Assistant"/>
    <m/>
    <n v="2022"/>
    <x v="166"/>
    <d v="2022-01-01T00:00:00"/>
    <d v="1979-01-05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580"/>
    <s v="ABC Fiber Ltd."/>
    <n v="9664103"/>
    <s v="Jordan"/>
    <s v="Production"/>
    <s v="Bottle"/>
    <s v="Assistant"/>
    <m/>
    <n v="2022"/>
    <x v="432"/>
    <d v="2022-01-01T00:00:00"/>
    <d v="1995-01-01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581"/>
    <s v="ABC Fiber Ltd."/>
    <n v="7677204"/>
    <s v="Joseph"/>
    <s v="Production"/>
    <s v="Bottle"/>
    <s v="Assistant"/>
    <m/>
    <n v="2022"/>
    <x v="433"/>
    <d v="2022-01-01T00:00:00"/>
    <d v="1989-01-30T00:00:00"/>
    <s v="M"/>
    <s v="Y"/>
    <s v="Worker"/>
    <n v="13405"/>
    <n v="12622"/>
    <n v="7303"/>
    <n v="3652"/>
    <n v="750"/>
    <n v="450"/>
    <n v="0"/>
    <n v="0"/>
    <n v="1250"/>
    <n v="450"/>
    <n v="0"/>
    <n v="0"/>
    <n v="0"/>
    <n v="0"/>
    <n v="522"/>
    <n v="261"/>
    <n v="0"/>
    <n v="0"/>
    <n v="0"/>
    <n v="12622"/>
    <n v="12622"/>
    <n v="0"/>
  </r>
  <r>
    <n v="582"/>
    <s v="ABC Fiber Ltd."/>
    <n v="6412326"/>
    <s v="Joshua"/>
    <s v="Production"/>
    <s v="Bottle"/>
    <s v="Assistant"/>
    <m/>
    <n v="2022"/>
    <x v="434"/>
    <d v="2022-01-01T00:00:00"/>
    <d v="1996-07-07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583"/>
    <s v="ABC Fiber Ltd."/>
    <n v="7424513"/>
    <s v="Julia"/>
    <s v="Production"/>
    <s v="Bottle"/>
    <s v="Assistant"/>
    <m/>
    <n v="2022"/>
    <x v="109"/>
    <d v="2022-01-01T00:00:00"/>
    <d v="2001-01-01T00:00:00"/>
    <s v="M"/>
    <s v="Y"/>
    <s v="Worker"/>
    <n v="13405"/>
    <n v="12883"/>
    <n v="7303"/>
    <n v="3652"/>
    <n v="750"/>
    <n v="450"/>
    <n v="0"/>
    <n v="0"/>
    <n v="1250"/>
    <n v="450"/>
    <n v="0"/>
    <n v="0"/>
    <n v="0"/>
    <n v="0"/>
    <n v="522"/>
    <n v="0"/>
    <n v="0"/>
    <n v="0"/>
    <n v="0"/>
    <n v="12883"/>
    <n v="12883"/>
    <n v="0"/>
  </r>
  <r>
    <n v="584"/>
    <s v="ABC Fiber Ltd."/>
    <n v="5468678"/>
    <s v="Julian"/>
    <s v="Production"/>
    <s v="Bottle"/>
    <s v="Assistant"/>
    <m/>
    <n v="1900"/>
    <x v="241"/>
    <m/>
    <d v="2000-04-02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585"/>
    <s v="ABC Fiber Ltd."/>
    <n v="6873189"/>
    <s v="Justin"/>
    <s v="Production"/>
    <s v="Bottle"/>
    <s v="Assistant"/>
    <m/>
    <n v="1900"/>
    <x v="435"/>
    <m/>
    <d v="1987-06-06T00:00:00"/>
    <s v="M"/>
    <s v="Y"/>
    <s v="Worker"/>
    <n v="13405"/>
    <n v="12362"/>
    <n v="7303"/>
    <n v="3652"/>
    <n v="750"/>
    <n v="450"/>
    <n v="0"/>
    <n v="0"/>
    <n v="1250"/>
    <n v="450"/>
    <n v="0"/>
    <n v="0"/>
    <n v="0"/>
    <n v="0"/>
    <n v="1043"/>
    <n v="0"/>
    <n v="0"/>
    <n v="0"/>
    <n v="0"/>
    <n v="12362"/>
    <n v="12362"/>
    <n v="0"/>
  </r>
  <r>
    <n v="586"/>
    <s v="ABC Fiber Ltd."/>
    <n v="8704053"/>
    <s v="Kaitlyn"/>
    <s v="Production"/>
    <s v="Bottle"/>
    <s v="Assistant"/>
    <m/>
    <n v="1900"/>
    <x v="436"/>
    <m/>
    <d v="1977-04-06T00:00:00"/>
    <s v="M"/>
    <s v="Y"/>
    <s v="Worker"/>
    <n v="13405"/>
    <n v="13405"/>
    <n v="7303"/>
    <n v="3652"/>
    <n v="750"/>
    <n v="450"/>
    <n v="0"/>
    <n v="0"/>
    <n v="1250"/>
    <n v="450"/>
    <n v="250"/>
    <n v="0"/>
    <n v="0"/>
    <n v="0"/>
    <n v="0"/>
    <n v="0"/>
    <n v="500"/>
    <n v="0"/>
    <n v="0"/>
    <n v="13155"/>
    <n v="13155"/>
    <n v="0"/>
  </r>
  <r>
    <n v="587"/>
    <s v="ABC Fiber Ltd."/>
    <n v="7559735"/>
    <s v="Katherine"/>
    <s v="Production"/>
    <s v="Bottle"/>
    <s v="Assistant"/>
    <m/>
    <n v="1900"/>
    <x v="437"/>
    <m/>
    <d v="1985-03-18T00:00:00"/>
    <s v="M"/>
    <s v="Y"/>
    <s v="Worker"/>
    <n v="13405"/>
    <n v="13144"/>
    <n v="7303"/>
    <n v="3652"/>
    <n v="750"/>
    <n v="450"/>
    <n v="0"/>
    <n v="0"/>
    <n v="1250"/>
    <n v="450"/>
    <n v="0"/>
    <n v="0"/>
    <n v="0"/>
    <n v="0"/>
    <n v="261"/>
    <n v="0"/>
    <n v="0"/>
    <n v="0"/>
    <n v="0"/>
    <n v="13144"/>
    <n v="13144"/>
    <n v="0"/>
  </r>
  <r>
    <n v="588"/>
    <s v="ABC Fiber Ltd."/>
    <n v="8334178"/>
    <s v="Kayla"/>
    <s v="Production"/>
    <s v="Bottle"/>
    <s v="Assistant"/>
    <m/>
    <n v="1900"/>
    <x v="438"/>
    <m/>
    <d v="2003-06-10T00:00:00"/>
    <s v="M"/>
    <s v="Y"/>
    <s v="Worker"/>
    <n v="13405"/>
    <n v="13405"/>
    <n v="7303"/>
    <n v="3652"/>
    <n v="750"/>
    <n v="450"/>
    <n v="0"/>
    <n v="0"/>
    <n v="1250"/>
    <n v="450"/>
    <n v="250"/>
    <n v="0"/>
    <n v="0"/>
    <n v="0"/>
    <n v="0"/>
    <n v="0"/>
    <n v="0"/>
    <n v="0"/>
    <n v="0"/>
    <n v="13655"/>
    <n v="13655"/>
    <n v="0"/>
  </r>
  <r>
    <n v="589"/>
    <s v="ABC Fiber Ltd."/>
    <n v="9278543"/>
    <s v="Kevin"/>
    <s v="Production"/>
    <s v="Bottle"/>
    <s v="Assistant"/>
    <m/>
    <n v="1900"/>
    <x v="60"/>
    <m/>
    <d v="1979-06-09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590"/>
    <s v="ABC Fiber Ltd."/>
    <n v="8153050"/>
    <s v="Kimberly"/>
    <s v="Production"/>
    <s v="Bottle"/>
    <s v="Assistant"/>
    <m/>
    <n v="1900"/>
    <x v="439"/>
    <m/>
    <d v="1982-02-01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591"/>
    <s v="ABC Fiber Ltd."/>
    <n v="5967749"/>
    <s v="Kyle"/>
    <s v="Production"/>
    <s v="Bottle"/>
    <s v="Assistant"/>
    <m/>
    <n v="1900"/>
    <x v="191"/>
    <m/>
    <d v="1982-01-13T00:00:00"/>
    <s v="M"/>
    <s v="Y"/>
    <s v="Worker"/>
    <n v="13405"/>
    <n v="13405"/>
    <n v="7303"/>
    <n v="3652"/>
    <n v="750"/>
    <n v="450"/>
    <n v="0"/>
    <n v="0"/>
    <n v="1250"/>
    <n v="450"/>
    <n v="250"/>
    <n v="0"/>
    <n v="0"/>
    <n v="0"/>
    <n v="0"/>
    <n v="0"/>
    <n v="0"/>
    <n v="0"/>
    <n v="0"/>
    <n v="13655"/>
    <n v="13655"/>
    <n v="0"/>
  </r>
  <r>
    <n v="592"/>
    <s v="ABC Fiber Ltd."/>
    <n v="9857268"/>
    <s v="Laura"/>
    <s v="Production"/>
    <s v="Bottle"/>
    <s v="Assistant"/>
    <m/>
    <n v="1900"/>
    <x v="440"/>
    <m/>
    <d v="2001-01-01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593"/>
    <s v="ABC Fiber Ltd."/>
    <n v="8903921"/>
    <s v="Lauren"/>
    <s v="Production"/>
    <s v="Bottle"/>
    <s v="Assistant"/>
    <m/>
    <n v="1900"/>
    <x v="440"/>
    <m/>
    <d v="1988-10-04T00:00:00"/>
    <s v="M"/>
    <s v="Y"/>
    <s v="Worker"/>
    <n v="13405"/>
    <n v="12623"/>
    <n v="7303"/>
    <n v="3652"/>
    <n v="750"/>
    <n v="450"/>
    <n v="0"/>
    <n v="0"/>
    <n v="1250"/>
    <n v="450"/>
    <n v="0"/>
    <n v="0"/>
    <n v="0"/>
    <n v="0"/>
    <n v="782"/>
    <n v="0"/>
    <n v="0"/>
    <n v="0"/>
    <n v="0"/>
    <n v="12623"/>
    <n v="12623"/>
    <n v="0"/>
  </r>
  <r>
    <n v="594"/>
    <s v="ABC Fiber Ltd."/>
    <n v="9377568"/>
    <s v="Leah"/>
    <s v="Production"/>
    <s v="Bottle"/>
    <s v="Assistant"/>
    <m/>
    <n v="1900"/>
    <x v="129"/>
    <m/>
    <d v="1996-11-10T00:00:00"/>
    <s v="M"/>
    <s v="Y"/>
    <s v="Worker"/>
    <n v="13405"/>
    <n v="13144"/>
    <n v="7303"/>
    <n v="3652"/>
    <n v="750"/>
    <n v="450"/>
    <n v="0"/>
    <n v="0"/>
    <n v="1250"/>
    <n v="450"/>
    <n v="0"/>
    <n v="0"/>
    <n v="0"/>
    <n v="0"/>
    <n v="261"/>
    <n v="0"/>
    <n v="0"/>
    <n v="0"/>
    <n v="0"/>
    <n v="13144"/>
    <n v="13144"/>
    <n v="0"/>
  </r>
  <r>
    <n v="595"/>
    <s v="ABC Fiber Ltd."/>
    <n v="5926069"/>
    <s v="Leonardo"/>
    <s v="Production"/>
    <s v="Bottle"/>
    <s v="Bottle Cutting Man"/>
    <m/>
    <n v="1900"/>
    <x v="441"/>
    <m/>
    <d v="1986-01-01T00:00:00"/>
    <s v="M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596"/>
    <s v="ABC Fiber Ltd."/>
    <n v="6188961"/>
    <s v="Lily"/>
    <s v="Production"/>
    <s v="Bottle"/>
    <s v="Bottle Cutting Man"/>
    <m/>
    <n v="2022"/>
    <x v="442"/>
    <d v="2022-01-01T00:00:00"/>
    <d v="1964-08-11T00:00:00"/>
    <s v="M"/>
    <s v="Y"/>
    <s v="Worker"/>
    <n v="15337"/>
    <n v="15337"/>
    <n v="8591"/>
    <n v="4296"/>
    <n v="750"/>
    <n v="450"/>
    <n v="0"/>
    <n v="0"/>
    <n v="1250"/>
    <n v="450"/>
    <n v="0"/>
    <n v="0"/>
    <n v="0"/>
    <n v="0"/>
    <n v="0"/>
    <n v="0"/>
    <n v="0"/>
    <n v="0"/>
    <n v="0"/>
    <n v="15337"/>
    <n v="15337"/>
    <n v="0"/>
  </r>
  <r>
    <n v="597"/>
    <s v="ABC Fiber Ltd."/>
    <n v="5968071"/>
    <s v="Logan"/>
    <s v="Production"/>
    <s v="Bottle"/>
    <s v="Bottle Cutting Man"/>
    <m/>
    <n v="1900"/>
    <x v="443"/>
    <m/>
    <d v="1978-07-17T00:00:00"/>
    <s v="M"/>
    <s v="Y"/>
    <s v="Worker"/>
    <n v="15337"/>
    <n v="15337"/>
    <n v="8591"/>
    <n v="4296"/>
    <n v="750"/>
    <n v="450"/>
    <n v="0"/>
    <n v="0"/>
    <n v="1250"/>
    <n v="450"/>
    <n v="250"/>
    <n v="0"/>
    <n v="0"/>
    <n v="0"/>
    <n v="0"/>
    <n v="0"/>
    <n v="0"/>
    <n v="0"/>
    <n v="0"/>
    <n v="15587"/>
    <n v="15587"/>
    <n v="0"/>
  </r>
  <r>
    <n v="598"/>
    <s v="ABC Fiber Ltd."/>
    <n v="7527566"/>
    <s v="Lucas"/>
    <s v="Production"/>
    <s v="Bottle"/>
    <s v="Wash machine operator"/>
    <m/>
    <n v="1900"/>
    <x v="444"/>
    <m/>
    <d v="1987-06-08T00:00:00"/>
    <s v="M"/>
    <s v="Y"/>
    <s v="Worker"/>
    <n v="15337"/>
    <n v="15337"/>
    <n v="8591"/>
    <n v="4296"/>
    <n v="750"/>
    <n v="450"/>
    <n v="0"/>
    <n v="0"/>
    <n v="1250"/>
    <n v="450"/>
    <n v="0"/>
    <n v="0"/>
    <n v="0"/>
    <n v="0"/>
    <n v="0"/>
    <n v="0"/>
    <n v="0"/>
    <n v="0"/>
    <n v="0"/>
    <n v="15337"/>
    <n v="15337"/>
    <n v="0"/>
  </r>
  <r>
    <n v="599"/>
    <s v="ABC Fiber Ltd."/>
    <n v="5315100"/>
    <s v="Lucy"/>
    <s v="Production"/>
    <s v="Bottle"/>
    <s v="Bottle Cutting Man"/>
    <m/>
    <n v="2022"/>
    <x v="386"/>
    <d v="2022-07-06T00:00:00"/>
    <d v="1977-07-06T00:00:00"/>
    <s v="M"/>
    <s v="Y"/>
    <s v="Worker"/>
    <n v="15337"/>
    <n v="15337"/>
    <n v="8591"/>
    <n v="4296"/>
    <n v="750"/>
    <n v="450"/>
    <n v="0"/>
    <n v="0"/>
    <n v="1250"/>
    <n v="450"/>
    <n v="350"/>
    <n v="0"/>
    <n v="0"/>
    <n v="0"/>
    <n v="0"/>
    <n v="0"/>
    <n v="0"/>
    <n v="0"/>
    <n v="0"/>
    <n v="15687"/>
    <n v="15687"/>
    <n v="0"/>
  </r>
  <r>
    <n v="600"/>
    <s v="ABC Fiber Ltd."/>
    <n v="8125405"/>
    <s v="Madison"/>
    <s v="Production"/>
    <s v="Bottle"/>
    <s v="Asst. Drayer machine operator"/>
    <m/>
    <n v="2025"/>
    <x v="445"/>
    <d v="2025-02-28T00:00:00"/>
    <d v="1988-01-02T00:00:00"/>
    <s v="M"/>
    <s v="Y"/>
    <s v="Worker"/>
    <n v="13622"/>
    <n v="13402"/>
    <n v="7448"/>
    <n v="3724"/>
    <n v="750"/>
    <n v="450"/>
    <n v="0"/>
    <n v="0"/>
    <n v="1250"/>
    <n v="450"/>
    <n v="350"/>
    <n v="0"/>
    <n v="-220"/>
    <n v="0"/>
    <n v="0"/>
    <n v="0"/>
    <n v="0"/>
    <n v="0"/>
    <n v="0"/>
    <n v="14192"/>
    <n v="13752"/>
    <n v="0"/>
  </r>
  <r>
    <n v="601"/>
    <s v="ABC Fiber Ltd."/>
    <n v="5265093"/>
    <s v="Mark"/>
    <s v="Production"/>
    <s v="Bottle"/>
    <s v="Assistant"/>
    <m/>
    <n v="1900"/>
    <x v="264"/>
    <m/>
    <d v="1993-11-08T00:00:00"/>
    <s v="M"/>
    <s v="Y"/>
    <s v="Worker"/>
    <n v="13405"/>
    <n v="13405"/>
    <n v="7303"/>
    <n v="3652"/>
    <n v="750"/>
    <n v="450"/>
    <n v="0"/>
    <n v="0"/>
    <n v="1250"/>
    <n v="450"/>
    <n v="0"/>
    <n v="0"/>
    <n v="0"/>
    <n v="0"/>
    <n v="0"/>
    <n v="0"/>
    <n v="0"/>
    <n v="0"/>
    <n v="0"/>
    <n v="13405"/>
    <n v="13405"/>
    <n v="0"/>
  </r>
  <r>
    <n v="602"/>
    <s v="ABC Fiber Ltd."/>
    <n v="6273154"/>
    <s v="Matthew"/>
    <s v="Production"/>
    <s v="Bottle"/>
    <s v="Assistant"/>
    <m/>
    <n v="1900"/>
    <x v="227"/>
    <m/>
    <d v="2003-01-22T00:00:00"/>
    <s v="M"/>
    <s v="Y"/>
    <s v="Worker"/>
    <n v="13405"/>
    <n v="13405"/>
    <n v="7303"/>
    <n v="3652"/>
    <n v="750"/>
    <n v="450"/>
    <n v="0"/>
    <n v="0"/>
    <n v="1250"/>
    <n v="450"/>
    <n v="350"/>
    <n v="0"/>
    <n v="0"/>
    <n v="0"/>
    <n v="0"/>
    <n v="0"/>
    <n v="0"/>
    <n v="0"/>
    <n v="0"/>
    <n v="13755"/>
    <n v="13755"/>
    <n v="0"/>
  </r>
  <r>
    <n v="603"/>
    <s v="ABC Fiber Ltd."/>
    <n v="5184168"/>
    <s v="Maya"/>
    <s v="Production"/>
    <s v="Bottle"/>
    <s v="Loader"/>
    <m/>
    <n v="1900"/>
    <x v="446"/>
    <m/>
    <d v="1983-05-28T00:00:00"/>
    <s v="M"/>
    <s v="Y"/>
    <s v="Worker"/>
    <n v="13732"/>
    <n v="13732"/>
    <n v="7521"/>
    <n v="3761"/>
    <n v="750"/>
    <n v="450"/>
    <n v="0"/>
    <n v="0"/>
    <n v="1250"/>
    <n v="450"/>
    <n v="350"/>
    <n v="0"/>
    <n v="0"/>
    <n v="0"/>
    <n v="0"/>
    <n v="0"/>
    <n v="0"/>
    <n v="0"/>
    <n v="0"/>
    <n v="14082"/>
    <n v="14082"/>
    <n v="0"/>
  </r>
  <r>
    <n v="604"/>
    <s v="ABC Fiber Ltd."/>
    <n v="7967972"/>
    <s v="Megan"/>
    <s v="Production"/>
    <s v="Bottle"/>
    <s v="Loader"/>
    <m/>
    <n v="1900"/>
    <x v="447"/>
    <m/>
    <d v="1983-09-05T00:00:00"/>
    <s v="M"/>
    <s v="Y"/>
    <s v="Worker"/>
    <n v="13732"/>
    <n v="13463"/>
    <n v="7521"/>
    <n v="3761"/>
    <n v="750"/>
    <n v="450"/>
    <n v="0"/>
    <n v="0"/>
    <n v="1250"/>
    <n v="450"/>
    <n v="0"/>
    <n v="0"/>
    <n v="0"/>
    <n v="0"/>
    <n v="269"/>
    <n v="0"/>
    <n v="0"/>
    <n v="0"/>
    <n v="0"/>
    <n v="13463"/>
    <n v="13463"/>
    <n v="0"/>
  </r>
  <r>
    <n v="605"/>
    <s v="ABC Fiber Ltd."/>
    <n v="6111857"/>
    <s v="Michael"/>
    <s v="Production"/>
    <s v="Bottle"/>
    <s v="Assistant"/>
    <m/>
    <n v="1900"/>
    <x v="34"/>
    <m/>
    <d v="1989-06-10T00:00:00"/>
    <s v="M"/>
    <s v="Y"/>
    <s v="Worker"/>
    <n v="13405"/>
    <n v="13144"/>
    <n v="7303"/>
    <n v="3652"/>
    <n v="750"/>
    <n v="450"/>
    <n v="0"/>
    <n v="0"/>
    <n v="1250"/>
    <n v="450"/>
    <n v="0"/>
    <n v="0"/>
    <n v="0"/>
    <n v="0"/>
    <n v="261"/>
    <n v="0"/>
    <n v="0"/>
    <n v="0"/>
    <n v="0"/>
    <n v="13144"/>
    <n v="1314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B92D4-5045-4DFF-ACF8-461A829F26C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2:I54" firstHeaderRow="0" firstDataRow="1" firstDataCol="1"/>
  <pivotFields count="40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64" showAll="0">
      <items count="449">
        <item x="90"/>
        <item x="36"/>
        <item x="368"/>
        <item x="86"/>
        <item x="78"/>
        <item x="91"/>
        <item x="423"/>
        <item x="102"/>
        <item x="89"/>
        <item x="153"/>
        <item x="35"/>
        <item x="299"/>
        <item x="154"/>
        <item x="5"/>
        <item x="88"/>
        <item x="139"/>
        <item x="135"/>
        <item x="358"/>
        <item x="374"/>
        <item x="134"/>
        <item x="425"/>
        <item x="258"/>
        <item x="401"/>
        <item x="400"/>
        <item x="367"/>
        <item x="395"/>
        <item x="407"/>
        <item x="104"/>
        <item x="309"/>
        <item x="156"/>
        <item x="11"/>
        <item x="87"/>
        <item x="155"/>
        <item x="300"/>
        <item x="85"/>
        <item x="382"/>
        <item x="399"/>
        <item x="341"/>
        <item x="342"/>
        <item x="364"/>
        <item x="276"/>
        <item x="136"/>
        <item x="232"/>
        <item x="83"/>
        <item x="373"/>
        <item x="286"/>
        <item x="362"/>
        <item x="289"/>
        <item x="431"/>
        <item x="240"/>
        <item x="84"/>
        <item x="388"/>
        <item x="384"/>
        <item x="387"/>
        <item x="363"/>
        <item x="305"/>
        <item x="33"/>
        <item x="394"/>
        <item x="340"/>
        <item x="306"/>
        <item x="405"/>
        <item x="398"/>
        <item x="430"/>
        <item x="80"/>
        <item x="354"/>
        <item x="72"/>
        <item x="62"/>
        <item x="113"/>
        <item x="312"/>
        <item x="280"/>
        <item x="418"/>
        <item x="326"/>
        <item x="73"/>
        <item x="315"/>
        <item x="275"/>
        <item x="356"/>
        <item x="344"/>
        <item x="383"/>
        <item x="313"/>
        <item x="402"/>
        <item x="285"/>
        <item x="103"/>
        <item x="376"/>
        <item x="327"/>
        <item x="360"/>
        <item x="381"/>
        <item x="372"/>
        <item x="397"/>
        <item x="370"/>
        <item x="385"/>
        <item x="317"/>
        <item x="359"/>
        <item x="378"/>
        <item x="159"/>
        <item x="101"/>
        <item x="380"/>
        <item x="97"/>
        <item x="345"/>
        <item x="339"/>
        <item x="245"/>
        <item x="406"/>
        <item x="150"/>
        <item x="396"/>
        <item x="366"/>
        <item x="333"/>
        <item x="71"/>
        <item x="69"/>
        <item x="287"/>
        <item x="428"/>
        <item x="92"/>
        <item x="352"/>
        <item x="314"/>
        <item x="365"/>
        <item x="409"/>
        <item x="379"/>
        <item x="46"/>
        <item x="346"/>
        <item x="278"/>
        <item x="158"/>
        <item x="67"/>
        <item x="338"/>
        <item x="335"/>
        <item x="426"/>
        <item x="180"/>
        <item x="178"/>
        <item x="260"/>
        <item x="137"/>
        <item x="226"/>
        <item x="442"/>
        <item x="93"/>
        <item x="65"/>
        <item x="347"/>
        <item x="175"/>
        <item x="184"/>
        <item x="369"/>
        <item x="42"/>
        <item x="234"/>
        <item x="290"/>
        <item x="218"/>
        <item x="160"/>
        <item x="157"/>
        <item x="307"/>
        <item x="118"/>
        <item x="81"/>
        <item x="119"/>
        <item x="43"/>
        <item x="389"/>
        <item x="82"/>
        <item x="259"/>
        <item x="415"/>
        <item x="419"/>
        <item x="168"/>
        <item x="403"/>
        <item x="195"/>
        <item x="308"/>
        <item x="343"/>
        <item x="297"/>
        <item x="38"/>
        <item x="144"/>
        <item x="111"/>
        <item x="233"/>
        <item x="375"/>
        <item x="100"/>
        <item x="40"/>
        <item x="96"/>
        <item x="169"/>
        <item x="246"/>
        <item x="79"/>
        <item x="424"/>
        <item x="179"/>
        <item x="54"/>
        <item x="443"/>
        <item x="328"/>
        <item x="94"/>
        <item x="70"/>
        <item x="441"/>
        <item x="279"/>
        <item x="321"/>
        <item x="323"/>
        <item x="68"/>
        <item x="277"/>
        <item x="76"/>
        <item x="120"/>
        <item x="108"/>
        <item x="337"/>
        <item x="329"/>
        <item x="429"/>
        <item x="182"/>
        <item x="288"/>
        <item x="322"/>
        <item x="371"/>
        <item x="117"/>
        <item x="330"/>
        <item x="353"/>
        <item x="55"/>
        <item x="361"/>
        <item x="152"/>
        <item x="316"/>
        <item x="355"/>
        <item x="357"/>
        <item x="151"/>
        <item x="121"/>
        <item x="318"/>
        <item x="63"/>
        <item x="404"/>
        <item x="444"/>
        <item x="336"/>
        <item x="386"/>
        <item x="116"/>
        <item x="334"/>
        <item x="390"/>
        <item x="211"/>
        <item x="105"/>
        <item x="30"/>
        <item x="282"/>
        <item x="140"/>
        <item x="267"/>
        <item x="284"/>
        <item x="281"/>
        <item x="196"/>
        <item x="115"/>
        <item x="41"/>
        <item x="324"/>
        <item x="217"/>
        <item x="216"/>
        <item x="377"/>
        <item x="106"/>
        <item x="301"/>
        <item x="310"/>
        <item x="391"/>
        <item x="311"/>
        <item x="291"/>
        <item x="39"/>
        <item x="47"/>
        <item x="293"/>
        <item x="296"/>
        <item x="292"/>
        <item x="274"/>
        <item x="295"/>
        <item x="294"/>
        <item x="66"/>
        <item x="18"/>
        <item x="244"/>
        <item x="209"/>
        <item x="304"/>
        <item x="303"/>
        <item x="112"/>
        <item x="239"/>
        <item x="417"/>
        <item x="231"/>
        <item x="56"/>
        <item x="302"/>
        <item x="167"/>
        <item x="24"/>
        <item x="445"/>
        <item x="230"/>
        <item x="64"/>
        <item x="53"/>
        <item x="28"/>
        <item x="262"/>
        <item x="162"/>
        <item x="222"/>
        <item x="52"/>
        <item x="210"/>
        <item x="221"/>
        <item x="220"/>
        <item x="392"/>
        <item x="95"/>
        <item x="228"/>
        <item x="99"/>
        <item x="212"/>
        <item x="219"/>
        <item x="213"/>
        <item x="214"/>
        <item x="2"/>
        <item x="17"/>
        <item x="446"/>
        <item x="447"/>
        <item x="49"/>
        <item x="50"/>
        <item x="51"/>
        <item x="20"/>
        <item x="243"/>
        <item x="164"/>
        <item x="29"/>
        <item x="34"/>
        <item x="265"/>
        <item x="331"/>
        <item x="181"/>
        <item x="332"/>
        <item x="185"/>
        <item x="133"/>
        <item x="12"/>
        <item x="298"/>
        <item x="264"/>
        <item x="420"/>
        <item x="229"/>
        <item x="183"/>
        <item x="411"/>
        <item x="227"/>
        <item x="37"/>
        <item x="141"/>
        <item x="421"/>
        <item x="422"/>
        <item x="215"/>
        <item x="186"/>
        <item x="238"/>
        <item x="283"/>
        <item x="242"/>
        <item x="13"/>
        <item x="241"/>
        <item x="256"/>
        <item x="393"/>
        <item x="249"/>
        <item x="273"/>
        <item x="435"/>
        <item x="252"/>
        <item x="170"/>
        <item x="171"/>
        <item x="165"/>
        <item x="187"/>
        <item x="272"/>
        <item x="25"/>
        <item x="208"/>
        <item x="1"/>
        <item x="9"/>
        <item x="250"/>
        <item x="251"/>
        <item x="414"/>
        <item x="59"/>
        <item x="4"/>
        <item x="3"/>
        <item x="236"/>
        <item x="58"/>
        <item x="263"/>
        <item x="325"/>
        <item x="163"/>
        <item x="23"/>
        <item x="57"/>
        <item x="257"/>
        <item x="26"/>
        <item x="237"/>
        <item x="143"/>
        <item x="436"/>
        <item x="349"/>
        <item x="75"/>
        <item x="437"/>
        <item x="174"/>
        <item x="148"/>
        <item x="235"/>
        <item x="319"/>
        <item x="413"/>
        <item x="438"/>
        <item x="188"/>
        <item x="189"/>
        <item x="201"/>
        <item x="270"/>
        <item x="6"/>
        <item x="269"/>
        <item x="261"/>
        <item x="15"/>
        <item x="190"/>
        <item x="7"/>
        <item x="268"/>
        <item x="127"/>
        <item x="271"/>
        <item x="204"/>
        <item x="8"/>
        <item x="348"/>
        <item x="206"/>
        <item x="22"/>
        <item x="32"/>
        <item x="320"/>
        <item x="416"/>
        <item x="207"/>
        <item x="203"/>
        <item x="202"/>
        <item x="60"/>
        <item x="21"/>
        <item x="142"/>
        <item x="173"/>
        <item x="253"/>
        <item x="199"/>
        <item x="439"/>
        <item x="191"/>
        <item x="192"/>
        <item x="161"/>
        <item x="410"/>
        <item x="440"/>
        <item x="129"/>
        <item x="149"/>
        <item x="412"/>
        <item x="351"/>
        <item x="200"/>
        <item x="98"/>
        <item x="266"/>
        <item x="427"/>
        <item x="44"/>
        <item x="122"/>
        <item x="172"/>
        <item x="247"/>
        <item x="254"/>
        <item x="0"/>
        <item x="197"/>
        <item x="130"/>
        <item x="109"/>
        <item x="255"/>
        <item x="433"/>
        <item x="434"/>
        <item x="128"/>
        <item x="146"/>
        <item x="194"/>
        <item x="223"/>
        <item x="147"/>
        <item x="432"/>
        <item x="16"/>
        <item x="61"/>
        <item x="193"/>
        <item x="31"/>
        <item x="10"/>
        <item x="225"/>
        <item x="45"/>
        <item x="224"/>
        <item x="166"/>
        <item x="125"/>
        <item x="408"/>
        <item x="126"/>
        <item x="177"/>
        <item x="198"/>
        <item x="176"/>
        <item x="350"/>
        <item x="27"/>
        <item x="74"/>
        <item x="123"/>
        <item x="124"/>
        <item x="145"/>
        <item x="205"/>
        <item x="131"/>
        <item x="132"/>
        <item x="107"/>
        <item x="110"/>
        <item x="248"/>
        <item x="138"/>
        <item x="77"/>
        <item x="19"/>
        <item x="114"/>
        <item x="48"/>
        <item x="14"/>
        <item t="default"/>
      </items>
    </pivotField>
    <pivotField dataField="1" showAll="0"/>
    <pivotField numFmtId="164"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34">
        <item sd="0" x="31"/>
        <item sd="0" x="30"/>
        <item sd="0" x="29"/>
        <item sd="0" x="28"/>
        <item sd="0" x="27"/>
        <item sd="0" x="26"/>
        <item sd="0" x="25"/>
        <item sd="0" x="24"/>
        <item sd="0" x="23"/>
        <item sd="0" x="22"/>
        <item sd="0" x="21"/>
        <item sd="0" x="20"/>
        <item sd="0" x="19"/>
        <item sd="0" x="18"/>
        <item sd="0" x="17"/>
        <item sd="0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32"/>
        <item sd="0" x="0"/>
        <item t="default"/>
      </items>
    </pivotField>
  </pivotFields>
  <rowFields count="1">
    <field x="39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 Name" fld="3" subtotal="count" baseField="0" baseItem="0"/>
    <dataField name="Count of QuitDate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BA4854-CCAD-4BA5-A1CB-618A609A1326}" name="Row" displayName="Row" ref="A1:AL607" totalsRowCount="1" headerRowDxfId="80" dataDxfId="79" tableBorderDxfId="78" headerRowCellStyle="Accent6" dataCellStyle="Comma">
  <autoFilter ref="A1:AL606" xr:uid="{D6BA4854-CCAD-4BA5-A1CB-618A609A1326}"/>
  <tableColumns count="38">
    <tableColumn id="1" xr3:uid="{FC991856-E271-4538-8D2C-74037FDE63FC}" name="SL" dataDxfId="77" totalsRowDxfId="76"/>
    <tableColumn id="2" xr3:uid="{315A6B95-5D9B-4B15-8B98-E43CD5FAF7DE}" name="CompName" dataDxfId="75" totalsRowDxfId="74"/>
    <tableColumn id="3" xr3:uid="{2AA987E9-9D86-42CB-A678-762FFBF55DDC}" name="EmpId" dataDxfId="73" totalsRowDxfId="72"/>
    <tableColumn id="4" xr3:uid="{4651E059-5CEB-49FE-8B50-67BA0D929023}" name="Employee Name" dataDxfId="71" totalsRowDxfId="70"/>
    <tableColumn id="5" xr3:uid="{E87265DE-5008-4D50-8F55-62BB9ABA3BE2}" name="DeptName" dataDxfId="69" totalsRowDxfId="68"/>
    <tableColumn id="6" xr3:uid="{5CC0AA9B-4DBB-4933-A3ED-F63D23023A64}" name="SectName" dataDxfId="67" totalsRowDxfId="66"/>
    <tableColumn id="7" xr3:uid="{B80CFD17-DB12-40D0-9FDB-3D725B68E764}" name="DesigName" dataDxfId="65" totalsRowDxfId="64"/>
    <tableColumn id="8" xr3:uid="{B35D4369-C0DB-49A5-A3D1-E18761211318}" name="AccountNo" dataDxfId="63" totalsRowDxfId="62"/>
    <tableColumn id="9" xr3:uid="{34B6C728-3E9E-4767-A180-7369B75A784A}" name="JDate" dataDxfId="61" totalsRowDxfId="60"/>
    <tableColumn id="10" xr3:uid="{F6EF3D15-A593-4EFA-9CC2-F26D464B7DA5}" name="QuitDate" dataDxfId="59" totalsRowDxfId="58"/>
    <tableColumn id="11" xr3:uid="{678737C7-97CA-4E87-A8D2-1CF69C83B1FC}" name="Quit_Year" dataDxfId="57" totalsRowDxfId="56" dataCellStyle="Comma" totalsRowCellStyle="Comma"/>
    <tableColumn id="12" xr3:uid="{DD506DEB-998A-4AD6-8E2A-6BBF2E64589C}" name="BirthDate" dataDxfId="55" totalsRowDxfId="54"/>
    <tableColumn id="13" xr3:uid="{F5A23019-F590-4E92-A089-E6A162BD2635}" name="Age" dataDxfId="53" totalsRowDxfId="52">
      <calculatedColumnFormula>IF('Row data'!$J2="",DATEDIF('Row data'!$L2,TODAY(),"y"),"0")</calculatedColumnFormula>
    </tableColumn>
    <tableColumn id="14" xr3:uid="{CD514B41-F05B-45DE-8A23-982CD5C0CA3E}" name="Gender" dataDxfId="51" totalsRowDxfId="50"/>
    <tableColumn id="15" xr3:uid="{BF8945F6-80DE-4033-9840-445EACC5A3F9}" name="OT" dataDxfId="49" totalsRowDxfId="48"/>
    <tableColumn id="16" xr3:uid="{12F2BE67-044A-427B-B759-CA92C4941E18}" name="Employee Category" dataDxfId="47" totalsRowDxfId="46" dataCellStyle="Comma" totalsRowCellStyle="Comma"/>
    <tableColumn id="17" xr3:uid="{1A0FB784-378D-4C4C-AD0E-D1C9229619A7}" name="Gross" dataDxfId="45" totalsRowDxfId="44" dataCellStyle="Comma" totalsRowCellStyle="Comma"/>
    <tableColumn id="18" xr3:uid="{E37D7CD8-225A-4D3D-BCBA-7AB1DFF093C1}" name="Gross Pay" dataDxfId="43" totalsRowDxfId="42" dataCellStyle="Comma" totalsRowCellStyle="Comma"/>
    <tableColumn id="19" xr3:uid="{052D3309-1B33-47E0-A1E9-F178D354FBEB}" name="Basic" dataDxfId="41" totalsRowDxfId="40" dataCellStyle="Comma" totalsRowCellStyle="Comma"/>
    <tableColumn id="20" xr3:uid="{E883C255-6CAA-4101-9E04-A36B92EA769D}" name="HRent" dataDxfId="39" totalsRowDxfId="38" dataCellStyle="Comma" totalsRowCellStyle="Comma"/>
    <tableColumn id="21" xr3:uid="{E0C2F22F-28A0-45E7-B439-770705541F1D}" name="Medical" dataDxfId="37" totalsRowDxfId="36" dataCellStyle="Comma" totalsRowCellStyle="Comma"/>
    <tableColumn id="22" xr3:uid="{3BD3CDE9-DE9E-4AF6-8B94-9836C69125DB}" name="TechAllowance" dataDxfId="35" totalsRowDxfId="34" dataCellStyle="Comma" totalsRowCellStyle="Comma"/>
    <tableColumn id="23" xr3:uid="{D90A3F84-3EB2-463F-AD2E-2C2640B75DA2}" name="ExtraTechAllow" dataDxfId="33" totalsRowDxfId="32" dataCellStyle="Comma" totalsRowCellStyle="Comma"/>
    <tableColumn id="24" xr3:uid="{8FC963B2-7A20-482F-8757-6BB522875D3B}" name="OthersAllowance" dataDxfId="31" totalsRowDxfId="30" dataCellStyle="Comma" totalsRowCellStyle="Comma"/>
    <tableColumn id="25" xr3:uid="{AA6F8E36-F9DB-4885-B57E-65EC64A7AA4E}" name="FoodAllowance" dataDxfId="29" totalsRowDxfId="28" dataCellStyle="Comma" totalsRowCellStyle="Comma"/>
    <tableColumn id="26" xr3:uid="{5B8ED39F-A1BD-4C2B-B402-AD6044889D67}" name="ConvAllowance" dataDxfId="27" totalsRowDxfId="26" dataCellStyle="Comma" totalsRowCellStyle="Comma"/>
    <tableColumn id="27" xr3:uid="{BCDA1A25-E348-422F-ACC6-717AC1A33193}" name="Attendance Bonus" dataDxfId="25" totalsRowDxfId="24" dataCellStyle="Comma" totalsRowCellStyle="Comma"/>
    <tableColumn id="28" xr3:uid="{0E033E50-6DE4-4800-957F-985C21FA81C9}" name="OT Amount" dataDxfId="23" totalsRowDxfId="22" dataCellStyle="Comma" totalsRowCellStyle="Comma"/>
    <tableColumn id="29" xr3:uid="{720CFA10-4A1D-4CF2-B8EB-8AB01ECC6DE0}" name="Adjustment Deduction" dataDxfId="21" totalsRowDxfId="20" dataCellStyle="Comma" totalsRowCellStyle="Comma"/>
    <tableColumn id="30" xr3:uid="{9C7434AF-F30E-4DE5-AE8B-581C8F7D1192}" name="Adjustment Addition" dataDxfId="19" totalsRowDxfId="18" dataCellStyle="Comma" totalsRowCellStyle="Comma"/>
    <tableColumn id="31" xr3:uid="{821846A4-F477-496D-8503-622D5FF8E404}" name="Absent Amount" dataDxfId="17" totalsRowDxfId="16" dataCellStyle="Comma" totalsRowCellStyle="Comma"/>
    <tableColumn id="32" xr3:uid="{F4DCB220-0338-4D33-A708-9F93C4014C74}" name="Late Amount" dataDxfId="15" totalsRowDxfId="14" dataCellStyle="Comma" totalsRowCellStyle="Comma"/>
    <tableColumn id="33" xr3:uid="{C6986D22-5898-444D-9AB2-8AF7DE30E22C}" name="Loan" dataDxfId="13" totalsRowDxfId="12" dataCellStyle="Comma" totalsRowCellStyle="Comma"/>
    <tableColumn id="34" xr3:uid="{D70FFCB8-A26D-41C3-897A-363FC55DC3C6}" name="Tax" dataDxfId="11" totalsRowDxfId="10" dataCellStyle="Comma" totalsRowCellStyle="Comma"/>
    <tableColumn id="35" xr3:uid="{2B403358-1CDA-45B7-B442-0E2302118D98}" name="Stamp" dataDxfId="9" totalsRowDxfId="8" dataCellStyle="Comma" totalsRowCellStyle="Comma"/>
    <tableColumn id="36" xr3:uid="{309A6F6A-6BF2-464F-949B-9857CC3F9628}" name="Net Payable" dataDxfId="7" totalsRowDxfId="6" dataCellStyle="Comma" totalsRowCellStyle="Comma">
      <calculatedColumnFormula>'Row data'!$S2+'Row data'!$T2+'Row data'!$U2+'Row data'!$W2+'Row data'!$X2+'Row data'!$Y2+'Row data'!$Z2+'Row data'!$AA2+'Row data'!$AB2+'Row data'!$AD2-'Row data'!$AC2-'Row data'!$AE2-'Row data'!$AF2-'Row data'!$AG2-'Row data'!$AH2-'Row data'!$AI2</calculatedColumnFormula>
    </tableColumn>
    <tableColumn id="37" xr3:uid="{9FF0C1C3-67D6-446A-885E-00DD553E950C}" name="Bank" dataDxfId="5" totalsRowDxfId="4" dataCellStyle="Comma" totalsRowCellStyle="Comma"/>
    <tableColumn id="38" xr3:uid="{6B598379-209F-4865-B4CA-491C3D08B703}" name="Cash" dataDxfId="3" totalsRowDxfId="2" dataCellStyle="Comma" totalsRow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0ED8-DE03-4DBC-9E88-02CA6DCAA3ED}">
  <dimension ref="A1:AL607"/>
  <sheetViews>
    <sheetView showGridLines="0" topLeftCell="W10" zoomScaleNormal="100" workbookViewId="0">
      <selection activeCell="AI610" sqref="AI610"/>
    </sheetView>
  </sheetViews>
  <sheetFormatPr defaultRowHeight="14.4" x14ac:dyDescent="0.3"/>
  <cols>
    <col min="1" max="1" width="7.44140625" style="3" bestFit="1" customWidth="1"/>
    <col min="2" max="2" width="25.6640625" customWidth="1"/>
    <col min="3" max="3" width="10.88671875" bestFit="1" customWidth="1"/>
    <col min="4" max="4" width="21.88671875" style="4" customWidth="1"/>
    <col min="5" max="5" width="18.33203125" bestFit="1" customWidth="1"/>
    <col min="6" max="6" width="21.5546875" customWidth="1"/>
    <col min="7" max="7" width="42.5546875" bestFit="1" customWidth="1"/>
    <col min="8" max="8" width="23.109375" style="5" customWidth="1"/>
    <col min="9" max="10" width="12.88671875" style="6" customWidth="1"/>
    <col min="11" max="13" width="22.109375" customWidth="1"/>
    <col min="14" max="14" width="9.33203125" customWidth="1"/>
    <col min="15" max="15" width="9.109375" customWidth="1"/>
    <col min="16" max="16" width="21" style="7" customWidth="1"/>
    <col min="17" max="17" width="16.44140625" style="7" customWidth="1" collapsed="1"/>
    <col min="18" max="21" width="16.44140625" style="7" customWidth="1"/>
    <col min="22" max="22" width="17.109375" style="7" customWidth="1"/>
    <col min="23" max="23" width="17.44140625" style="7" customWidth="1"/>
    <col min="24" max="24" width="18.88671875" style="7" customWidth="1"/>
    <col min="25" max="25" width="17.109375" style="7" customWidth="1"/>
    <col min="26" max="26" width="17.44140625" style="7" customWidth="1"/>
    <col min="27" max="27" width="19.88671875" style="7" customWidth="1"/>
    <col min="28" max="28" width="13.5546875" style="7" customWidth="1"/>
    <col min="29" max="29" width="23.5546875" style="7" customWidth="1"/>
    <col min="30" max="30" width="21.88671875" style="7" customWidth="1"/>
    <col min="31" max="31" width="17.44140625" style="7" customWidth="1"/>
    <col min="32" max="32" width="15" style="7" customWidth="1"/>
    <col min="33" max="33" width="10.5546875" style="7" bestFit="1" customWidth="1"/>
    <col min="34" max="34" width="10.109375" style="7" bestFit="1" customWidth="1"/>
    <col min="35" max="35" width="12.33203125" style="7" bestFit="1" customWidth="1"/>
    <col min="36" max="36" width="14.44140625" style="7" customWidth="1"/>
    <col min="37" max="37" width="12.88671875" style="7" customWidth="1"/>
    <col min="38" max="38" width="12.6640625" style="7" customWidth="1"/>
  </cols>
  <sheetData>
    <row r="1" spans="1:38" s="1" customFormat="1" x14ac:dyDescent="0.3">
      <c r="A1" s="41" t="s">
        <v>0</v>
      </c>
      <c r="B1" s="42" t="s">
        <v>1</v>
      </c>
      <c r="C1" s="42" t="s">
        <v>2</v>
      </c>
      <c r="D1" s="43" t="s">
        <v>3</v>
      </c>
      <c r="E1" s="42" t="s">
        <v>4</v>
      </c>
      <c r="F1" s="42" t="s">
        <v>5</v>
      </c>
      <c r="G1" s="42" t="s">
        <v>6</v>
      </c>
      <c r="H1" s="44" t="s">
        <v>7</v>
      </c>
      <c r="I1" s="45" t="s">
        <v>8</v>
      </c>
      <c r="J1" s="45" t="s">
        <v>9</v>
      </c>
      <c r="K1" s="46" t="s">
        <v>1033</v>
      </c>
      <c r="L1" s="45" t="s">
        <v>1034</v>
      </c>
      <c r="M1" s="46" t="s">
        <v>1036</v>
      </c>
      <c r="N1" s="42" t="s">
        <v>10</v>
      </c>
      <c r="O1" s="42" t="s">
        <v>11</v>
      </c>
      <c r="P1" s="47" t="s">
        <v>12</v>
      </c>
      <c r="Q1" s="47" t="s">
        <v>13</v>
      </c>
      <c r="R1" s="47" t="s">
        <v>14</v>
      </c>
      <c r="S1" s="47" t="s">
        <v>15</v>
      </c>
      <c r="T1" s="47" t="s">
        <v>16</v>
      </c>
      <c r="U1" s="47" t="s">
        <v>17</v>
      </c>
      <c r="V1" s="47" t="s">
        <v>18</v>
      </c>
      <c r="W1" s="47" t="s">
        <v>19</v>
      </c>
      <c r="X1" s="47" t="s">
        <v>20</v>
      </c>
      <c r="Y1" s="47" t="s">
        <v>21</v>
      </c>
      <c r="Z1" s="47" t="s">
        <v>22</v>
      </c>
      <c r="AA1" s="47" t="s">
        <v>23</v>
      </c>
      <c r="AB1" s="47" t="s">
        <v>24</v>
      </c>
      <c r="AC1" s="47" t="s">
        <v>25</v>
      </c>
      <c r="AD1" s="47" t="s">
        <v>26</v>
      </c>
      <c r="AE1" s="47" t="s">
        <v>27</v>
      </c>
      <c r="AF1" s="47" t="s">
        <v>28</v>
      </c>
      <c r="AG1" s="47" t="s">
        <v>29</v>
      </c>
      <c r="AH1" s="47" t="s">
        <v>30</v>
      </c>
      <c r="AI1" s="47" t="s">
        <v>31</v>
      </c>
      <c r="AJ1" s="47" t="s">
        <v>32</v>
      </c>
      <c r="AK1" s="47" t="s">
        <v>33</v>
      </c>
      <c r="AL1" s="47" t="s">
        <v>34</v>
      </c>
    </row>
    <row r="2" spans="1:38" x14ac:dyDescent="0.3">
      <c r="A2" s="40">
        <v>1</v>
      </c>
      <c r="B2" s="35" t="s">
        <v>36</v>
      </c>
      <c r="C2" s="35">
        <v>8143412</v>
      </c>
      <c r="D2" s="36" t="s">
        <v>37</v>
      </c>
      <c r="E2" s="35" t="s">
        <v>38</v>
      </c>
      <c r="F2" s="35" t="s">
        <v>39</v>
      </c>
      <c r="G2" s="35" t="s">
        <v>40</v>
      </c>
      <c r="H2" s="37" t="s">
        <v>41</v>
      </c>
      <c r="I2" s="38">
        <v>45078</v>
      </c>
      <c r="J2" s="38"/>
      <c r="K2" s="17"/>
      <c r="L2" s="38">
        <v>37622</v>
      </c>
      <c r="M2" s="35">
        <f ca="1">IF('Row data'!$J2="",DATEDIF('Row data'!$L2,TODAY(),"y"),"0")</f>
        <v>23</v>
      </c>
      <c r="N2" s="35" t="s">
        <v>42</v>
      </c>
      <c r="O2" s="35" t="s">
        <v>43</v>
      </c>
      <c r="P2" s="39" t="s">
        <v>44</v>
      </c>
      <c r="Q2" s="39">
        <v>16305</v>
      </c>
      <c r="R2" s="39">
        <v>16305</v>
      </c>
      <c r="S2" s="39">
        <v>9783</v>
      </c>
      <c r="T2" s="39">
        <v>4892</v>
      </c>
      <c r="U2" s="39">
        <v>652</v>
      </c>
      <c r="V2" s="39">
        <v>489</v>
      </c>
      <c r="W2" s="39">
        <v>0</v>
      </c>
      <c r="X2" s="39">
        <v>0</v>
      </c>
      <c r="Y2" s="39">
        <v>489</v>
      </c>
      <c r="Z2" s="39">
        <v>489</v>
      </c>
      <c r="AA2" s="39">
        <v>0</v>
      </c>
      <c r="AB2" s="39">
        <v>0</v>
      </c>
      <c r="AC2" s="39">
        <v>0</v>
      </c>
      <c r="AD2" s="39">
        <v>0</v>
      </c>
      <c r="AE2" s="39">
        <v>0</v>
      </c>
      <c r="AF2" s="39">
        <v>0</v>
      </c>
      <c r="AG2" s="39">
        <v>0</v>
      </c>
      <c r="AH2" s="39">
        <v>0</v>
      </c>
      <c r="AI2" s="39">
        <v>0</v>
      </c>
      <c r="AJ2" s="39">
        <f>'Row data'!$S2+'Row data'!$T2+'Row data'!$U2+'Row data'!$W2+'Row data'!$X2+'Row data'!$Y2+'Row data'!$Z2+'Row data'!$AA2+'Row data'!$AB2+'Row data'!$AD2-'Row data'!$AC2-'Row data'!$AE2-'Row data'!$AF2-'Row data'!$AG2-'Row data'!$AH2-'Row data'!$AI2</f>
        <v>16305</v>
      </c>
      <c r="AK2" s="39">
        <v>16305</v>
      </c>
      <c r="AL2" s="39">
        <v>0</v>
      </c>
    </row>
    <row r="3" spans="1:38" x14ac:dyDescent="0.3">
      <c r="A3" s="40">
        <v>2</v>
      </c>
      <c r="B3" s="35" t="s">
        <v>36</v>
      </c>
      <c r="C3" s="35">
        <v>7835403</v>
      </c>
      <c r="D3" s="36" t="s">
        <v>45</v>
      </c>
      <c r="E3" s="35" t="s">
        <v>38</v>
      </c>
      <c r="F3" s="35" t="s">
        <v>46</v>
      </c>
      <c r="G3" s="35" t="s">
        <v>47</v>
      </c>
      <c r="H3" s="37" t="s">
        <v>48</v>
      </c>
      <c r="I3" s="38">
        <v>44485</v>
      </c>
      <c r="J3" s="38">
        <v>44867</v>
      </c>
      <c r="K3" s="17">
        <f>YEAR('Row data'!$J3)</f>
        <v>2022</v>
      </c>
      <c r="L3" s="38">
        <v>28431</v>
      </c>
      <c r="M3" s="35" t="str">
        <f ca="1">IF('Row data'!$J3="",DATEDIF('Row data'!$L3,TODAY(),"y"),"0")</f>
        <v>0</v>
      </c>
      <c r="N3" s="35" t="s">
        <v>42</v>
      </c>
      <c r="O3" s="35" t="s">
        <v>43</v>
      </c>
      <c r="P3" s="39" t="s">
        <v>44</v>
      </c>
      <c r="Q3" s="39">
        <v>32700</v>
      </c>
      <c r="R3" s="39">
        <v>32700</v>
      </c>
      <c r="S3" s="39">
        <v>19620</v>
      </c>
      <c r="T3" s="39">
        <v>9810</v>
      </c>
      <c r="U3" s="39">
        <v>1308</v>
      </c>
      <c r="V3" s="39">
        <v>981</v>
      </c>
      <c r="W3" s="39">
        <v>0</v>
      </c>
      <c r="X3" s="39">
        <v>0</v>
      </c>
      <c r="Y3" s="39">
        <v>981</v>
      </c>
      <c r="Z3" s="39">
        <v>981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  <c r="AH3" s="39">
        <v>0</v>
      </c>
      <c r="AI3" s="39">
        <v>0</v>
      </c>
      <c r="AJ3" s="39">
        <f>'Row data'!$S3+'Row data'!$T3+'Row data'!$U3+'Row data'!$W3+'Row data'!$X3+'Row data'!$Y3+'Row data'!$Z3+'Row data'!$AA3+'Row data'!$AB3+'Row data'!$AD3-'Row data'!$AC3-'Row data'!$AE3-'Row data'!$AF3-'Row data'!$AG3-'Row data'!$AH3-'Row data'!$AI3</f>
        <v>32700</v>
      </c>
      <c r="AK3" s="39">
        <v>32700</v>
      </c>
      <c r="AL3" s="39">
        <v>0</v>
      </c>
    </row>
    <row r="4" spans="1:38" x14ac:dyDescent="0.3">
      <c r="A4" s="40">
        <v>3</v>
      </c>
      <c r="B4" s="35" t="s">
        <v>36</v>
      </c>
      <c r="C4" s="35">
        <v>8538860</v>
      </c>
      <c r="D4" s="36" t="s">
        <v>49</v>
      </c>
      <c r="E4" s="35" t="s">
        <v>38</v>
      </c>
      <c r="F4" s="35" t="s">
        <v>46</v>
      </c>
      <c r="G4" s="35" t="s">
        <v>50</v>
      </c>
      <c r="H4" s="37" t="s">
        <v>51</v>
      </c>
      <c r="I4" s="38">
        <v>43996</v>
      </c>
      <c r="J4" s="38">
        <v>44562</v>
      </c>
      <c r="K4" s="17">
        <f>YEAR('Row data'!$J4)</f>
        <v>2022</v>
      </c>
      <c r="L4" s="38">
        <v>32874</v>
      </c>
      <c r="M4" s="35" t="str">
        <f ca="1">IF('Row data'!$J4="",DATEDIF('Row data'!$L4,TODAY(),"y"),"0")</f>
        <v>0</v>
      </c>
      <c r="N4" s="35" t="s">
        <v>42</v>
      </c>
      <c r="O4" s="35" t="s">
        <v>43</v>
      </c>
      <c r="P4" s="39" t="s">
        <v>44</v>
      </c>
      <c r="Q4" s="39">
        <v>16351</v>
      </c>
      <c r="R4" s="39">
        <v>16024</v>
      </c>
      <c r="S4" s="39">
        <v>9810</v>
      </c>
      <c r="T4" s="39">
        <v>4905</v>
      </c>
      <c r="U4" s="39">
        <v>654</v>
      </c>
      <c r="V4" s="39">
        <v>491</v>
      </c>
      <c r="W4" s="39">
        <v>0</v>
      </c>
      <c r="X4" s="39">
        <v>0</v>
      </c>
      <c r="Y4" s="39">
        <v>491</v>
      </c>
      <c r="Z4" s="39">
        <v>491</v>
      </c>
      <c r="AA4" s="39">
        <v>0</v>
      </c>
      <c r="AB4" s="39">
        <v>0</v>
      </c>
      <c r="AC4" s="39">
        <v>-327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f>'Row data'!$S4+'Row data'!$T4+'Row data'!$U4+'Row data'!$W4+'Row data'!$X4+'Row data'!$Y4+'Row data'!$Z4+'Row data'!$AA4+'Row data'!$AB4+'Row data'!$AD4-'Row data'!$AC4-'Row data'!$AE4-'Row data'!$AF4-'Row data'!$AG4-'Row data'!$AH4-'Row data'!$AI4</f>
        <v>16678</v>
      </c>
      <c r="AK4" s="39">
        <v>16024</v>
      </c>
      <c r="AL4" s="39">
        <v>0</v>
      </c>
    </row>
    <row r="5" spans="1:38" x14ac:dyDescent="0.3">
      <c r="A5" s="40">
        <v>4</v>
      </c>
      <c r="B5" s="35" t="s">
        <v>36</v>
      </c>
      <c r="C5" s="35">
        <v>8627585</v>
      </c>
      <c r="D5" s="36" t="s">
        <v>52</v>
      </c>
      <c r="E5" s="35" t="s">
        <v>38</v>
      </c>
      <c r="F5" s="35" t="s">
        <v>46</v>
      </c>
      <c r="G5" s="35" t="s">
        <v>53</v>
      </c>
      <c r="H5" s="37" t="s">
        <v>54</v>
      </c>
      <c r="I5" s="38">
        <v>44531</v>
      </c>
      <c r="J5" s="38"/>
      <c r="K5" s="17"/>
      <c r="L5" s="38">
        <v>33238</v>
      </c>
      <c r="M5" s="35">
        <f ca="1">IF('Row data'!$J5="",DATEDIF('Row data'!$L5,TODAY(),"y"),"0")</f>
        <v>35</v>
      </c>
      <c r="N5" s="35" t="s">
        <v>42</v>
      </c>
      <c r="O5" s="35" t="s">
        <v>43</v>
      </c>
      <c r="P5" s="39" t="s">
        <v>44</v>
      </c>
      <c r="Q5" s="39">
        <v>24526</v>
      </c>
      <c r="R5" s="39">
        <v>24526</v>
      </c>
      <c r="S5" s="39">
        <v>14715</v>
      </c>
      <c r="T5" s="39">
        <v>7358</v>
      </c>
      <c r="U5" s="39">
        <v>981</v>
      </c>
      <c r="V5" s="39">
        <v>736</v>
      </c>
      <c r="W5" s="39">
        <v>0</v>
      </c>
      <c r="X5" s="39">
        <v>0</v>
      </c>
      <c r="Y5" s="39">
        <v>736</v>
      </c>
      <c r="Z5" s="39">
        <v>736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  <c r="AH5" s="39">
        <v>0</v>
      </c>
      <c r="AI5" s="39">
        <v>0</v>
      </c>
      <c r="AJ5" s="39">
        <f>'Row data'!$S5+'Row data'!$T5+'Row data'!$U5+'Row data'!$W5+'Row data'!$X5+'Row data'!$Y5+'Row data'!$Z5+'Row data'!$AA5+'Row data'!$AB5+'Row data'!$AD5-'Row data'!$AC5-'Row data'!$AE5-'Row data'!$AF5-'Row data'!$AG5-'Row data'!$AH5-'Row data'!$AI5</f>
        <v>24526</v>
      </c>
      <c r="AK5" s="39">
        <v>24526</v>
      </c>
      <c r="AL5" s="39">
        <v>0</v>
      </c>
    </row>
    <row r="6" spans="1:38" x14ac:dyDescent="0.3">
      <c r="A6" s="40">
        <v>5</v>
      </c>
      <c r="B6" s="35" t="s">
        <v>36</v>
      </c>
      <c r="C6" s="35">
        <v>9077918</v>
      </c>
      <c r="D6" s="36" t="s">
        <v>55</v>
      </c>
      <c r="E6" s="35" t="s">
        <v>38</v>
      </c>
      <c r="F6" s="35" t="s">
        <v>56</v>
      </c>
      <c r="G6" s="35" t="s">
        <v>57</v>
      </c>
      <c r="H6" s="37" t="s">
        <v>58</v>
      </c>
      <c r="I6" s="38">
        <v>44516</v>
      </c>
      <c r="J6" s="38"/>
      <c r="K6" s="17"/>
      <c r="L6" s="38">
        <v>34699</v>
      </c>
      <c r="M6" s="35">
        <f ca="1">IF('Row data'!$J6="",DATEDIF('Row data'!$L6,TODAY(),"y"),"0")</f>
        <v>31</v>
      </c>
      <c r="N6" s="35" t="s">
        <v>42</v>
      </c>
      <c r="O6" s="35" t="s">
        <v>43</v>
      </c>
      <c r="P6" s="39" t="s">
        <v>44</v>
      </c>
      <c r="Q6" s="39">
        <v>27251</v>
      </c>
      <c r="R6" s="39">
        <v>27251</v>
      </c>
      <c r="S6" s="39">
        <v>16350</v>
      </c>
      <c r="T6" s="39">
        <v>8175</v>
      </c>
      <c r="U6" s="39">
        <v>1090</v>
      </c>
      <c r="V6" s="39">
        <v>818</v>
      </c>
      <c r="W6" s="39">
        <v>0</v>
      </c>
      <c r="X6" s="39">
        <v>0</v>
      </c>
      <c r="Y6" s="39">
        <v>818</v>
      </c>
      <c r="Z6" s="39">
        <v>818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0</v>
      </c>
      <c r="AJ6" s="39">
        <f>'Row data'!$S6+'Row data'!$T6+'Row data'!$U6+'Row data'!$W6+'Row data'!$X6+'Row data'!$Y6+'Row data'!$Z6+'Row data'!$AA6+'Row data'!$AB6+'Row data'!$AD6-'Row data'!$AC6-'Row data'!$AE6-'Row data'!$AF6-'Row data'!$AG6-'Row data'!$AH6-'Row data'!$AI6</f>
        <v>27251</v>
      </c>
      <c r="AK6" s="39">
        <v>27251</v>
      </c>
      <c r="AL6" s="39">
        <v>0</v>
      </c>
    </row>
    <row r="7" spans="1:38" x14ac:dyDescent="0.3">
      <c r="A7" s="40">
        <v>6</v>
      </c>
      <c r="B7" s="35" t="s">
        <v>36</v>
      </c>
      <c r="C7" s="35">
        <v>6259828</v>
      </c>
      <c r="D7" s="36" t="s">
        <v>59</v>
      </c>
      <c r="E7" s="35" t="s">
        <v>38</v>
      </c>
      <c r="F7" s="35" t="s">
        <v>56</v>
      </c>
      <c r="G7" s="35" t="s">
        <v>57</v>
      </c>
      <c r="H7" s="37" t="s">
        <v>60</v>
      </c>
      <c r="I7" s="38">
        <v>44516</v>
      </c>
      <c r="J7" s="38"/>
      <c r="K7" s="17"/>
      <c r="L7" s="38">
        <v>35632</v>
      </c>
      <c r="M7" s="35">
        <f ca="1">IF('Row data'!$J7="",DATEDIF('Row data'!$L7,TODAY(),"y"),"0")</f>
        <v>29</v>
      </c>
      <c r="N7" s="35" t="s">
        <v>42</v>
      </c>
      <c r="O7" s="35" t="s">
        <v>43</v>
      </c>
      <c r="P7" s="39" t="s">
        <v>44</v>
      </c>
      <c r="Q7" s="39">
        <v>26160</v>
      </c>
      <c r="R7" s="39">
        <v>26160</v>
      </c>
      <c r="S7" s="39">
        <v>15696</v>
      </c>
      <c r="T7" s="39">
        <v>7848</v>
      </c>
      <c r="U7" s="39">
        <v>1046</v>
      </c>
      <c r="V7" s="39">
        <v>785</v>
      </c>
      <c r="W7" s="39">
        <v>0</v>
      </c>
      <c r="X7" s="39">
        <v>0</v>
      </c>
      <c r="Y7" s="39">
        <v>785</v>
      </c>
      <c r="Z7" s="39">
        <v>785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  <c r="AH7" s="39">
        <v>0</v>
      </c>
      <c r="AI7" s="39">
        <v>0</v>
      </c>
      <c r="AJ7" s="39">
        <f>'Row data'!$S7+'Row data'!$T7+'Row data'!$U7+'Row data'!$W7+'Row data'!$X7+'Row data'!$Y7+'Row data'!$Z7+'Row data'!$AA7+'Row data'!$AB7+'Row data'!$AD7-'Row data'!$AC7-'Row data'!$AE7-'Row data'!$AF7-'Row data'!$AG7-'Row data'!$AH7-'Row data'!$AI7</f>
        <v>26160</v>
      </c>
      <c r="AK7" s="39">
        <v>26160</v>
      </c>
      <c r="AL7" s="39">
        <v>0</v>
      </c>
    </row>
    <row r="8" spans="1:38" x14ac:dyDescent="0.3">
      <c r="A8" s="40">
        <v>7</v>
      </c>
      <c r="B8" s="35" t="s">
        <v>36</v>
      </c>
      <c r="C8" s="35">
        <v>9833929</v>
      </c>
      <c r="D8" s="36" t="s">
        <v>61</v>
      </c>
      <c r="E8" s="35" t="s">
        <v>38</v>
      </c>
      <c r="F8" s="35" t="s">
        <v>56</v>
      </c>
      <c r="G8" s="35" t="s">
        <v>62</v>
      </c>
      <c r="H8" s="37" t="s">
        <v>63</v>
      </c>
      <c r="I8" s="38">
        <v>36968</v>
      </c>
      <c r="J8" s="38">
        <v>44562</v>
      </c>
      <c r="K8" s="17">
        <f>YEAR('Row data'!$J8)</f>
        <v>2022</v>
      </c>
      <c r="L8" s="38">
        <v>30713</v>
      </c>
      <c r="M8" s="35" t="str">
        <f ca="1">IF('Row data'!$J8="",DATEDIF('Row data'!$L8,TODAY(),"y"),"0")</f>
        <v>0</v>
      </c>
      <c r="N8" s="35" t="s">
        <v>42</v>
      </c>
      <c r="O8" s="35" t="s">
        <v>43</v>
      </c>
      <c r="P8" s="39" t="s">
        <v>44</v>
      </c>
      <c r="Q8" s="39">
        <v>32700</v>
      </c>
      <c r="R8" s="39">
        <v>32700</v>
      </c>
      <c r="S8" s="39">
        <v>19620</v>
      </c>
      <c r="T8" s="39">
        <v>9810</v>
      </c>
      <c r="U8" s="39">
        <v>1308</v>
      </c>
      <c r="V8" s="39">
        <v>981</v>
      </c>
      <c r="W8" s="39">
        <v>0</v>
      </c>
      <c r="X8" s="39">
        <v>0</v>
      </c>
      <c r="Y8" s="39">
        <v>981</v>
      </c>
      <c r="Z8" s="39">
        <v>981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15000</v>
      </c>
      <c r="AH8" s="39">
        <v>0</v>
      </c>
      <c r="AI8" s="39">
        <v>0</v>
      </c>
      <c r="AJ8" s="39">
        <f>'Row data'!$S8+'Row data'!$T8+'Row data'!$U8+'Row data'!$W8+'Row data'!$X8+'Row data'!$Y8+'Row data'!$Z8+'Row data'!$AA8+'Row data'!$AB8+'Row data'!$AD8-'Row data'!$AC8-'Row data'!$AE8-'Row data'!$AF8-'Row data'!$AG8-'Row data'!$AH8-'Row data'!$AI8</f>
        <v>17700</v>
      </c>
      <c r="AK8" s="39">
        <v>17700</v>
      </c>
      <c r="AL8" s="39">
        <v>0</v>
      </c>
    </row>
    <row r="9" spans="1:38" x14ac:dyDescent="0.3">
      <c r="A9" s="40">
        <v>8</v>
      </c>
      <c r="B9" s="35" t="s">
        <v>36</v>
      </c>
      <c r="C9" s="35">
        <v>7400970</v>
      </c>
      <c r="D9" s="36" t="s">
        <v>64</v>
      </c>
      <c r="E9" s="35" t="s">
        <v>65</v>
      </c>
      <c r="F9" s="35" t="s">
        <v>66</v>
      </c>
      <c r="G9" s="35" t="s">
        <v>67</v>
      </c>
      <c r="H9" s="37" t="s">
        <v>68</v>
      </c>
      <c r="I9" s="38">
        <v>44721</v>
      </c>
      <c r="J9" s="38"/>
      <c r="K9" s="17"/>
      <c r="L9" s="38">
        <v>36204</v>
      </c>
      <c r="M9" s="35">
        <f ca="1">IF('Row data'!$J9="",DATEDIF('Row data'!$L9,TODAY(),"y"),"0")</f>
        <v>27</v>
      </c>
      <c r="N9" s="35" t="s">
        <v>42</v>
      </c>
      <c r="O9" s="35" t="s">
        <v>43</v>
      </c>
      <c r="P9" s="39" t="s">
        <v>44</v>
      </c>
      <c r="Q9" s="39">
        <v>16351</v>
      </c>
      <c r="R9" s="39">
        <v>16351</v>
      </c>
      <c r="S9" s="39">
        <v>9810</v>
      </c>
      <c r="T9" s="39">
        <v>4905</v>
      </c>
      <c r="U9" s="39">
        <v>654</v>
      </c>
      <c r="V9" s="39">
        <v>491</v>
      </c>
      <c r="W9" s="39">
        <v>0</v>
      </c>
      <c r="X9" s="39">
        <v>0</v>
      </c>
      <c r="Y9" s="39">
        <v>491</v>
      </c>
      <c r="Z9" s="39">
        <v>491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39">
        <v>0</v>
      </c>
      <c r="AI9" s="39">
        <v>0</v>
      </c>
      <c r="AJ9" s="39">
        <f>'Row data'!$S9+'Row data'!$T9+'Row data'!$U9+'Row data'!$W9+'Row data'!$X9+'Row data'!$Y9+'Row data'!$Z9+'Row data'!$AA9+'Row data'!$AB9+'Row data'!$AD9-'Row data'!$AC9-'Row data'!$AE9-'Row data'!$AF9-'Row data'!$AG9-'Row data'!$AH9-'Row data'!$AI9</f>
        <v>16351</v>
      </c>
      <c r="AK9" s="39">
        <v>16351</v>
      </c>
      <c r="AL9" s="39">
        <v>0</v>
      </c>
    </row>
    <row r="10" spans="1:38" x14ac:dyDescent="0.3">
      <c r="A10" s="40">
        <v>9</v>
      </c>
      <c r="B10" s="35" t="s">
        <v>69</v>
      </c>
      <c r="C10" s="35">
        <v>5912367</v>
      </c>
      <c r="D10" s="36" t="s">
        <v>70</v>
      </c>
      <c r="E10" s="35" t="s">
        <v>71</v>
      </c>
      <c r="F10" s="35" t="s">
        <v>72</v>
      </c>
      <c r="G10" s="35" t="s">
        <v>73</v>
      </c>
      <c r="H10" s="37" t="s">
        <v>74</v>
      </c>
      <c r="I10" s="38">
        <v>44765</v>
      </c>
      <c r="J10" s="38"/>
      <c r="K10" s="17"/>
      <c r="L10" s="38">
        <v>25993</v>
      </c>
      <c r="M10" s="35">
        <f ca="1">IF('Row data'!$J10="",DATEDIF('Row data'!$L10,TODAY(),"y"),"0")</f>
        <v>55</v>
      </c>
      <c r="N10" s="35" t="s">
        <v>75</v>
      </c>
      <c r="O10" s="35" t="s">
        <v>43</v>
      </c>
      <c r="P10" s="39" t="s">
        <v>44</v>
      </c>
      <c r="Q10" s="39">
        <v>16197</v>
      </c>
      <c r="R10" s="39">
        <v>16197</v>
      </c>
      <c r="S10" s="39">
        <v>9718</v>
      </c>
      <c r="T10" s="39">
        <v>4859</v>
      </c>
      <c r="U10" s="39">
        <v>648</v>
      </c>
      <c r="V10" s="39">
        <v>486</v>
      </c>
      <c r="W10" s="39">
        <v>0</v>
      </c>
      <c r="X10" s="39">
        <v>0</v>
      </c>
      <c r="Y10" s="39">
        <v>486</v>
      </c>
      <c r="Z10" s="39">
        <v>486</v>
      </c>
      <c r="AA10" s="39">
        <v>0</v>
      </c>
      <c r="AB10" s="39">
        <v>0</v>
      </c>
      <c r="AC10" s="39">
        <v>0</v>
      </c>
      <c r="AD10" s="39">
        <v>0</v>
      </c>
      <c r="AE10" s="39">
        <v>0</v>
      </c>
      <c r="AF10" s="39">
        <v>0</v>
      </c>
      <c r="AG10" s="39">
        <v>0</v>
      </c>
      <c r="AH10" s="39">
        <v>0</v>
      </c>
      <c r="AI10" s="39">
        <v>0</v>
      </c>
      <c r="AJ10" s="39">
        <f>'Row data'!$S10+'Row data'!$T10+'Row data'!$U10+'Row data'!$W10+'Row data'!$X10+'Row data'!$Y10+'Row data'!$Z10+'Row data'!$AA10+'Row data'!$AB10+'Row data'!$AD10-'Row data'!$AC10-'Row data'!$AE10-'Row data'!$AF10-'Row data'!$AG10-'Row data'!$AH10-'Row data'!$AI10</f>
        <v>16197</v>
      </c>
      <c r="AK10" s="39">
        <v>16197</v>
      </c>
      <c r="AL10" s="39">
        <v>0</v>
      </c>
    </row>
    <row r="11" spans="1:38" x14ac:dyDescent="0.3">
      <c r="A11" s="40">
        <v>10</v>
      </c>
      <c r="B11" s="35" t="s">
        <v>69</v>
      </c>
      <c r="C11" s="35">
        <v>9402867</v>
      </c>
      <c r="D11" s="36" t="s">
        <v>76</v>
      </c>
      <c r="E11" s="35" t="s">
        <v>71</v>
      </c>
      <c r="F11" s="35" t="s">
        <v>72</v>
      </c>
      <c r="G11" s="35" t="s">
        <v>73</v>
      </c>
      <c r="H11" s="37" t="s">
        <v>77</v>
      </c>
      <c r="I11" s="38">
        <v>44784</v>
      </c>
      <c r="J11" s="38"/>
      <c r="K11" s="17"/>
      <c r="L11" s="38">
        <v>26689</v>
      </c>
      <c r="M11" s="35">
        <f ca="1">IF('Row data'!$J11="",DATEDIF('Row data'!$L11,TODAY(),"y"),"0")</f>
        <v>53</v>
      </c>
      <c r="N11" s="35" t="s">
        <v>75</v>
      </c>
      <c r="O11" s="35" t="s">
        <v>43</v>
      </c>
      <c r="P11" s="39" t="s">
        <v>44</v>
      </c>
      <c r="Q11" s="39">
        <v>16197</v>
      </c>
      <c r="R11" s="39">
        <v>16197</v>
      </c>
      <c r="S11" s="39">
        <v>9718</v>
      </c>
      <c r="T11" s="39">
        <v>4859</v>
      </c>
      <c r="U11" s="39">
        <v>648</v>
      </c>
      <c r="V11" s="39">
        <v>486</v>
      </c>
      <c r="W11" s="39">
        <v>0</v>
      </c>
      <c r="X11" s="39">
        <v>0</v>
      </c>
      <c r="Y11" s="39">
        <v>486</v>
      </c>
      <c r="Z11" s="39">
        <v>486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  <c r="AF11" s="39">
        <v>0</v>
      </c>
      <c r="AG11" s="39">
        <v>0</v>
      </c>
      <c r="AH11" s="39">
        <v>0</v>
      </c>
      <c r="AI11" s="39">
        <v>0</v>
      </c>
      <c r="AJ11" s="39">
        <f>'Row data'!$S11+'Row data'!$T11+'Row data'!$U11+'Row data'!$W11+'Row data'!$X11+'Row data'!$Y11+'Row data'!$Z11+'Row data'!$AA11+'Row data'!$AB11+'Row data'!$AD11-'Row data'!$AC11-'Row data'!$AE11-'Row data'!$AF11-'Row data'!$AG11-'Row data'!$AH11-'Row data'!$AI11</f>
        <v>16197</v>
      </c>
      <c r="AK11" s="39">
        <v>16197</v>
      </c>
      <c r="AL11" s="39">
        <v>0</v>
      </c>
    </row>
    <row r="12" spans="1:38" x14ac:dyDescent="0.3">
      <c r="A12" s="40">
        <v>11</v>
      </c>
      <c r="B12" s="35" t="s">
        <v>69</v>
      </c>
      <c r="C12" s="35">
        <v>8167313</v>
      </c>
      <c r="D12" s="36" t="s">
        <v>78</v>
      </c>
      <c r="E12" s="35" t="s">
        <v>71</v>
      </c>
      <c r="F12" s="35" t="s">
        <v>72</v>
      </c>
      <c r="G12" s="35" t="s">
        <v>50</v>
      </c>
      <c r="H12" s="37" t="s">
        <v>79</v>
      </c>
      <c r="I12" s="38">
        <v>44501</v>
      </c>
      <c r="J12" s="38"/>
      <c r="K12" s="17"/>
      <c r="L12" s="38">
        <v>36178</v>
      </c>
      <c r="M12" s="35">
        <f ca="1">IF('Row data'!$J12="",DATEDIF('Row data'!$L12,TODAY(),"y"),"0")</f>
        <v>27</v>
      </c>
      <c r="N12" s="35" t="s">
        <v>42</v>
      </c>
      <c r="O12" s="35" t="s">
        <v>43</v>
      </c>
      <c r="P12" s="39" t="s">
        <v>44</v>
      </c>
      <c r="Q12" s="39">
        <v>16260</v>
      </c>
      <c r="R12" s="39">
        <v>14260</v>
      </c>
      <c r="S12" s="39">
        <v>9756</v>
      </c>
      <c r="T12" s="39">
        <v>4878</v>
      </c>
      <c r="U12" s="39">
        <v>650</v>
      </c>
      <c r="V12" s="39">
        <v>488</v>
      </c>
      <c r="W12" s="39">
        <v>0</v>
      </c>
      <c r="X12" s="39">
        <v>0</v>
      </c>
      <c r="Y12" s="39">
        <v>488</v>
      </c>
      <c r="Z12" s="39">
        <v>488</v>
      </c>
      <c r="AA12" s="39">
        <v>0</v>
      </c>
      <c r="AB12" s="39">
        <v>0</v>
      </c>
      <c r="AC12" s="39">
        <v>-2000</v>
      </c>
      <c r="AD12" s="39">
        <v>0</v>
      </c>
      <c r="AE12" s="39">
        <v>0</v>
      </c>
      <c r="AF12" s="39">
        <v>0</v>
      </c>
      <c r="AG12" s="39">
        <v>0</v>
      </c>
      <c r="AH12" s="39">
        <v>0</v>
      </c>
      <c r="AI12" s="39">
        <v>0</v>
      </c>
      <c r="AJ12" s="39">
        <f>'Row data'!$S12+'Row data'!$T12+'Row data'!$U12+'Row data'!$W12+'Row data'!$X12+'Row data'!$Y12+'Row data'!$Z12+'Row data'!$AA12+'Row data'!$AB12+'Row data'!$AD12-'Row data'!$AC12-'Row data'!$AE12-'Row data'!$AF12-'Row data'!$AG12-'Row data'!$AH12-'Row data'!$AI12</f>
        <v>18260</v>
      </c>
      <c r="AK12" s="39">
        <v>14260</v>
      </c>
      <c r="AL12" s="39">
        <v>0</v>
      </c>
    </row>
    <row r="13" spans="1:38" x14ac:dyDescent="0.3">
      <c r="A13" s="40">
        <v>12</v>
      </c>
      <c r="B13" s="35" t="s">
        <v>69</v>
      </c>
      <c r="C13" s="35">
        <v>7225567</v>
      </c>
      <c r="D13" s="36" t="s">
        <v>80</v>
      </c>
      <c r="E13" s="35" t="s">
        <v>71</v>
      </c>
      <c r="F13" s="35" t="s">
        <v>72</v>
      </c>
      <c r="G13" s="35" t="s">
        <v>73</v>
      </c>
      <c r="H13" s="37" t="s">
        <v>79</v>
      </c>
      <c r="I13" s="38">
        <v>45185</v>
      </c>
      <c r="J13" s="38"/>
      <c r="K13" s="17"/>
      <c r="L13" s="38">
        <v>28255</v>
      </c>
      <c r="M13" s="35">
        <f ca="1">IF('Row data'!$J13="",DATEDIF('Row data'!$L13,TODAY(),"y"),"0")</f>
        <v>49</v>
      </c>
      <c r="N13" s="35" t="s">
        <v>75</v>
      </c>
      <c r="O13" s="35" t="s">
        <v>43</v>
      </c>
      <c r="P13" s="39" t="s">
        <v>44</v>
      </c>
      <c r="Q13" s="39">
        <v>15976</v>
      </c>
      <c r="R13" s="39">
        <v>15976</v>
      </c>
      <c r="S13" s="39">
        <v>9586</v>
      </c>
      <c r="T13" s="39">
        <v>4793</v>
      </c>
      <c r="U13" s="39">
        <v>639</v>
      </c>
      <c r="V13" s="39">
        <v>479</v>
      </c>
      <c r="W13" s="39">
        <v>0</v>
      </c>
      <c r="X13" s="39">
        <v>0</v>
      </c>
      <c r="Y13" s="39">
        <v>479</v>
      </c>
      <c r="Z13" s="39">
        <v>479</v>
      </c>
      <c r="AA13" s="39">
        <v>0</v>
      </c>
      <c r="AB13" s="39">
        <v>0</v>
      </c>
      <c r="AC13" s="39">
        <v>0</v>
      </c>
      <c r="AD13" s="39">
        <v>0</v>
      </c>
      <c r="AE13" s="39">
        <v>0</v>
      </c>
      <c r="AF13" s="39">
        <v>0</v>
      </c>
      <c r="AG13" s="39">
        <v>0</v>
      </c>
      <c r="AH13" s="39">
        <v>0</v>
      </c>
      <c r="AI13" s="39">
        <v>0</v>
      </c>
      <c r="AJ13" s="39">
        <f>'Row data'!$S13+'Row data'!$T13+'Row data'!$U13+'Row data'!$W13+'Row data'!$X13+'Row data'!$Y13+'Row data'!$Z13+'Row data'!$AA13+'Row data'!$AB13+'Row data'!$AD13-'Row data'!$AC13-'Row data'!$AE13-'Row data'!$AF13-'Row data'!$AG13-'Row data'!$AH13-'Row data'!$AI13</f>
        <v>15976</v>
      </c>
      <c r="AK13" s="39">
        <v>15976</v>
      </c>
      <c r="AL13" s="39">
        <v>0</v>
      </c>
    </row>
    <row r="14" spans="1:38" x14ac:dyDescent="0.3">
      <c r="A14" s="40">
        <v>13</v>
      </c>
      <c r="B14" s="35" t="s">
        <v>69</v>
      </c>
      <c r="C14" s="35">
        <v>8864098</v>
      </c>
      <c r="D14" s="36" t="s">
        <v>81</v>
      </c>
      <c r="E14" s="35" t="s">
        <v>71</v>
      </c>
      <c r="F14" s="35" t="s">
        <v>72</v>
      </c>
      <c r="G14" s="35" t="s">
        <v>82</v>
      </c>
      <c r="H14" s="37" t="s">
        <v>83</v>
      </c>
      <c r="I14" s="38">
        <v>38261</v>
      </c>
      <c r="J14" s="38"/>
      <c r="K14" s="17"/>
      <c r="L14" s="38">
        <v>30746</v>
      </c>
      <c r="M14" s="35">
        <f ca="1">IF('Row data'!$J14="",DATEDIF('Row data'!$L14,TODAY(),"y"),"0")</f>
        <v>42</v>
      </c>
      <c r="N14" s="35" t="s">
        <v>42</v>
      </c>
      <c r="O14" s="35" t="s">
        <v>43</v>
      </c>
      <c r="P14" s="39" t="s">
        <v>44</v>
      </c>
      <c r="Q14" s="39">
        <v>33791</v>
      </c>
      <c r="R14" s="39">
        <v>33791</v>
      </c>
      <c r="S14" s="39">
        <v>20274</v>
      </c>
      <c r="T14" s="39">
        <v>10137</v>
      </c>
      <c r="U14" s="39">
        <v>1352</v>
      </c>
      <c r="V14" s="39">
        <v>1014</v>
      </c>
      <c r="W14" s="39">
        <v>0</v>
      </c>
      <c r="X14" s="39">
        <v>0</v>
      </c>
      <c r="Y14" s="39">
        <v>1014</v>
      </c>
      <c r="Z14" s="39">
        <v>1014</v>
      </c>
      <c r="AA14" s="39">
        <v>0</v>
      </c>
      <c r="AB14" s="39">
        <v>0</v>
      </c>
      <c r="AC14" s="39">
        <v>0</v>
      </c>
      <c r="AD14" s="39">
        <v>0</v>
      </c>
      <c r="AE14" s="39">
        <v>0</v>
      </c>
      <c r="AF14" s="39">
        <v>0</v>
      </c>
      <c r="AG14" s="39">
        <v>0</v>
      </c>
      <c r="AH14" s="39">
        <v>0</v>
      </c>
      <c r="AI14" s="39">
        <v>0</v>
      </c>
      <c r="AJ14" s="39">
        <f>'Row data'!$S14+'Row data'!$T14+'Row data'!$U14+'Row data'!$W14+'Row data'!$X14+'Row data'!$Y14+'Row data'!$Z14+'Row data'!$AA14+'Row data'!$AB14+'Row data'!$AD14-'Row data'!$AC14-'Row data'!$AE14-'Row data'!$AF14-'Row data'!$AG14-'Row data'!$AH14-'Row data'!$AI14</f>
        <v>33791</v>
      </c>
      <c r="AK14" s="39">
        <v>33791</v>
      </c>
      <c r="AL14" s="39">
        <v>0</v>
      </c>
    </row>
    <row r="15" spans="1:38" x14ac:dyDescent="0.3">
      <c r="A15" s="40">
        <v>14</v>
      </c>
      <c r="B15" s="35" t="s">
        <v>69</v>
      </c>
      <c r="C15" s="35">
        <v>6516432</v>
      </c>
      <c r="D15" s="36" t="s">
        <v>84</v>
      </c>
      <c r="E15" s="35" t="s">
        <v>71</v>
      </c>
      <c r="F15" s="35" t="s">
        <v>72</v>
      </c>
      <c r="G15" s="35" t="s">
        <v>73</v>
      </c>
      <c r="H15" s="37"/>
      <c r="I15" s="38">
        <v>44257</v>
      </c>
      <c r="J15" s="38"/>
      <c r="K15" s="17"/>
      <c r="L15" s="38">
        <v>32874</v>
      </c>
      <c r="M15" s="35">
        <f ca="1">IF('Row data'!$J15="",DATEDIF('Row data'!$L15,TODAY(),"y"),"0")</f>
        <v>36</v>
      </c>
      <c r="N15" s="35" t="s">
        <v>75</v>
      </c>
      <c r="O15" s="35" t="s">
        <v>43</v>
      </c>
      <c r="P15" s="39" t="s">
        <v>44</v>
      </c>
      <c r="Q15" s="39">
        <v>15976</v>
      </c>
      <c r="R15" s="39">
        <v>15976</v>
      </c>
      <c r="S15" s="39">
        <v>9586</v>
      </c>
      <c r="T15" s="39">
        <v>4793</v>
      </c>
      <c r="U15" s="39">
        <v>639</v>
      </c>
      <c r="V15" s="39">
        <v>479</v>
      </c>
      <c r="W15" s="39">
        <v>0</v>
      </c>
      <c r="X15" s="39">
        <v>0</v>
      </c>
      <c r="Y15" s="39">
        <v>479</v>
      </c>
      <c r="Z15" s="39">
        <v>479</v>
      </c>
      <c r="AA15" s="39">
        <v>0</v>
      </c>
      <c r="AB15" s="39">
        <v>0</v>
      </c>
      <c r="AC15" s="39">
        <v>0</v>
      </c>
      <c r="AD15" s="39">
        <v>0</v>
      </c>
      <c r="AE15" s="39">
        <v>0</v>
      </c>
      <c r="AF15" s="39">
        <v>0</v>
      </c>
      <c r="AG15" s="39">
        <v>0</v>
      </c>
      <c r="AH15" s="39">
        <v>0</v>
      </c>
      <c r="AI15" s="39">
        <v>0</v>
      </c>
      <c r="AJ15" s="39">
        <f>'Row data'!$S15+'Row data'!$T15+'Row data'!$U15+'Row data'!$W15+'Row data'!$X15+'Row data'!$Y15+'Row data'!$Z15+'Row data'!$AA15+'Row data'!$AB15+'Row data'!$AD15-'Row data'!$AC15-'Row data'!$AE15-'Row data'!$AF15-'Row data'!$AG15-'Row data'!$AH15-'Row data'!$AI15</f>
        <v>15976</v>
      </c>
      <c r="AK15" s="39">
        <v>15976</v>
      </c>
      <c r="AL15" s="39">
        <v>0</v>
      </c>
    </row>
    <row r="16" spans="1:38" x14ac:dyDescent="0.3">
      <c r="A16" s="40">
        <v>15</v>
      </c>
      <c r="B16" s="35" t="s">
        <v>69</v>
      </c>
      <c r="C16" s="35">
        <v>7580318</v>
      </c>
      <c r="D16" s="36" t="s">
        <v>85</v>
      </c>
      <c r="E16" s="35" t="s">
        <v>71</v>
      </c>
      <c r="F16" s="35" t="s">
        <v>86</v>
      </c>
      <c r="G16" s="35" t="s">
        <v>87</v>
      </c>
      <c r="H16" s="37" t="s">
        <v>88</v>
      </c>
      <c r="I16" s="38">
        <v>44378</v>
      </c>
      <c r="J16" s="38">
        <v>44905</v>
      </c>
      <c r="K16" s="17">
        <f>YEAR('Row data'!$J16)</f>
        <v>2022</v>
      </c>
      <c r="L16" s="38">
        <v>28469</v>
      </c>
      <c r="M16" s="35" t="str">
        <f ca="1">IF('Row data'!$J16="",DATEDIF('Row data'!$L16,TODAY(),"y"),"0")</f>
        <v>0</v>
      </c>
      <c r="N16" s="35" t="s">
        <v>42</v>
      </c>
      <c r="O16" s="35" t="s">
        <v>43</v>
      </c>
      <c r="P16" s="39" t="s">
        <v>44</v>
      </c>
      <c r="Q16" s="39">
        <v>135000</v>
      </c>
      <c r="R16" s="39">
        <v>135000</v>
      </c>
      <c r="S16" s="39">
        <v>81000</v>
      </c>
      <c r="T16" s="39">
        <v>40500</v>
      </c>
      <c r="U16" s="39">
        <v>5400</v>
      </c>
      <c r="V16" s="39">
        <v>4050</v>
      </c>
      <c r="W16" s="39">
        <v>0</v>
      </c>
      <c r="X16" s="39">
        <v>0</v>
      </c>
      <c r="Y16" s="39">
        <v>4050</v>
      </c>
      <c r="Z16" s="39">
        <v>4050</v>
      </c>
      <c r="AA16" s="39">
        <v>0</v>
      </c>
      <c r="AB16" s="39">
        <v>0</v>
      </c>
      <c r="AC16" s="39">
        <v>0</v>
      </c>
      <c r="AD16" s="39">
        <v>0</v>
      </c>
      <c r="AE16" s="39">
        <v>0</v>
      </c>
      <c r="AF16" s="39">
        <v>0</v>
      </c>
      <c r="AG16" s="39">
        <v>0</v>
      </c>
      <c r="AH16" s="39">
        <v>3000</v>
      </c>
      <c r="AI16" s="39">
        <v>0</v>
      </c>
      <c r="AJ16" s="39">
        <f>'Row data'!$S16+'Row data'!$T16+'Row data'!$U16+'Row data'!$W16+'Row data'!$X16+'Row data'!$Y16+'Row data'!$Z16+'Row data'!$AA16+'Row data'!$AB16+'Row data'!$AD16-'Row data'!$AC16-'Row data'!$AE16-'Row data'!$AF16-'Row data'!$AG16-'Row data'!$AH16-'Row data'!$AI16</f>
        <v>132000</v>
      </c>
      <c r="AK16" s="39">
        <v>132000</v>
      </c>
      <c r="AL16" s="39">
        <v>0</v>
      </c>
    </row>
    <row r="17" spans="1:38" x14ac:dyDescent="0.3">
      <c r="A17" s="40">
        <v>16</v>
      </c>
      <c r="B17" s="35" t="s">
        <v>69</v>
      </c>
      <c r="C17" s="35">
        <v>7769663</v>
      </c>
      <c r="D17" s="36" t="s">
        <v>89</v>
      </c>
      <c r="E17" s="35" t="s">
        <v>71</v>
      </c>
      <c r="F17" s="35" t="s">
        <v>90</v>
      </c>
      <c r="G17" s="35" t="s">
        <v>91</v>
      </c>
      <c r="H17" s="37" t="s">
        <v>92</v>
      </c>
      <c r="I17" s="38">
        <v>45701</v>
      </c>
      <c r="J17" s="38"/>
      <c r="K17" s="17"/>
      <c r="L17" s="38">
        <v>35796</v>
      </c>
      <c r="M17" s="35">
        <f ca="1">IF('Row data'!$J17="",DATEDIF('Row data'!$L17,TODAY(),"y"),"0")</f>
        <v>28</v>
      </c>
      <c r="N17" s="35" t="s">
        <v>75</v>
      </c>
      <c r="O17" s="35" t="s">
        <v>43</v>
      </c>
      <c r="P17" s="39" t="s">
        <v>44</v>
      </c>
      <c r="Q17" s="39">
        <v>14300</v>
      </c>
      <c r="R17" s="39">
        <v>8171</v>
      </c>
      <c r="S17" s="39">
        <v>8580</v>
      </c>
      <c r="T17" s="39">
        <v>4290</v>
      </c>
      <c r="U17" s="39">
        <v>572</v>
      </c>
      <c r="V17" s="39">
        <v>429</v>
      </c>
      <c r="W17" s="39">
        <v>0</v>
      </c>
      <c r="X17" s="39">
        <v>0</v>
      </c>
      <c r="Y17" s="39">
        <v>429</v>
      </c>
      <c r="Z17" s="39">
        <v>429</v>
      </c>
      <c r="AA17" s="39">
        <v>0</v>
      </c>
      <c r="AB17" s="39">
        <v>0</v>
      </c>
      <c r="AC17" s="39">
        <v>0</v>
      </c>
      <c r="AD17" s="39">
        <v>0</v>
      </c>
      <c r="AE17" s="39">
        <v>6129</v>
      </c>
      <c r="AF17" s="39">
        <v>0</v>
      </c>
      <c r="AG17" s="39">
        <v>0</v>
      </c>
      <c r="AH17" s="39">
        <v>0</v>
      </c>
      <c r="AI17" s="39">
        <v>0</v>
      </c>
      <c r="AJ17" s="39">
        <f>'Row data'!$S17+'Row data'!$T17+'Row data'!$U17+'Row data'!$W17+'Row data'!$X17+'Row data'!$Y17+'Row data'!$Z17+'Row data'!$AA17+'Row data'!$AB17+'Row data'!$AD17-'Row data'!$AC17-'Row data'!$AE17-'Row data'!$AF17-'Row data'!$AG17-'Row data'!$AH17-'Row data'!$AI17</f>
        <v>8171</v>
      </c>
      <c r="AK17" s="39">
        <v>8171</v>
      </c>
      <c r="AL17" s="39">
        <v>0</v>
      </c>
    </row>
    <row r="18" spans="1:38" x14ac:dyDescent="0.3">
      <c r="A18" s="40">
        <v>17</v>
      </c>
      <c r="B18" s="35" t="s">
        <v>69</v>
      </c>
      <c r="C18" s="35">
        <v>8771000</v>
      </c>
      <c r="D18" s="36" t="s">
        <v>93</v>
      </c>
      <c r="E18" s="35" t="s">
        <v>71</v>
      </c>
      <c r="F18" s="35" t="s">
        <v>94</v>
      </c>
      <c r="G18" s="35" t="s">
        <v>95</v>
      </c>
      <c r="H18" s="37" t="s">
        <v>96</v>
      </c>
      <c r="I18" s="38">
        <v>44761</v>
      </c>
      <c r="J18" s="38"/>
      <c r="K18" s="17"/>
      <c r="L18" s="38">
        <v>34570</v>
      </c>
      <c r="M18" s="35">
        <f ca="1">IF('Row data'!$J18="",DATEDIF('Row data'!$L18,TODAY(),"y"),"0")</f>
        <v>32</v>
      </c>
      <c r="N18" s="35" t="s">
        <v>42</v>
      </c>
      <c r="O18" s="35" t="s">
        <v>43</v>
      </c>
      <c r="P18" s="39" t="s">
        <v>44</v>
      </c>
      <c r="Q18" s="39">
        <v>15931</v>
      </c>
      <c r="R18" s="39">
        <v>15931</v>
      </c>
      <c r="S18" s="39">
        <v>9559</v>
      </c>
      <c r="T18" s="39">
        <v>4779</v>
      </c>
      <c r="U18" s="39">
        <v>637</v>
      </c>
      <c r="V18" s="39">
        <v>478</v>
      </c>
      <c r="W18" s="39">
        <v>0</v>
      </c>
      <c r="X18" s="39">
        <v>0</v>
      </c>
      <c r="Y18" s="39">
        <v>478</v>
      </c>
      <c r="Z18" s="39">
        <v>478</v>
      </c>
      <c r="AA18" s="39">
        <v>0</v>
      </c>
      <c r="AB18" s="39">
        <v>0</v>
      </c>
      <c r="AC18" s="39">
        <v>0</v>
      </c>
      <c r="AD18" s="39">
        <v>0</v>
      </c>
      <c r="AE18" s="39">
        <v>0</v>
      </c>
      <c r="AF18" s="39">
        <v>0</v>
      </c>
      <c r="AG18" s="39">
        <v>0</v>
      </c>
      <c r="AH18" s="39">
        <v>0</v>
      </c>
      <c r="AI18" s="39">
        <v>0</v>
      </c>
      <c r="AJ18" s="39">
        <f>'Row data'!$S18+'Row data'!$T18+'Row data'!$U18+'Row data'!$W18+'Row data'!$X18+'Row data'!$Y18+'Row data'!$Z18+'Row data'!$AA18+'Row data'!$AB18+'Row data'!$AD18-'Row data'!$AC18-'Row data'!$AE18-'Row data'!$AF18-'Row data'!$AG18-'Row data'!$AH18-'Row data'!$AI18</f>
        <v>15931</v>
      </c>
      <c r="AK18" s="39">
        <v>15931</v>
      </c>
      <c r="AL18" s="39">
        <v>0</v>
      </c>
    </row>
    <row r="19" spans="1:38" x14ac:dyDescent="0.3">
      <c r="A19" s="40">
        <v>18</v>
      </c>
      <c r="B19" s="35" t="s">
        <v>69</v>
      </c>
      <c r="C19" s="35">
        <v>8569356</v>
      </c>
      <c r="D19" s="36" t="s">
        <v>97</v>
      </c>
      <c r="E19" s="35" t="s">
        <v>71</v>
      </c>
      <c r="F19" s="35" t="s">
        <v>94</v>
      </c>
      <c r="G19" s="35" t="s">
        <v>95</v>
      </c>
      <c r="H19" s="37" t="s">
        <v>98</v>
      </c>
      <c r="I19" s="38">
        <v>44761</v>
      </c>
      <c r="J19" s="38"/>
      <c r="K19" s="17"/>
      <c r="L19" s="38">
        <v>26718</v>
      </c>
      <c r="M19" s="35">
        <f ca="1">IF('Row data'!$J19="",DATEDIF('Row data'!$L19,TODAY(),"y"),"0")</f>
        <v>53</v>
      </c>
      <c r="N19" s="35" t="s">
        <v>42</v>
      </c>
      <c r="O19" s="35" t="s">
        <v>43</v>
      </c>
      <c r="P19" s="39" t="s">
        <v>44</v>
      </c>
      <c r="Q19" s="39">
        <v>15931</v>
      </c>
      <c r="R19" s="39">
        <v>15931</v>
      </c>
      <c r="S19" s="39">
        <v>9559</v>
      </c>
      <c r="T19" s="39">
        <v>4779</v>
      </c>
      <c r="U19" s="39">
        <v>637</v>
      </c>
      <c r="V19" s="39">
        <v>478</v>
      </c>
      <c r="W19" s="39">
        <v>0</v>
      </c>
      <c r="X19" s="39">
        <v>0</v>
      </c>
      <c r="Y19" s="39">
        <v>478</v>
      </c>
      <c r="Z19" s="39">
        <v>478</v>
      </c>
      <c r="AA19" s="39">
        <v>0</v>
      </c>
      <c r="AB19" s="39">
        <v>0</v>
      </c>
      <c r="AC19" s="39">
        <v>0</v>
      </c>
      <c r="AD19" s="39">
        <v>0</v>
      </c>
      <c r="AE19" s="39">
        <v>0</v>
      </c>
      <c r="AF19" s="39">
        <v>0</v>
      </c>
      <c r="AG19" s="39">
        <v>0</v>
      </c>
      <c r="AH19" s="39">
        <v>0</v>
      </c>
      <c r="AI19" s="39">
        <v>0</v>
      </c>
      <c r="AJ19" s="39">
        <f>'Row data'!$S19+'Row data'!$T19+'Row data'!$U19+'Row data'!$W19+'Row data'!$X19+'Row data'!$Y19+'Row data'!$Z19+'Row data'!$AA19+'Row data'!$AB19+'Row data'!$AD19-'Row data'!$AC19-'Row data'!$AE19-'Row data'!$AF19-'Row data'!$AG19-'Row data'!$AH19-'Row data'!$AI19</f>
        <v>15931</v>
      </c>
      <c r="AK19" s="39">
        <v>15931</v>
      </c>
      <c r="AL19" s="39">
        <v>0</v>
      </c>
    </row>
    <row r="20" spans="1:38" x14ac:dyDescent="0.3">
      <c r="A20" s="40">
        <v>19</v>
      </c>
      <c r="B20" s="35" t="s">
        <v>69</v>
      </c>
      <c r="C20" s="35">
        <v>9779338</v>
      </c>
      <c r="D20" s="36" t="s">
        <v>99</v>
      </c>
      <c r="E20" s="35" t="s">
        <v>71</v>
      </c>
      <c r="F20" s="35" t="s">
        <v>94</v>
      </c>
      <c r="G20" s="35" t="s">
        <v>95</v>
      </c>
      <c r="H20" s="37" t="s">
        <v>100</v>
      </c>
      <c r="I20" s="38">
        <v>45171</v>
      </c>
      <c r="J20" s="38"/>
      <c r="K20" s="17"/>
      <c r="L20" s="38">
        <v>31413</v>
      </c>
      <c r="M20" s="35">
        <f ca="1">IF('Row data'!$J20="",DATEDIF('Row data'!$L20,TODAY(),"y"),"0")</f>
        <v>40</v>
      </c>
      <c r="N20" s="35" t="s">
        <v>42</v>
      </c>
      <c r="O20" s="35" t="s">
        <v>43</v>
      </c>
      <c r="P20" s="39" t="s">
        <v>44</v>
      </c>
      <c r="Q20" s="39">
        <v>15931</v>
      </c>
      <c r="R20" s="39">
        <v>15590</v>
      </c>
      <c r="S20" s="39">
        <v>9559</v>
      </c>
      <c r="T20" s="39">
        <v>4779</v>
      </c>
      <c r="U20" s="39">
        <v>637</v>
      </c>
      <c r="V20" s="39">
        <v>478</v>
      </c>
      <c r="W20" s="39">
        <v>0</v>
      </c>
      <c r="X20" s="39">
        <v>0</v>
      </c>
      <c r="Y20" s="39">
        <v>478</v>
      </c>
      <c r="Z20" s="39">
        <v>478</v>
      </c>
      <c r="AA20" s="39">
        <v>0</v>
      </c>
      <c r="AB20" s="39">
        <v>0</v>
      </c>
      <c r="AC20" s="39">
        <v>0</v>
      </c>
      <c r="AD20" s="39">
        <v>0</v>
      </c>
      <c r="AE20" s="39">
        <v>341</v>
      </c>
      <c r="AF20" s="39">
        <v>0</v>
      </c>
      <c r="AG20" s="39">
        <v>0</v>
      </c>
      <c r="AH20" s="39">
        <v>0</v>
      </c>
      <c r="AI20" s="39">
        <v>0</v>
      </c>
      <c r="AJ20" s="39">
        <f>'Row data'!$S20+'Row data'!$T20+'Row data'!$U20+'Row data'!$W20+'Row data'!$X20+'Row data'!$Y20+'Row data'!$Z20+'Row data'!$AA20+'Row data'!$AB20+'Row data'!$AD20-'Row data'!$AC20-'Row data'!$AE20-'Row data'!$AF20-'Row data'!$AG20-'Row data'!$AH20-'Row data'!$AI20</f>
        <v>15590</v>
      </c>
      <c r="AK20" s="39">
        <v>15590</v>
      </c>
      <c r="AL20" s="39">
        <v>0</v>
      </c>
    </row>
    <row r="21" spans="1:38" x14ac:dyDescent="0.3">
      <c r="A21" s="40">
        <v>20</v>
      </c>
      <c r="B21" s="35" t="s">
        <v>69</v>
      </c>
      <c r="C21" s="35">
        <v>5974872</v>
      </c>
      <c r="D21" s="36" t="s">
        <v>101</v>
      </c>
      <c r="E21" s="35" t="s">
        <v>71</v>
      </c>
      <c r="F21" s="35" t="s">
        <v>94</v>
      </c>
      <c r="G21" s="35" t="s">
        <v>95</v>
      </c>
      <c r="H21" s="37" t="s">
        <v>102</v>
      </c>
      <c r="I21" s="38">
        <v>44052</v>
      </c>
      <c r="J21" s="38"/>
      <c r="K21" s="17"/>
      <c r="L21" s="38">
        <v>30185</v>
      </c>
      <c r="M21" s="35">
        <f ca="1">IF('Row data'!$J21="",DATEDIF('Row data'!$L21,TODAY(),"y"),"0")</f>
        <v>44</v>
      </c>
      <c r="N21" s="35" t="s">
        <v>42</v>
      </c>
      <c r="O21" s="35" t="s">
        <v>43</v>
      </c>
      <c r="P21" s="39" t="s">
        <v>44</v>
      </c>
      <c r="Q21" s="39">
        <v>16031</v>
      </c>
      <c r="R21" s="39">
        <v>16031</v>
      </c>
      <c r="S21" s="39">
        <v>9619</v>
      </c>
      <c r="T21" s="39">
        <v>4809</v>
      </c>
      <c r="U21" s="39">
        <v>641</v>
      </c>
      <c r="V21" s="39">
        <v>481</v>
      </c>
      <c r="W21" s="39">
        <v>0</v>
      </c>
      <c r="X21" s="39">
        <v>0</v>
      </c>
      <c r="Y21" s="39">
        <v>481</v>
      </c>
      <c r="Z21" s="39">
        <v>481</v>
      </c>
      <c r="AA21" s="39">
        <v>0</v>
      </c>
      <c r="AB21" s="39">
        <v>0</v>
      </c>
      <c r="AC21" s="39">
        <v>0</v>
      </c>
      <c r="AD21" s="39">
        <v>0</v>
      </c>
      <c r="AE21" s="39">
        <v>0</v>
      </c>
      <c r="AF21" s="39">
        <v>0</v>
      </c>
      <c r="AG21" s="39">
        <v>0</v>
      </c>
      <c r="AH21" s="39">
        <v>0</v>
      </c>
      <c r="AI21" s="39">
        <v>0</v>
      </c>
      <c r="AJ21" s="39">
        <f>'Row data'!$S21+'Row data'!$T21+'Row data'!$U21+'Row data'!$W21+'Row data'!$X21+'Row data'!$Y21+'Row data'!$Z21+'Row data'!$AA21+'Row data'!$AB21+'Row data'!$AD21-'Row data'!$AC21-'Row data'!$AE21-'Row data'!$AF21-'Row data'!$AG21-'Row data'!$AH21-'Row data'!$AI21</f>
        <v>16031</v>
      </c>
      <c r="AK21" s="39">
        <v>16031</v>
      </c>
      <c r="AL21" s="39">
        <v>0</v>
      </c>
    </row>
    <row r="22" spans="1:38" x14ac:dyDescent="0.3">
      <c r="A22" s="40">
        <v>21</v>
      </c>
      <c r="B22" s="35" t="s">
        <v>69</v>
      </c>
      <c r="C22" s="35">
        <v>5341375</v>
      </c>
      <c r="D22" s="36" t="s">
        <v>103</v>
      </c>
      <c r="E22" s="35" t="s">
        <v>71</v>
      </c>
      <c r="F22" s="35" t="s">
        <v>94</v>
      </c>
      <c r="G22" s="35" t="s">
        <v>95</v>
      </c>
      <c r="H22" s="37" t="s">
        <v>104</v>
      </c>
      <c r="I22" s="38">
        <v>43282</v>
      </c>
      <c r="J22" s="38">
        <v>44854</v>
      </c>
      <c r="K22" s="17">
        <f>YEAR('Row data'!$J22)</f>
        <v>2022</v>
      </c>
      <c r="L22" s="38">
        <v>28418</v>
      </c>
      <c r="M22" s="35" t="str">
        <f ca="1">IF('Row data'!$J22="",DATEDIF('Row data'!$L22,TODAY(),"y"),"0")</f>
        <v>0</v>
      </c>
      <c r="N22" s="35" t="s">
        <v>42</v>
      </c>
      <c r="O22" s="35" t="s">
        <v>43</v>
      </c>
      <c r="P22" s="39" t="s">
        <v>44</v>
      </c>
      <c r="Q22" s="39">
        <v>16231</v>
      </c>
      <c r="R22" s="39">
        <v>16231</v>
      </c>
      <c r="S22" s="39">
        <v>9739</v>
      </c>
      <c r="T22" s="39">
        <v>4869</v>
      </c>
      <c r="U22" s="39">
        <v>649</v>
      </c>
      <c r="V22" s="39">
        <v>487</v>
      </c>
      <c r="W22" s="39">
        <v>0</v>
      </c>
      <c r="X22" s="39">
        <v>0</v>
      </c>
      <c r="Y22" s="39">
        <v>487</v>
      </c>
      <c r="Z22" s="39">
        <v>487</v>
      </c>
      <c r="AA22" s="39">
        <v>0</v>
      </c>
      <c r="AB22" s="39">
        <v>0</v>
      </c>
      <c r="AC22" s="39">
        <v>0</v>
      </c>
      <c r="AD22" s="39">
        <v>0</v>
      </c>
      <c r="AE22" s="39">
        <v>0</v>
      </c>
      <c r="AF22" s="39">
        <v>0</v>
      </c>
      <c r="AG22" s="39">
        <v>0</v>
      </c>
      <c r="AH22" s="39">
        <v>0</v>
      </c>
      <c r="AI22" s="39">
        <v>0</v>
      </c>
      <c r="AJ22" s="39">
        <f>'Row data'!$S22+'Row data'!$T22+'Row data'!$U22+'Row data'!$W22+'Row data'!$X22+'Row data'!$Y22+'Row data'!$Z22+'Row data'!$AA22+'Row data'!$AB22+'Row data'!$AD22-'Row data'!$AC22-'Row data'!$AE22-'Row data'!$AF22-'Row data'!$AG22-'Row data'!$AH22-'Row data'!$AI22</f>
        <v>16231</v>
      </c>
      <c r="AK22" s="39">
        <v>16231</v>
      </c>
      <c r="AL22" s="39">
        <v>0</v>
      </c>
    </row>
    <row r="23" spans="1:38" x14ac:dyDescent="0.3">
      <c r="A23" s="40">
        <v>22</v>
      </c>
      <c r="B23" s="35" t="s">
        <v>69</v>
      </c>
      <c r="C23" s="35">
        <v>8755179</v>
      </c>
      <c r="D23" s="36" t="s">
        <v>105</v>
      </c>
      <c r="E23" s="35" t="s">
        <v>71</v>
      </c>
      <c r="F23" s="35" t="s">
        <v>106</v>
      </c>
      <c r="G23" s="35" t="s">
        <v>107</v>
      </c>
      <c r="H23" s="37" t="s">
        <v>108</v>
      </c>
      <c r="I23" s="38">
        <v>45598</v>
      </c>
      <c r="J23" s="38">
        <v>44562</v>
      </c>
      <c r="K23" s="17">
        <f>YEAR('Row data'!$J23)</f>
        <v>2022</v>
      </c>
      <c r="L23" s="38">
        <v>32852</v>
      </c>
      <c r="M23" s="35" t="str">
        <f ca="1">IF('Row data'!$J23="",DATEDIF('Row data'!$L23,TODAY(),"y"),"0")</f>
        <v>0</v>
      </c>
      <c r="N23" s="35" t="s">
        <v>42</v>
      </c>
      <c r="O23" s="35" t="s">
        <v>43</v>
      </c>
      <c r="P23" s="39" t="s">
        <v>44</v>
      </c>
      <c r="Q23" s="39">
        <v>18000</v>
      </c>
      <c r="R23" s="39">
        <v>13371</v>
      </c>
      <c r="S23" s="39">
        <v>10800</v>
      </c>
      <c r="T23" s="39">
        <v>5400</v>
      </c>
      <c r="U23" s="39">
        <v>720</v>
      </c>
      <c r="V23" s="39">
        <v>540</v>
      </c>
      <c r="W23" s="39">
        <v>0</v>
      </c>
      <c r="X23" s="39">
        <v>0</v>
      </c>
      <c r="Y23" s="39">
        <v>540</v>
      </c>
      <c r="Z23" s="39">
        <v>540</v>
      </c>
      <c r="AA23" s="39">
        <v>0</v>
      </c>
      <c r="AB23" s="39">
        <v>0</v>
      </c>
      <c r="AC23" s="39">
        <v>0</v>
      </c>
      <c r="AD23" s="39">
        <v>0</v>
      </c>
      <c r="AE23" s="39">
        <v>4629</v>
      </c>
      <c r="AF23" s="39">
        <v>0</v>
      </c>
      <c r="AG23" s="39">
        <v>0</v>
      </c>
      <c r="AH23" s="39">
        <v>0</v>
      </c>
      <c r="AI23" s="39">
        <v>10</v>
      </c>
      <c r="AJ23" s="39">
        <f>'Row data'!$S23+'Row data'!$T23+'Row data'!$U23+'Row data'!$W23+'Row data'!$X23+'Row data'!$Y23+'Row data'!$Z23+'Row data'!$AA23+'Row data'!$AB23+'Row data'!$AD23-'Row data'!$AC23-'Row data'!$AE23-'Row data'!$AF23-'Row data'!$AG23-'Row data'!$AH23-'Row data'!$AI23</f>
        <v>13361</v>
      </c>
      <c r="AK23" s="39">
        <v>0</v>
      </c>
      <c r="AL23" s="39">
        <v>13361</v>
      </c>
    </row>
    <row r="24" spans="1:38" x14ac:dyDescent="0.3">
      <c r="A24" s="40">
        <v>23</v>
      </c>
      <c r="B24" s="35" t="s">
        <v>69</v>
      </c>
      <c r="C24" s="35">
        <v>6841704</v>
      </c>
      <c r="D24" s="36" t="s">
        <v>109</v>
      </c>
      <c r="E24" s="35" t="s">
        <v>71</v>
      </c>
      <c r="F24" s="35" t="s">
        <v>106</v>
      </c>
      <c r="G24" s="35" t="s">
        <v>107</v>
      </c>
      <c r="H24" s="37" t="s">
        <v>110</v>
      </c>
      <c r="I24" s="38">
        <v>44121</v>
      </c>
      <c r="J24" s="38"/>
      <c r="K24" s="17"/>
      <c r="L24" s="38">
        <v>32660</v>
      </c>
      <c r="M24" s="35">
        <f ca="1">IF('Row data'!$J24="",DATEDIF('Row data'!$L24,TODAY(),"y"),"0")</f>
        <v>37</v>
      </c>
      <c r="N24" s="35" t="s">
        <v>42</v>
      </c>
      <c r="O24" s="35" t="s">
        <v>43</v>
      </c>
      <c r="P24" s="39" t="s">
        <v>44</v>
      </c>
      <c r="Q24" s="39">
        <v>21256</v>
      </c>
      <c r="R24" s="39">
        <v>20301</v>
      </c>
      <c r="S24" s="39">
        <v>12753</v>
      </c>
      <c r="T24" s="39">
        <v>6377</v>
      </c>
      <c r="U24" s="39">
        <v>850</v>
      </c>
      <c r="V24" s="39">
        <v>638</v>
      </c>
      <c r="W24" s="39">
        <v>0</v>
      </c>
      <c r="X24" s="39">
        <v>0</v>
      </c>
      <c r="Y24" s="39">
        <v>638</v>
      </c>
      <c r="Z24" s="39">
        <v>638</v>
      </c>
      <c r="AA24" s="39">
        <v>0</v>
      </c>
      <c r="AB24" s="39">
        <v>0</v>
      </c>
      <c r="AC24" s="39">
        <v>-500</v>
      </c>
      <c r="AD24" s="39">
        <v>0</v>
      </c>
      <c r="AE24" s="39">
        <v>0</v>
      </c>
      <c r="AF24" s="39">
        <v>455</v>
      </c>
      <c r="AG24" s="39">
        <v>0</v>
      </c>
      <c r="AH24" s="39">
        <v>0</v>
      </c>
      <c r="AI24" s="39">
        <v>0</v>
      </c>
      <c r="AJ24" s="39">
        <f>'Row data'!$S24+'Row data'!$T24+'Row data'!$U24+'Row data'!$W24+'Row data'!$X24+'Row data'!$Y24+'Row data'!$Z24+'Row data'!$AA24+'Row data'!$AB24+'Row data'!$AD24-'Row data'!$AC24-'Row data'!$AE24-'Row data'!$AF24-'Row data'!$AG24-'Row data'!$AH24-'Row data'!$AI24</f>
        <v>21301</v>
      </c>
      <c r="AK24" s="39">
        <v>20301</v>
      </c>
      <c r="AL24" s="39">
        <v>0</v>
      </c>
    </row>
    <row r="25" spans="1:38" x14ac:dyDescent="0.3">
      <c r="A25" s="40">
        <v>24</v>
      </c>
      <c r="B25" s="35" t="s">
        <v>69</v>
      </c>
      <c r="C25" s="35">
        <v>9572996</v>
      </c>
      <c r="D25" s="36" t="s">
        <v>111</v>
      </c>
      <c r="E25" s="35" t="s">
        <v>71</v>
      </c>
      <c r="F25" s="35" t="s">
        <v>106</v>
      </c>
      <c r="G25" s="35" t="s">
        <v>107</v>
      </c>
      <c r="H25" s="37" t="s">
        <v>112</v>
      </c>
      <c r="I25" s="38">
        <v>44853</v>
      </c>
      <c r="J25" s="38"/>
      <c r="K25" s="17"/>
      <c r="L25" s="38">
        <v>32549</v>
      </c>
      <c r="M25" s="35">
        <f ca="1">IF('Row data'!$J25="",DATEDIF('Row data'!$L25,TODAY(),"y"),"0")</f>
        <v>37</v>
      </c>
      <c r="N25" s="35" t="s">
        <v>42</v>
      </c>
      <c r="O25" s="35" t="s">
        <v>43</v>
      </c>
      <c r="P25" s="39" t="s">
        <v>44</v>
      </c>
      <c r="Q25" s="39">
        <v>22496</v>
      </c>
      <c r="R25" s="39">
        <v>22496</v>
      </c>
      <c r="S25" s="39">
        <v>13497</v>
      </c>
      <c r="T25" s="39">
        <v>6749</v>
      </c>
      <c r="U25" s="39">
        <v>900</v>
      </c>
      <c r="V25" s="39">
        <v>675</v>
      </c>
      <c r="W25" s="39">
        <v>0</v>
      </c>
      <c r="X25" s="39">
        <v>0</v>
      </c>
      <c r="Y25" s="39">
        <v>675</v>
      </c>
      <c r="Z25" s="39">
        <v>675</v>
      </c>
      <c r="AA25" s="39">
        <v>0</v>
      </c>
      <c r="AB25" s="39">
        <v>0</v>
      </c>
      <c r="AC25" s="39">
        <v>0</v>
      </c>
      <c r="AD25" s="39">
        <v>0</v>
      </c>
      <c r="AE25" s="39">
        <v>0</v>
      </c>
      <c r="AF25" s="39">
        <v>0</v>
      </c>
      <c r="AG25" s="39">
        <v>0</v>
      </c>
      <c r="AH25" s="39">
        <v>0</v>
      </c>
      <c r="AI25" s="39">
        <v>0</v>
      </c>
      <c r="AJ25" s="39">
        <f>'Row data'!$S25+'Row data'!$T25+'Row data'!$U25+'Row data'!$W25+'Row data'!$X25+'Row data'!$Y25+'Row data'!$Z25+'Row data'!$AA25+'Row data'!$AB25+'Row data'!$AD25-'Row data'!$AC25-'Row data'!$AE25-'Row data'!$AF25-'Row data'!$AG25-'Row data'!$AH25-'Row data'!$AI25</f>
        <v>22496</v>
      </c>
      <c r="AK25" s="39">
        <v>22496</v>
      </c>
      <c r="AL25" s="39">
        <v>0</v>
      </c>
    </row>
    <row r="26" spans="1:38" x14ac:dyDescent="0.3">
      <c r="A26" s="40">
        <v>25</v>
      </c>
      <c r="B26" s="35" t="s">
        <v>69</v>
      </c>
      <c r="C26" s="35">
        <v>9836296</v>
      </c>
      <c r="D26" s="36" t="s">
        <v>113</v>
      </c>
      <c r="E26" s="35" t="s">
        <v>71</v>
      </c>
      <c r="F26" s="35" t="s">
        <v>106</v>
      </c>
      <c r="G26" s="35" t="s">
        <v>114</v>
      </c>
      <c r="H26" s="37" t="s">
        <v>115</v>
      </c>
      <c r="I26" s="38">
        <v>44501</v>
      </c>
      <c r="J26" s="38"/>
      <c r="K26" s="17"/>
      <c r="L26" s="38">
        <v>27740</v>
      </c>
      <c r="M26" s="35">
        <f ca="1">IF('Row data'!$J26="",DATEDIF('Row data'!$L26,TODAY(),"y"),"0")</f>
        <v>50</v>
      </c>
      <c r="N26" s="35" t="s">
        <v>42</v>
      </c>
      <c r="O26" s="35" t="s">
        <v>43</v>
      </c>
      <c r="P26" s="39" t="s">
        <v>44</v>
      </c>
      <c r="Q26" s="39">
        <v>21951</v>
      </c>
      <c r="R26" s="39">
        <v>21951</v>
      </c>
      <c r="S26" s="39">
        <v>13170</v>
      </c>
      <c r="T26" s="39">
        <v>6585</v>
      </c>
      <c r="U26" s="39">
        <v>878</v>
      </c>
      <c r="V26" s="39">
        <v>659</v>
      </c>
      <c r="W26" s="39">
        <v>0</v>
      </c>
      <c r="X26" s="39">
        <v>0</v>
      </c>
      <c r="Y26" s="39">
        <v>659</v>
      </c>
      <c r="Z26" s="39">
        <v>659</v>
      </c>
      <c r="AA26" s="39">
        <v>0</v>
      </c>
      <c r="AB26" s="39">
        <v>0</v>
      </c>
      <c r="AC26" s="39">
        <v>0</v>
      </c>
      <c r="AD26" s="39">
        <v>0</v>
      </c>
      <c r="AE26" s="39">
        <v>0</v>
      </c>
      <c r="AF26" s="39">
        <v>0</v>
      </c>
      <c r="AG26" s="39">
        <v>0</v>
      </c>
      <c r="AH26" s="39">
        <v>0</v>
      </c>
      <c r="AI26" s="39">
        <v>0</v>
      </c>
      <c r="AJ26" s="39">
        <f>'Row data'!$S26+'Row data'!$T26+'Row data'!$U26+'Row data'!$W26+'Row data'!$X26+'Row data'!$Y26+'Row data'!$Z26+'Row data'!$AA26+'Row data'!$AB26+'Row data'!$AD26-'Row data'!$AC26-'Row data'!$AE26-'Row data'!$AF26-'Row data'!$AG26-'Row data'!$AH26-'Row data'!$AI26</f>
        <v>21951</v>
      </c>
      <c r="AK26" s="39">
        <v>21951</v>
      </c>
      <c r="AL26" s="39">
        <v>0</v>
      </c>
    </row>
    <row r="27" spans="1:38" x14ac:dyDescent="0.3">
      <c r="A27" s="40">
        <v>26</v>
      </c>
      <c r="B27" s="35" t="s">
        <v>69</v>
      </c>
      <c r="C27" s="35">
        <v>5420911</v>
      </c>
      <c r="D27" s="36" t="s">
        <v>116</v>
      </c>
      <c r="E27" s="35" t="s">
        <v>117</v>
      </c>
      <c r="F27" s="35" t="s">
        <v>117</v>
      </c>
      <c r="G27" s="35" t="s">
        <v>40</v>
      </c>
      <c r="H27" s="37" t="s">
        <v>118</v>
      </c>
      <c r="I27" s="38">
        <v>44807</v>
      </c>
      <c r="J27" s="38"/>
      <c r="K27" s="17"/>
      <c r="L27" s="38">
        <v>36916</v>
      </c>
      <c r="M27" s="35">
        <f ca="1">IF('Row data'!$J27="",DATEDIF('Row data'!$L27,TODAY(),"y"),"0")</f>
        <v>25</v>
      </c>
      <c r="N27" s="35" t="s">
        <v>42</v>
      </c>
      <c r="O27" s="35" t="s">
        <v>43</v>
      </c>
      <c r="P27" s="39" t="s">
        <v>44</v>
      </c>
      <c r="Q27" s="39">
        <v>16351</v>
      </c>
      <c r="R27" s="39">
        <v>16351</v>
      </c>
      <c r="S27" s="39">
        <v>9810</v>
      </c>
      <c r="T27" s="39">
        <v>4905</v>
      </c>
      <c r="U27" s="39">
        <v>654</v>
      </c>
      <c r="V27" s="39">
        <v>491</v>
      </c>
      <c r="W27" s="39">
        <v>0</v>
      </c>
      <c r="X27" s="39">
        <v>0</v>
      </c>
      <c r="Y27" s="39">
        <v>491</v>
      </c>
      <c r="Z27" s="39">
        <v>491</v>
      </c>
      <c r="AA27" s="39">
        <v>0</v>
      </c>
      <c r="AB27" s="39">
        <v>0</v>
      </c>
      <c r="AC27" s="39">
        <v>0</v>
      </c>
      <c r="AD27" s="39">
        <v>0</v>
      </c>
      <c r="AE27" s="39">
        <v>0</v>
      </c>
      <c r="AF27" s="39">
        <v>0</v>
      </c>
      <c r="AG27" s="39">
        <v>0</v>
      </c>
      <c r="AH27" s="39">
        <v>0</v>
      </c>
      <c r="AI27" s="39">
        <v>0</v>
      </c>
      <c r="AJ27" s="39">
        <f>'Row data'!$S27+'Row data'!$T27+'Row data'!$U27+'Row data'!$W27+'Row data'!$X27+'Row data'!$Y27+'Row data'!$Z27+'Row data'!$AA27+'Row data'!$AB27+'Row data'!$AD27-'Row data'!$AC27-'Row data'!$AE27-'Row data'!$AF27-'Row data'!$AG27-'Row data'!$AH27-'Row data'!$AI27</f>
        <v>16351</v>
      </c>
      <c r="AK27" s="39">
        <v>16351</v>
      </c>
      <c r="AL27" s="39">
        <v>0</v>
      </c>
    </row>
    <row r="28" spans="1:38" x14ac:dyDescent="0.3">
      <c r="A28" s="40">
        <v>27</v>
      </c>
      <c r="B28" s="35" t="s">
        <v>69</v>
      </c>
      <c r="C28" s="35">
        <v>9713316</v>
      </c>
      <c r="D28" s="36" t="s">
        <v>119</v>
      </c>
      <c r="E28" s="35" t="s">
        <v>120</v>
      </c>
      <c r="F28" s="35" t="s">
        <v>121</v>
      </c>
      <c r="G28" s="35" t="s">
        <v>122</v>
      </c>
      <c r="H28" s="37" t="s">
        <v>123</v>
      </c>
      <c r="I28" s="38">
        <v>44573</v>
      </c>
      <c r="J28" s="38"/>
      <c r="K28" s="17"/>
      <c r="L28" s="38">
        <v>31402</v>
      </c>
      <c r="M28" s="35">
        <f ca="1">IF('Row data'!$J28="",DATEDIF('Row data'!$L28,TODAY(),"y"),"0")</f>
        <v>40</v>
      </c>
      <c r="N28" s="35" t="s">
        <v>42</v>
      </c>
      <c r="O28" s="35" t="s">
        <v>43</v>
      </c>
      <c r="P28" s="39" t="s">
        <v>44</v>
      </c>
      <c r="Q28" s="39">
        <v>22345</v>
      </c>
      <c r="R28" s="39">
        <v>22345</v>
      </c>
      <c r="S28" s="39">
        <v>13407</v>
      </c>
      <c r="T28" s="39">
        <v>6704</v>
      </c>
      <c r="U28" s="39">
        <v>894</v>
      </c>
      <c r="V28" s="39">
        <v>670</v>
      </c>
      <c r="W28" s="39">
        <v>0</v>
      </c>
      <c r="X28" s="39">
        <v>0</v>
      </c>
      <c r="Y28" s="39">
        <v>670</v>
      </c>
      <c r="Z28" s="39">
        <v>670</v>
      </c>
      <c r="AA28" s="39">
        <v>0</v>
      </c>
      <c r="AB28" s="39">
        <v>0</v>
      </c>
      <c r="AC28" s="39">
        <v>0</v>
      </c>
      <c r="AD28" s="39">
        <v>0</v>
      </c>
      <c r="AE28" s="39">
        <v>0</v>
      </c>
      <c r="AF28" s="39">
        <v>0</v>
      </c>
      <c r="AG28" s="39">
        <v>0</v>
      </c>
      <c r="AH28" s="39">
        <v>0</v>
      </c>
      <c r="AI28" s="39">
        <v>0</v>
      </c>
      <c r="AJ28" s="39">
        <f>'Row data'!$S28+'Row data'!$T28+'Row data'!$U28+'Row data'!$W28+'Row data'!$X28+'Row data'!$Y28+'Row data'!$Z28+'Row data'!$AA28+'Row data'!$AB28+'Row data'!$AD28-'Row data'!$AC28-'Row data'!$AE28-'Row data'!$AF28-'Row data'!$AG28-'Row data'!$AH28-'Row data'!$AI28</f>
        <v>22345</v>
      </c>
      <c r="AK28" s="39">
        <v>22345</v>
      </c>
      <c r="AL28" s="39">
        <v>0</v>
      </c>
    </row>
    <row r="29" spans="1:38" x14ac:dyDescent="0.3">
      <c r="A29" s="40">
        <v>28</v>
      </c>
      <c r="B29" s="35" t="s">
        <v>69</v>
      </c>
      <c r="C29" s="35">
        <v>7034621</v>
      </c>
      <c r="D29" s="36" t="s">
        <v>124</v>
      </c>
      <c r="E29" s="35" t="s">
        <v>120</v>
      </c>
      <c r="F29" s="35" t="s">
        <v>125</v>
      </c>
      <c r="G29" s="35" t="s">
        <v>126</v>
      </c>
      <c r="H29" s="37" t="s">
        <v>127</v>
      </c>
      <c r="I29" s="38">
        <v>43678</v>
      </c>
      <c r="J29" s="38"/>
      <c r="K29" s="17"/>
      <c r="L29" s="38">
        <v>32752</v>
      </c>
      <c r="M29" s="35">
        <f ca="1">IF('Row data'!$J29="",DATEDIF('Row data'!$L29,TODAY(),"y"),"0")</f>
        <v>37</v>
      </c>
      <c r="N29" s="35" t="s">
        <v>42</v>
      </c>
      <c r="O29" s="35" t="s">
        <v>43</v>
      </c>
      <c r="P29" s="39" t="s">
        <v>44</v>
      </c>
      <c r="Q29" s="39">
        <v>27251</v>
      </c>
      <c r="R29" s="39">
        <v>27251</v>
      </c>
      <c r="S29" s="39">
        <v>16350</v>
      </c>
      <c r="T29" s="39">
        <v>8175</v>
      </c>
      <c r="U29" s="39">
        <v>1090</v>
      </c>
      <c r="V29" s="39">
        <v>818</v>
      </c>
      <c r="W29" s="39">
        <v>0</v>
      </c>
      <c r="X29" s="39">
        <v>0</v>
      </c>
      <c r="Y29" s="39">
        <v>818</v>
      </c>
      <c r="Z29" s="39">
        <v>818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0</v>
      </c>
      <c r="AG29" s="39">
        <v>2500</v>
      </c>
      <c r="AH29" s="39">
        <v>0</v>
      </c>
      <c r="AI29" s="39">
        <v>0</v>
      </c>
      <c r="AJ29" s="39">
        <f>'Row data'!$S29+'Row data'!$T29+'Row data'!$U29+'Row data'!$W29+'Row data'!$X29+'Row data'!$Y29+'Row data'!$Z29+'Row data'!$AA29+'Row data'!$AB29+'Row data'!$AD29-'Row data'!$AC29-'Row data'!$AE29-'Row data'!$AF29-'Row data'!$AG29-'Row data'!$AH29-'Row data'!$AI29</f>
        <v>24751</v>
      </c>
      <c r="AK29" s="39">
        <v>24751</v>
      </c>
      <c r="AL29" s="39">
        <v>0</v>
      </c>
    </row>
    <row r="30" spans="1:38" x14ac:dyDescent="0.3">
      <c r="A30" s="40">
        <v>29</v>
      </c>
      <c r="B30" s="35" t="s">
        <v>69</v>
      </c>
      <c r="C30" s="35">
        <v>8555326</v>
      </c>
      <c r="D30" s="36" t="s">
        <v>128</v>
      </c>
      <c r="E30" s="35" t="s">
        <v>129</v>
      </c>
      <c r="F30" s="35" t="s">
        <v>130</v>
      </c>
      <c r="G30" s="35" t="s">
        <v>126</v>
      </c>
      <c r="H30" s="37" t="s">
        <v>131</v>
      </c>
      <c r="I30" s="38">
        <v>44480</v>
      </c>
      <c r="J30" s="38"/>
      <c r="K30" s="17"/>
      <c r="L30" s="38">
        <v>35431</v>
      </c>
      <c r="M30" s="35">
        <f ca="1">IF('Row data'!$J30="",DATEDIF('Row data'!$L30,TODAY(),"y"),"0")</f>
        <v>29</v>
      </c>
      <c r="N30" s="35" t="s">
        <v>42</v>
      </c>
      <c r="O30" s="35" t="s">
        <v>43</v>
      </c>
      <c r="P30" s="39" t="s">
        <v>44</v>
      </c>
      <c r="Q30" s="39">
        <v>32700</v>
      </c>
      <c r="R30" s="39">
        <v>32700</v>
      </c>
      <c r="S30" s="39">
        <v>19620</v>
      </c>
      <c r="T30" s="39">
        <v>9810</v>
      </c>
      <c r="U30" s="39">
        <v>1308</v>
      </c>
      <c r="V30" s="39">
        <v>981</v>
      </c>
      <c r="W30" s="39">
        <v>0</v>
      </c>
      <c r="X30" s="39">
        <v>0</v>
      </c>
      <c r="Y30" s="39">
        <v>981</v>
      </c>
      <c r="Z30" s="39">
        <v>981</v>
      </c>
      <c r="AA30" s="39">
        <v>0</v>
      </c>
      <c r="AB30" s="39">
        <v>0</v>
      </c>
      <c r="AC30" s="39">
        <v>0</v>
      </c>
      <c r="AD30" s="39">
        <v>0</v>
      </c>
      <c r="AE30" s="39">
        <v>0</v>
      </c>
      <c r="AF30" s="39">
        <v>0</v>
      </c>
      <c r="AG30" s="39">
        <v>0</v>
      </c>
      <c r="AH30" s="39">
        <v>0</v>
      </c>
      <c r="AI30" s="39">
        <v>0</v>
      </c>
      <c r="AJ30" s="39">
        <f>'Row data'!$S30+'Row data'!$T30+'Row data'!$U30+'Row data'!$W30+'Row data'!$X30+'Row data'!$Y30+'Row data'!$Z30+'Row data'!$AA30+'Row data'!$AB30+'Row data'!$AD30-'Row data'!$AC30-'Row data'!$AE30-'Row data'!$AF30-'Row data'!$AG30-'Row data'!$AH30-'Row data'!$AI30</f>
        <v>32700</v>
      </c>
      <c r="AK30" s="39">
        <v>32700</v>
      </c>
      <c r="AL30" s="39">
        <v>0</v>
      </c>
    </row>
    <row r="31" spans="1:38" x14ac:dyDescent="0.3">
      <c r="A31" s="40">
        <v>30</v>
      </c>
      <c r="B31" s="35" t="s">
        <v>69</v>
      </c>
      <c r="C31" s="35">
        <v>7352540</v>
      </c>
      <c r="D31" s="36" t="s">
        <v>132</v>
      </c>
      <c r="E31" s="35" t="s">
        <v>38</v>
      </c>
      <c r="F31" s="35" t="s">
        <v>133</v>
      </c>
      <c r="G31" s="35" t="s">
        <v>57</v>
      </c>
      <c r="H31" s="37" t="s">
        <v>134</v>
      </c>
      <c r="I31" s="38">
        <v>44604</v>
      </c>
      <c r="J31" s="38"/>
      <c r="K31" s="17"/>
      <c r="L31" s="38">
        <v>33313</v>
      </c>
      <c r="M31" s="35">
        <f ca="1">IF('Row data'!$J31="",DATEDIF('Row data'!$L31,TODAY(),"y"),"0")</f>
        <v>35</v>
      </c>
      <c r="N31" s="35" t="s">
        <v>42</v>
      </c>
      <c r="O31" s="35" t="s">
        <v>43</v>
      </c>
      <c r="P31" s="39" t="s">
        <v>44</v>
      </c>
      <c r="Q31" s="39">
        <v>34879</v>
      </c>
      <c r="R31" s="39">
        <v>34879</v>
      </c>
      <c r="S31" s="39">
        <v>20928</v>
      </c>
      <c r="T31" s="39">
        <v>10464</v>
      </c>
      <c r="U31" s="39">
        <v>1395</v>
      </c>
      <c r="V31" s="39">
        <v>1046</v>
      </c>
      <c r="W31" s="39">
        <v>0</v>
      </c>
      <c r="X31" s="39">
        <v>0</v>
      </c>
      <c r="Y31" s="39">
        <v>1046</v>
      </c>
      <c r="Z31" s="39">
        <v>1046</v>
      </c>
      <c r="AA31" s="39">
        <v>0</v>
      </c>
      <c r="AB31" s="39">
        <v>0</v>
      </c>
      <c r="AC31" s="39">
        <v>0</v>
      </c>
      <c r="AD31" s="39">
        <v>0</v>
      </c>
      <c r="AE31" s="39">
        <v>0</v>
      </c>
      <c r="AF31" s="39">
        <v>0</v>
      </c>
      <c r="AG31" s="39">
        <v>0</v>
      </c>
      <c r="AH31" s="39">
        <v>0</v>
      </c>
      <c r="AI31" s="39">
        <v>0</v>
      </c>
      <c r="AJ31" s="39">
        <f>'Row data'!$S31+'Row data'!$T31+'Row data'!$U31+'Row data'!$W31+'Row data'!$X31+'Row data'!$Y31+'Row data'!$Z31+'Row data'!$AA31+'Row data'!$AB31+'Row data'!$AD31-'Row data'!$AC31-'Row data'!$AE31-'Row data'!$AF31-'Row data'!$AG31-'Row data'!$AH31-'Row data'!$AI31</f>
        <v>34879</v>
      </c>
      <c r="AK31" s="39">
        <v>34879</v>
      </c>
      <c r="AL31" s="39">
        <v>0</v>
      </c>
    </row>
    <row r="32" spans="1:38" x14ac:dyDescent="0.3">
      <c r="A32" s="40">
        <v>31</v>
      </c>
      <c r="B32" s="35" t="s">
        <v>69</v>
      </c>
      <c r="C32" s="35">
        <v>6659696</v>
      </c>
      <c r="D32" s="36" t="s">
        <v>135</v>
      </c>
      <c r="E32" s="35" t="s">
        <v>38</v>
      </c>
      <c r="F32" s="35" t="s">
        <v>133</v>
      </c>
      <c r="G32" s="35" t="s">
        <v>57</v>
      </c>
      <c r="H32" s="37" t="s">
        <v>136</v>
      </c>
      <c r="I32" s="38">
        <v>45241</v>
      </c>
      <c r="J32" s="38"/>
      <c r="K32" s="17"/>
      <c r="L32" s="38">
        <v>36932</v>
      </c>
      <c r="M32" s="35">
        <f ca="1">IF('Row data'!$J32="",DATEDIF('Row data'!$L32,TODAY(),"y"),"0")</f>
        <v>25</v>
      </c>
      <c r="N32" s="35" t="s">
        <v>42</v>
      </c>
      <c r="O32" s="35" t="s">
        <v>43</v>
      </c>
      <c r="P32" s="39" t="s">
        <v>44</v>
      </c>
      <c r="Q32" s="39">
        <v>21256</v>
      </c>
      <c r="R32" s="39">
        <v>21256</v>
      </c>
      <c r="S32" s="39">
        <v>12753</v>
      </c>
      <c r="T32" s="39">
        <v>6377</v>
      </c>
      <c r="U32" s="39">
        <v>850</v>
      </c>
      <c r="V32" s="39">
        <v>638</v>
      </c>
      <c r="W32" s="39">
        <v>0</v>
      </c>
      <c r="X32" s="39">
        <v>0</v>
      </c>
      <c r="Y32" s="39">
        <v>638</v>
      </c>
      <c r="Z32" s="39">
        <v>638</v>
      </c>
      <c r="AA32" s="39">
        <v>0</v>
      </c>
      <c r="AB32" s="39">
        <v>0</v>
      </c>
      <c r="AC32" s="39">
        <v>0</v>
      </c>
      <c r="AD32" s="39">
        <v>0</v>
      </c>
      <c r="AE32" s="39">
        <v>0</v>
      </c>
      <c r="AF32" s="39">
        <v>0</v>
      </c>
      <c r="AG32" s="39">
        <v>0</v>
      </c>
      <c r="AH32" s="39">
        <v>0</v>
      </c>
      <c r="AI32" s="39">
        <v>0</v>
      </c>
      <c r="AJ32" s="39">
        <f>'Row data'!$S32+'Row data'!$T32+'Row data'!$U32+'Row data'!$W32+'Row data'!$X32+'Row data'!$Y32+'Row data'!$Z32+'Row data'!$AA32+'Row data'!$AB32+'Row data'!$AD32-'Row data'!$AC32-'Row data'!$AE32-'Row data'!$AF32-'Row data'!$AG32-'Row data'!$AH32-'Row data'!$AI32</f>
        <v>21256</v>
      </c>
      <c r="AK32" s="39">
        <v>21256</v>
      </c>
      <c r="AL32" s="39">
        <v>0</v>
      </c>
    </row>
    <row r="33" spans="1:38" x14ac:dyDescent="0.3">
      <c r="A33" s="40">
        <v>32</v>
      </c>
      <c r="B33" s="35" t="s">
        <v>69</v>
      </c>
      <c r="C33" s="35">
        <v>8252375</v>
      </c>
      <c r="D33" s="36" t="s">
        <v>137</v>
      </c>
      <c r="E33" s="35" t="s">
        <v>38</v>
      </c>
      <c r="F33" s="35" t="s">
        <v>133</v>
      </c>
      <c r="G33" s="35" t="s">
        <v>138</v>
      </c>
      <c r="H33" s="37" t="s">
        <v>139</v>
      </c>
      <c r="I33" s="38">
        <v>43785</v>
      </c>
      <c r="J33" s="38"/>
      <c r="K33" s="17"/>
      <c r="L33" s="38">
        <v>36393</v>
      </c>
      <c r="M33" s="35">
        <f ca="1">IF('Row data'!$J33="",DATEDIF('Row data'!$L33,TODAY(),"y"),"0")</f>
        <v>27</v>
      </c>
      <c r="N33" s="35" t="s">
        <v>42</v>
      </c>
      <c r="O33" s="35" t="s">
        <v>43</v>
      </c>
      <c r="P33" s="39" t="s">
        <v>44</v>
      </c>
      <c r="Q33" s="39">
        <v>27251</v>
      </c>
      <c r="R33" s="39">
        <v>27251</v>
      </c>
      <c r="S33" s="39">
        <v>16350</v>
      </c>
      <c r="T33" s="39">
        <v>8175</v>
      </c>
      <c r="U33" s="39">
        <v>1090</v>
      </c>
      <c r="V33" s="39">
        <v>818</v>
      </c>
      <c r="W33" s="39">
        <v>0</v>
      </c>
      <c r="X33" s="39">
        <v>0</v>
      </c>
      <c r="Y33" s="39">
        <v>818</v>
      </c>
      <c r="Z33" s="39">
        <v>818</v>
      </c>
      <c r="AA33" s="39">
        <v>0</v>
      </c>
      <c r="AB33" s="39">
        <v>0</v>
      </c>
      <c r="AC33" s="39">
        <v>0</v>
      </c>
      <c r="AD33" s="39">
        <v>0</v>
      </c>
      <c r="AE33" s="39">
        <v>0</v>
      </c>
      <c r="AF33" s="39">
        <v>0</v>
      </c>
      <c r="AG33" s="39">
        <v>0</v>
      </c>
      <c r="AH33" s="39">
        <v>0</v>
      </c>
      <c r="AI33" s="39">
        <v>0</v>
      </c>
      <c r="AJ33" s="39">
        <f>'Row data'!$S33+'Row data'!$T33+'Row data'!$U33+'Row data'!$W33+'Row data'!$X33+'Row data'!$Y33+'Row data'!$Z33+'Row data'!$AA33+'Row data'!$AB33+'Row data'!$AD33-'Row data'!$AC33-'Row data'!$AE33-'Row data'!$AF33-'Row data'!$AG33-'Row data'!$AH33-'Row data'!$AI33</f>
        <v>27251</v>
      </c>
      <c r="AK33" s="39">
        <v>27251</v>
      </c>
      <c r="AL33" s="39">
        <v>0</v>
      </c>
    </row>
    <row r="34" spans="1:38" x14ac:dyDescent="0.3">
      <c r="A34" s="40">
        <v>33</v>
      </c>
      <c r="B34" s="35" t="s">
        <v>69</v>
      </c>
      <c r="C34" s="35">
        <v>7953821</v>
      </c>
      <c r="D34" s="36" t="s">
        <v>140</v>
      </c>
      <c r="E34" s="35" t="s">
        <v>38</v>
      </c>
      <c r="F34" s="35" t="s">
        <v>133</v>
      </c>
      <c r="G34" s="35" t="s">
        <v>57</v>
      </c>
      <c r="H34" s="37" t="s">
        <v>141</v>
      </c>
      <c r="I34" s="38">
        <v>44216</v>
      </c>
      <c r="J34" s="38"/>
      <c r="K34" s="17"/>
      <c r="L34" s="38">
        <v>34428</v>
      </c>
      <c r="M34" s="35">
        <f ca="1">IF('Row data'!$J34="",DATEDIF('Row data'!$L34,TODAY(),"y"),"0")</f>
        <v>32</v>
      </c>
      <c r="N34" s="35" t="s">
        <v>42</v>
      </c>
      <c r="O34" s="35" t="s">
        <v>43</v>
      </c>
      <c r="P34" s="39" t="s">
        <v>44</v>
      </c>
      <c r="Q34" s="39">
        <v>26787</v>
      </c>
      <c r="R34" s="39">
        <v>21787</v>
      </c>
      <c r="S34" s="39">
        <v>16072</v>
      </c>
      <c r="T34" s="39">
        <v>8036</v>
      </c>
      <c r="U34" s="39">
        <v>1071</v>
      </c>
      <c r="V34" s="39">
        <v>804</v>
      </c>
      <c r="W34" s="39">
        <v>0</v>
      </c>
      <c r="X34" s="39">
        <v>0</v>
      </c>
      <c r="Y34" s="39">
        <v>804</v>
      </c>
      <c r="Z34" s="39">
        <v>804</v>
      </c>
      <c r="AA34" s="39">
        <v>0</v>
      </c>
      <c r="AB34" s="39">
        <v>0</v>
      </c>
      <c r="AC34" s="39">
        <v>-5000</v>
      </c>
      <c r="AD34" s="39">
        <v>0</v>
      </c>
      <c r="AE34" s="39">
        <v>0</v>
      </c>
      <c r="AF34" s="39">
        <v>0</v>
      </c>
      <c r="AG34" s="39">
        <v>0</v>
      </c>
      <c r="AH34" s="39">
        <v>0</v>
      </c>
      <c r="AI34" s="39">
        <v>0</v>
      </c>
      <c r="AJ34" s="39">
        <f>'Row data'!$S34+'Row data'!$T34+'Row data'!$U34+'Row data'!$W34+'Row data'!$X34+'Row data'!$Y34+'Row data'!$Z34+'Row data'!$AA34+'Row data'!$AB34+'Row data'!$AD34-'Row data'!$AC34-'Row data'!$AE34-'Row data'!$AF34-'Row data'!$AG34-'Row data'!$AH34-'Row data'!$AI34</f>
        <v>31787</v>
      </c>
      <c r="AK34" s="39">
        <v>21787</v>
      </c>
      <c r="AL34" s="39">
        <v>0</v>
      </c>
    </row>
    <row r="35" spans="1:38" x14ac:dyDescent="0.3">
      <c r="A35" s="40">
        <v>34</v>
      </c>
      <c r="B35" s="35" t="s">
        <v>69</v>
      </c>
      <c r="C35" s="35">
        <v>8949990</v>
      </c>
      <c r="D35" s="36" t="s">
        <v>142</v>
      </c>
      <c r="E35" s="35" t="s">
        <v>38</v>
      </c>
      <c r="F35" s="35" t="s">
        <v>133</v>
      </c>
      <c r="G35" s="35" t="s">
        <v>143</v>
      </c>
      <c r="H35" s="37" t="s">
        <v>144</v>
      </c>
      <c r="I35" s="38">
        <v>43040</v>
      </c>
      <c r="J35" s="38"/>
      <c r="K35" s="17"/>
      <c r="L35" s="38">
        <v>32969</v>
      </c>
      <c r="M35" s="35">
        <f ca="1">IF('Row data'!$J35="",DATEDIF('Row data'!$L35,TODAY(),"y"),"0")</f>
        <v>36</v>
      </c>
      <c r="N35" s="35" t="s">
        <v>42</v>
      </c>
      <c r="O35" s="35" t="s">
        <v>43</v>
      </c>
      <c r="P35" s="39" t="s">
        <v>44</v>
      </c>
      <c r="Q35" s="39">
        <v>36461</v>
      </c>
      <c r="R35" s="39">
        <v>36461</v>
      </c>
      <c r="S35" s="39">
        <v>21877</v>
      </c>
      <c r="T35" s="39">
        <v>10938</v>
      </c>
      <c r="U35" s="39">
        <v>1458</v>
      </c>
      <c r="V35" s="39">
        <v>1094</v>
      </c>
      <c r="W35" s="39">
        <v>0</v>
      </c>
      <c r="X35" s="39">
        <v>0</v>
      </c>
      <c r="Y35" s="39">
        <v>1094</v>
      </c>
      <c r="Z35" s="39">
        <v>1094</v>
      </c>
      <c r="AA35" s="39">
        <v>0</v>
      </c>
      <c r="AB35" s="39">
        <v>0</v>
      </c>
      <c r="AC35" s="39">
        <v>0</v>
      </c>
      <c r="AD35" s="39">
        <v>0</v>
      </c>
      <c r="AE35" s="39">
        <v>0</v>
      </c>
      <c r="AF35" s="39">
        <v>0</v>
      </c>
      <c r="AG35" s="39">
        <v>0</v>
      </c>
      <c r="AH35" s="39">
        <v>0</v>
      </c>
      <c r="AI35" s="39">
        <v>0</v>
      </c>
      <c r="AJ35" s="39">
        <f>'Row data'!$S35+'Row data'!$T35+'Row data'!$U35+'Row data'!$W35+'Row data'!$X35+'Row data'!$Y35+'Row data'!$Z35+'Row data'!$AA35+'Row data'!$AB35+'Row data'!$AD35-'Row data'!$AC35-'Row data'!$AE35-'Row data'!$AF35-'Row data'!$AG35-'Row data'!$AH35-'Row data'!$AI35</f>
        <v>36461</v>
      </c>
      <c r="AK35" s="39">
        <v>36461</v>
      </c>
      <c r="AL35" s="39">
        <v>0</v>
      </c>
    </row>
    <row r="36" spans="1:38" x14ac:dyDescent="0.3">
      <c r="A36" s="40">
        <v>35</v>
      </c>
      <c r="B36" s="35" t="s">
        <v>69</v>
      </c>
      <c r="C36" s="35">
        <v>8369043</v>
      </c>
      <c r="D36" s="36" t="s">
        <v>145</v>
      </c>
      <c r="E36" s="35" t="s">
        <v>38</v>
      </c>
      <c r="F36" s="35" t="s">
        <v>146</v>
      </c>
      <c r="G36" s="35" t="s">
        <v>147</v>
      </c>
      <c r="H36" s="37" t="s">
        <v>148</v>
      </c>
      <c r="I36" s="38">
        <v>45180</v>
      </c>
      <c r="J36" s="38"/>
      <c r="K36" s="17"/>
      <c r="L36" s="38">
        <v>36955</v>
      </c>
      <c r="M36" s="35">
        <f ca="1">IF('Row data'!$J36="",DATEDIF('Row data'!$L36,TODAY(),"y"),"0")</f>
        <v>25</v>
      </c>
      <c r="N36" s="35" t="s">
        <v>42</v>
      </c>
      <c r="O36" s="35" t="s">
        <v>43</v>
      </c>
      <c r="P36" s="39" t="s">
        <v>44</v>
      </c>
      <c r="Q36" s="39">
        <v>15904</v>
      </c>
      <c r="R36" s="39">
        <v>15904</v>
      </c>
      <c r="S36" s="39">
        <v>9543</v>
      </c>
      <c r="T36" s="39">
        <v>4771</v>
      </c>
      <c r="U36" s="39">
        <v>636</v>
      </c>
      <c r="V36" s="39">
        <v>477</v>
      </c>
      <c r="W36" s="39">
        <v>0</v>
      </c>
      <c r="X36" s="39">
        <v>0</v>
      </c>
      <c r="Y36" s="39">
        <v>477</v>
      </c>
      <c r="Z36" s="39">
        <v>477</v>
      </c>
      <c r="AA36" s="39">
        <v>0</v>
      </c>
      <c r="AB36" s="39">
        <v>0</v>
      </c>
      <c r="AC36" s="39">
        <v>0</v>
      </c>
      <c r="AD36" s="39">
        <v>0</v>
      </c>
      <c r="AE36" s="39">
        <v>0</v>
      </c>
      <c r="AF36" s="39">
        <v>0</v>
      </c>
      <c r="AG36" s="39">
        <v>0</v>
      </c>
      <c r="AH36" s="39">
        <v>0</v>
      </c>
      <c r="AI36" s="39">
        <v>0</v>
      </c>
      <c r="AJ36" s="39">
        <f>'Row data'!$S36+'Row data'!$T36+'Row data'!$U36+'Row data'!$W36+'Row data'!$X36+'Row data'!$Y36+'Row data'!$Z36+'Row data'!$AA36+'Row data'!$AB36+'Row data'!$AD36-'Row data'!$AC36-'Row data'!$AE36-'Row data'!$AF36-'Row data'!$AG36-'Row data'!$AH36-'Row data'!$AI36</f>
        <v>15904</v>
      </c>
      <c r="AK36" s="39">
        <v>15904</v>
      </c>
      <c r="AL36" s="39">
        <v>0</v>
      </c>
    </row>
    <row r="37" spans="1:38" x14ac:dyDescent="0.3">
      <c r="A37" s="40">
        <v>36</v>
      </c>
      <c r="B37" s="35" t="s">
        <v>69</v>
      </c>
      <c r="C37" s="35">
        <v>6239299</v>
      </c>
      <c r="D37" s="36" t="s">
        <v>149</v>
      </c>
      <c r="E37" s="35" t="s">
        <v>38</v>
      </c>
      <c r="F37" s="35" t="s">
        <v>150</v>
      </c>
      <c r="G37" s="35" t="s">
        <v>151</v>
      </c>
      <c r="H37" s="37" t="s">
        <v>152</v>
      </c>
      <c r="I37" s="38">
        <v>44812</v>
      </c>
      <c r="J37" s="38"/>
      <c r="K37" s="17"/>
      <c r="L37" s="38">
        <v>32377</v>
      </c>
      <c r="M37" s="35">
        <f ca="1">IF('Row data'!$J37="",DATEDIF('Row data'!$L37,TODAY(),"y"),"0")</f>
        <v>38</v>
      </c>
      <c r="N37" s="35" t="s">
        <v>42</v>
      </c>
      <c r="O37" s="35" t="s">
        <v>43</v>
      </c>
      <c r="P37" s="39" t="s">
        <v>44</v>
      </c>
      <c r="Q37" s="39">
        <v>30467</v>
      </c>
      <c r="R37" s="39">
        <v>30467</v>
      </c>
      <c r="S37" s="39">
        <v>18280</v>
      </c>
      <c r="T37" s="39">
        <v>9140</v>
      </c>
      <c r="U37" s="39">
        <v>1219</v>
      </c>
      <c r="V37" s="39">
        <v>914</v>
      </c>
      <c r="W37" s="39">
        <v>0</v>
      </c>
      <c r="X37" s="39">
        <v>0</v>
      </c>
      <c r="Y37" s="39">
        <v>914</v>
      </c>
      <c r="Z37" s="39">
        <v>914</v>
      </c>
      <c r="AA37" s="39">
        <v>0</v>
      </c>
      <c r="AB37" s="39">
        <v>0</v>
      </c>
      <c r="AC37" s="39">
        <v>0</v>
      </c>
      <c r="AD37" s="39">
        <v>0</v>
      </c>
      <c r="AE37" s="39">
        <v>0</v>
      </c>
      <c r="AF37" s="39">
        <v>0</v>
      </c>
      <c r="AG37" s="39">
        <v>0</v>
      </c>
      <c r="AH37" s="39">
        <v>0</v>
      </c>
      <c r="AI37" s="39">
        <v>0</v>
      </c>
      <c r="AJ37" s="39">
        <f>'Row data'!$S37+'Row data'!$T37+'Row data'!$U37+'Row data'!$W37+'Row data'!$X37+'Row data'!$Y37+'Row data'!$Z37+'Row data'!$AA37+'Row data'!$AB37+'Row data'!$AD37-'Row data'!$AC37-'Row data'!$AE37-'Row data'!$AF37-'Row data'!$AG37-'Row data'!$AH37-'Row data'!$AI37</f>
        <v>30467</v>
      </c>
      <c r="AK37" s="39">
        <v>30467</v>
      </c>
      <c r="AL37" s="39">
        <v>0</v>
      </c>
    </row>
    <row r="38" spans="1:38" x14ac:dyDescent="0.3">
      <c r="A38" s="40">
        <v>37</v>
      </c>
      <c r="B38" s="35" t="s">
        <v>69</v>
      </c>
      <c r="C38" s="35">
        <v>8857815</v>
      </c>
      <c r="D38" s="36" t="s">
        <v>153</v>
      </c>
      <c r="E38" s="35" t="s">
        <v>38</v>
      </c>
      <c r="F38" s="35" t="s">
        <v>150</v>
      </c>
      <c r="G38" s="35" t="s">
        <v>154</v>
      </c>
      <c r="H38" s="37" t="s">
        <v>155</v>
      </c>
      <c r="I38" s="38">
        <v>40187</v>
      </c>
      <c r="J38" s="38"/>
      <c r="K38" s="17"/>
      <c r="L38" s="38">
        <v>31707</v>
      </c>
      <c r="M38" s="35">
        <f ca="1">IF('Row data'!$J38="",DATEDIF('Row data'!$L38,TODAY(),"y"),"0")</f>
        <v>39</v>
      </c>
      <c r="N38" s="35" t="s">
        <v>42</v>
      </c>
      <c r="O38" s="35" t="s">
        <v>43</v>
      </c>
      <c r="P38" s="39" t="s">
        <v>44</v>
      </c>
      <c r="Q38" s="39">
        <v>28340</v>
      </c>
      <c r="R38" s="39">
        <v>28340</v>
      </c>
      <c r="S38" s="39">
        <v>17004</v>
      </c>
      <c r="T38" s="39">
        <v>8502</v>
      </c>
      <c r="U38" s="39">
        <v>1134</v>
      </c>
      <c r="V38" s="39">
        <v>850</v>
      </c>
      <c r="W38" s="39">
        <v>0</v>
      </c>
      <c r="X38" s="39">
        <v>0</v>
      </c>
      <c r="Y38" s="39">
        <v>850</v>
      </c>
      <c r="Z38" s="39">
        <v>850</v>
      </c>
      <c r="AA38" s="39">
        <v>0</v>
      </c>
      <c r="AB38" s="39">
        <v>0</v>
      </c>
      <c r="AC38" s="39">
        <v>0</v>
      </c>
      <c r="AD38" s="39">
        <v>0</v>
      </c>
      <c r="AE38" s="39">
        <v>0</v>
      </c>
      <c r="AF38" s="39">
        <v>0</v>
      </c>
      <c r="AG38" s="39">
        <v>0</v>
      </c>
      <c r="AH38" s="39">
        <v>0</v>
      </c>
      <c r="AI38" s="39">
        <v>0</v>
      </c>
      <c r="AJ38" s="39">
        <f>'Row data'!$S38+'Row data'!$T38+'Row data'!$U38+'Row data'!$W38+'Row data'!$X38+'Row data'!$Y38+'Row data'!$Z38+'Row data'!$AA38+'Row data'!$AB38+'Row data'!$AD38-'Row data'!$AC38-'Row data'!$AE38-'Row data'!$AF38-'Row data'!$AG38-'Row data'!$AH38-'Row data'!$AI38</f>
        <v>28340</v>
      </c>
      <c r="AK38" s="39">
        <v>28340</v>
      </c>
      <c r="AL38" s="39">
        <v>0</v>
      </c>
    </row>
    <row r="39" spans="1:38" x14ac:dyDescent="0.3">
      <c r="A39" s="40">
        <v>38</v>
      </c>
      <c r="B39" s="35" t="s">
        <v>69</v>
      </c>
      <c r="C39" s="35">
        <v>8679428</v>
      </c>
      <c r="D39" s="36" t="s">
        <v>156</v>
      </c>
      <c r="E39" s="35" t="s">
        <v>38</v>
      </c>
      <c r="F39" s="35" t="s">
        <v>150</v>
      </c>
      <c r="G39" s="35" t="s">
        <v>157</v>
      </c>
      <c r="H39" s="37" t="s">
        <v>158</v>
      </c>
      <c r="I39" s="38">
        <v>44228</v>
      </c>
      <c r="J39" s="38"/>
      <c r="K39" s="17"/>
      <c r="L39" s="38">
        <v>35676</v>
      </c>
      <c r="M39" s="35">
        <f ca="1">IF('Row data'!$J39="",DATEDIF('Row data'!$L39,TODAY(),"y"),"0")</f>
        <v>29</v>
      </c>
      <c r="N39" s="35" t="s">
        <v>42</v>
      </c>
      <c r="O39" s="35" t="s">
        <v>43</v>
      </c>
      <c r="P39" s="39" t="s">
        <v>44</v>
      </c>
      <c r="Q39" s="39">
        <v>23979</v>
      </c>
      <c r="R39" s="39">
        <v>22951</v>
      </c>
      <c r="S39" s="39">
        <v>14388</v>
      </c>
      <c r="T39" s="39">
        <v>7194</v>
      </c>
      <c r="U39" s="39">
        <v>959</v>
      </c>
      <c r="V39" s="39">
        <v>719</v>
      </c>
      <c r="W39" s="39">
        <v>0</v>
      </c>
      <c r="X39" s="39">
        <v>0</v>
      </c>
      <c r="Y39" s="39">
        <v>719</v>
      </c>
      <c r="Z39" s="39">
        <v>719</v>
      </c>
      <c r="AA39" s="39">
        <v>0</v>
      </c>
      <c r="AB39" s="39">
        <v>0</v>
      </c>
      <c r="AC39" s="39">
        <v>0</v>
      </c>
      <c r="AD39" s="39">
        <v>0</v>
      </c>
      <c r="AE39" s="39">
        <v>1028</v>
      </c>
      <c r="AF39" s="39">
        <v>0</v>
      </c>
      <c r="AG39" s="39">
        <v>0</v>
      </c>
      <c r="AH39" s="39">
        <v>0</v>
      </c>
      <c r="AI39" s="39">
        <v>0</v>
      </c>
      <c r="AJ39" s="39">
        <f>'Row data'!$S39+'Row data'!$T39+'Row data'!$U39+'Row data'!$W39+'Row data'!$X39+'Row data'!$Y39+'Row data'!$Z39+'Row data'!$AA39+'Row data'!$AB39+'Row data'!$AD39-'Row data'!$AC39-'Row data'!$AE39-'Row data'!$AF39-'Row data'!$AG39-'Row data'!$AH39-'Row data'!$AI39</f>
        <v>22951</v>
      </c>
      <c r="AK39" s="39">
        <v>22951</v>
      </c>
      <c r="AL39" s="39">
        <v>0</v>
      </c>
    </row>
    <row r="40" spans="1:38" x14ac:dyDescent="0.3">
      <c r="A40" s="40">
        <v>39</v>
      </c>
      <c r="B40" s="35" t="s">
        <v>69</v>
      </c>
      <c r="C40" s="35">
        <v>6897300</v>
      </c>
      <c r="D40" s="36" t="s">
        <v>159</v>
      </c>
      <c r="E40" s="35" t="s">
        <v>38</v>
      </c>
      <c r="F40" s="35" t="s">
        <v>150</v>
      </c>
      <c r="G40" s="35" t="s">
        <v>160</v>
      </c>
      <c r="H40" s="37" t="s">
        <v>161</v>
      </c>
      <c r="I40" s="38">
        <v>36642</v>
      </c>
      <c r="J40" s="38"/>
      <c r="K40" s="17"/>
      <c r="L40" s="38">
        <v>29698</v>
      </c>
      <c r="M40" s="35">
        <f ca="1">IF('Row data'!$J40="",DATEDIF('Row data'!$L40,TODAY(),"y"),"0")</f>
        <v>45</v>
      </c>
      <c r="N40" s="35" t="s">
        <v>42</v>
      </c>
      <c r="O40" s="35" t="s">
        <v>43</v>
      </c>
      <c r="P40" s="39" t="s">
        <v>44</v>
      </c>
      <c r="Q40" s="39">
        <v>22891</v>
      </c>
      <c r="R40" s="39">
        <v>17891</v>
      </c>
      <c r="S40" s="39">
        <v>13734</v>
      </c>
      <c r="T40" s="39">
        <v>6867</v>
      </c>
      <c r="U40" s="39">
        <v>916</v>
      </c>
      <c r="V40" s="39">
        <v>687</v>
      </c>
      <c r="W40" s="39">
        <v>0</v>
      </c>
      <c r="X40" s="39">
        <v>0</v>
      </c>
      <c r="Y40" s="39">
        <v>687</v>
      </c>
      <c r="Z40" s="39">
        <v>687</v>
      </c>
      <c r="AA40" s="39">
        <v>250</v>
      </c>
      <c r="AB40" s="39">
        <v>0</v>
      </c>
      <c r="AC40" s="39">
        <v>-5000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9">
        <v>0</v>
      </c>
      <c r="AJ40" s="39">
        <f>'Row data'!$S40+'Row data'!$T40+'Row data'!$U40+'Row data'!$W40+'Row data'!$X40+'Row data'!$Y40+'Row data'!$Z40+'Row data'!$AA40+'Row data'!$AB40+'Row data'!$AD40-'Row data'!$AC40-'Row data'!$AE40-'Row data'!$AF40-'Row data'!$AG40-'Row data'!$AH40-'Row data'!$AI40</f>
        <v>28141</v>
      </c>
      <c r="AK40" s="39">
        <v>18141</v>
      </c>
      <c r="AL40" s="39">
        <v>0</v>
      </c>
    </row>
    <row r="41" spans="1:38" x14ac:dyDescent="0.3">
      <c r="A41" s="40">
        <v>40</v>
      </c>
      <c r="B41" s="35" t="s">
        <v>69</v>
      </c>
      <c r="C41" s="35">
        <v>8017877</v>
      </c>
      <c r="D41" s="36" t="s">
        <v>162</v>
      </c>
      <c r="E41" s="35" t="s">
        <v>38</v>
      </c>
      <c r="F41" s="35" t="s">
        <v>163</v>
      </c>
      <c r="G41" s="35" t="s">
        <v>164</v>
      </c>
      <c r="H41" s="37" t="s">
        <v>165</v>
      </c>
      <c r="I41" s="38">
        <v>34982</v>
      </c>
      <c r="J41" s="38"/>
      <c r="K41" s="17"/>
      <c r="L41" s="38">
        <v>25934</v>
      </c>
      <c r="M41" s="35">
        <f ca="1">IF('Row data'!$J41="",DATEDIF('Row data'!$L41,TODAY(),"y"),"0")</f>
        <v>55</v>
      </c>
      <c r="N41" s="35" t="s">
        <v>42</v>
      </c>
      <c r="O41" s="35" t="s">
        <v>43</v>
      </c>
      <c r="P41" s="39" t="s">
        <v>44</v>
      </c>
      <c r="Q41" s="39">
        <v>26421</v>
      </c>
      <c r="R41" s="39">
        <v>26421</v>
      </c>
      <c r="S41" s="39">
        <v>15852</v>
      </c>
      <c r="T41" s="39">
        <v>7926</v>
      </c>
      <c r="U41" s="39">
        <v>1057</v>
      </c>
      <c r="V41" s="39">
        <v>793</v>
      </c>
      <c r="W41" s="39">
        <v>0</v>
      </c>
      <c r="X41" s="39">
        <v>0</v>
      </c>
      <c r="Y41" s="39">
        <v>793</v>
      </c>
      <c r="Z41" s="39">
        <v>793</v>
      </c>
      <c r="AA41" s="39">
        <v>0</v>
      </c>
      <c r="AB41" s="39">
        <v>0</v>
      </c>
      <c r="AC41" s="39">
        <v>0</v>
      </c>
      <c r="AD41" s="39">
        <v>0</v>
      </c>
      <c r="AE41" s="39">
        <v>0</v>
      </c>
      <c r="AF41" s="39">
        <v>0</v>
      </c>
      <c r="AG41" s="39">
        <v>3000</v>
      </c>
      <c r="AH41" s="39">
        <v>0</v>
      </c>
      <c r="AI41" s="39">
        <v>0</v>
      </c>
      <c r="AJ41" s="39">
        <f>'Row data'!$S41+'Row data'!$T41+'Row data'!$U41+'Row data'!$W41+'Row data'!$X41+'Row data'!$Y41+'Row data'!$Z41+'Row data'!$AA41+'Row data'!$AB41+'Row data'!$AD41-'Row data'!$AC41-'Row data'!$AE41-'Row data'!$AF41-'Row data'!$AG41-'Row data'!$AH41-'Row data'!$AI41</f>
        <v>23421</v>
      </c>
      <c r="AK41" s="39">
        <v>23421</v>
      </c>
      <c r="AL41" s="39">
        <v>0</v>
      </c>
    </row>
    <row r="42" spans="1:38" x14ac:dyDescent="0.3">
      <c r="A42" s="40">
        <v>41</v>
      </c>
      <c r="B42" s="35" t="s">
        <v>69</v>
      </c>
      <c r="C42" s="35">
        <v>6776594</v>
      </c>
      <c r="D42" s="36" t="s">
        <v>166</v>
      </c>
      <c r="E42" s="35" t="s">
        <v>38</v>
      </c>
      <c r="F42" s="35" t="s">
        <v>163</v>
      </c>
      <c r="G42" s="35" t="s">
        <v>154</v>
      </c>
      <c r="H42" s="37" t="s">
        <v>167</v>
      </c>
      <c r="I42" s="38">
        <v>44352</v>
      </c>
      <c r="J42" s="38"/>
      <c r="K42" s="17"/>
      <c r="L42" s="38">
        <v>32051</v>
      </c>
      <c r="M42" s="35">
        <f ca="1">IF('Row data'!$J42="",DATEDIF('Row data'!$L42,TODAY(),"y"),"0")</f>
        <v>38</v>
      </c>
      <c r="N42" s="35" t="s">
        <v>42</v>
      </c>
      <c r="O42" s="35" t="s">
        <v>43</v>
      </c>
      <c r="P42" s="39" t="s">
        <v>44</v>
      </c>
      <c r="Q42" s="39">
        <v>40875</v>
      </c>
      <c r="R42" s="39">
        <v>40875</v>
      </c>
      <c r="S42" s="39">
        <v>24525</v>
      </c>
      <c r="T42" s="39">
        <v>12263</v>
      </c>
      <c r="U42" s="39">
        <v>1635</v>
      </c>
      <c r="V42" s="39">
        <v>1226</v>
      </c>
      <c r="W42" s="39">
        <v>0</v>
      </c>
      <c r="X42" s="39">
        <v>0</v>
      </c>
      <c r="Y42" s="39">
        <v>1226</v>
      </c>
      <c r="Z42" s="39">
        <v>1226</v>
      </c>
      <c r="AA42" s="39">
        <v>0</v>
      </c>
      <c r="AB42" s="39">
        <v>0</v>
      </c>
      <c r="AC42" s="39">
        <v>0</v>
      </c>
      <c r="AD42" s="39">
        <v>0</v>
      </c>
      <c r="AE42" s="39">
        <v>0</v>
      </c>
      <c r="AF42" s="39">
        <v>0</v>
      </c>
      <c r="AG42" s="39">
        <v>0</v>
      </c>
      <c r="AH42" s="39">
        <v>0</v>
      </c>
      <c r="AI42" s="39">
        <v>0</v>
      </c>
      <c r="AJ42" s="39">
        <f>'Row data'!$S42+'Row data'!$T42+'Row data'!$U42+'Row data'!$W42+'Row data'!$X42+'Row data'!$Y42+'Row data'!$Z42+'Row data'!$AA42+'Row data'!$AB42+'Row data'!$AD42-'Row data'!$AC42-'Row data'!$AE42-'Row data'!$AF42-'Row data'!$AG42-'Row data'!$AH42-'Row data'!$AI42</f>
        <v>40875</v>
      </c>
      <c r="AK42" s="39">
        <v>40875</v>
      </c>
      <c r="AL42" s="39">
        <v>0</v>
      </c>
    </row>
    <row r="43" spans="1:38" x14ac:dyDescent="0.3">
      <c r="A43" s="40">
        <v>42</v>
      </c>
      <c r="B43" s="35" t="s">
        <v>69</v>
      </c>
      <c r="C43" s="35">
        <v>8801301</v>
      </c>
      <c r="D43" s="36" t="s">
        <v>168</v>
      </c>
      <c r="E43" s="35" t="s">
        <v>38</v>
      </c>
      <c r="F43" s="35" t="s">
        <v>169</v>
      </c>
      <c r="G43" s="35" t="s">
        <v>170</v>
      </c>
      <c r="H43" s="37" t="s">
        <v>171</v>
      </c>
      <c r="I43" s="38">
        <v>42409</v>
      </c>
      <c r="J43" s="38">
        <v>44572</v>
      </c>
      <c r="K43" s="17">
        <f>YEAR('Row data'!$J43)</f>
        <v>2022</v>
      </c>
      <c r="L43" s="38">
        <v>34895</v>
      </c>
      <c r="M43" s="35" t="str">
        <f ca="1">IF('Row data'!$J43="",DATEDIF('Row data'!$L43,TODAY(),"y"),"0")</f>
        <v>0</v>
      </c>
      <c r="N43" s="35" t="s">
        <v>42</v>
      </c>
      <c r="O43" s="35" t="s">
        <v>43</v>
      </c>
      <c r="P43" s="39" t="s">
        <v>44</v>
      </c>
      <c r="Q43" s="39">
        <v>16097</v>
      </c>
      <c r="R43" s="39">
        <v>16097</v>
      </c>
      <c r="S43" s="39">
        <v>9658</v>
      </c>
      <c r="T43" s="39">
        <v>4829</v>
      </c>
      <c r="U43" s="39">
        <v>644</v>
      </c>
      <c r="V43" s="39">
        <v>483</v>
      </c>
      <c r="W43" s="39">
        <v>0</v>
      </c>
      <c r="X43" s="39">
        <v>0</v>
      </c>
      <c r="Y43" s="39">
        <v>483</v>
      </c>
      <c r="Z43" s="39">
        <v>483</v>
      </c>
      <c r="AA43" s="39">
        <v>0</v>
      </c>
      <c r="AB43" s="39">
        <v>0</v>
      </c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>
        <v>0</v>
      </c>
      <c r="AI43" s="39">
        <v>0</v>
      </c>
      <c r="AJ43" s="39">
        <f>'Row data'!$S43+'Row data'!$T43+'Row data'!$U43+'Row data'!$W43+'Row data'!$X43+'Row data'!$Y43+'Row data'!$Z43+'Row data'!$AA43+'Row data'!$AB43+'Row data'!$AD43-'Row data'!$AC43-'Row data'!$AE43-'Row data'!$AF43-'Row data'!$AG43-'Row data'!$AH43-'Row data'!$AI43</f>
        <v>16097</v>
      </c>
      <c r="AK43" s="39">
        <v>16097</v>
      </c>
      <c r="AL43" s="39">
        <v>0</v>
      </c>
    </row>
    <row r="44" spans="1:38" x14ac:dyDescent="0.3">
      <c r="A44" s="40">
        <v>43</v>
      </c>
      <c r="B44" s="35" t="s">
        <v>69</v>
      </c>
      <c r="C44" s="35">
        <v>9717095</v>
      </c>
      <c r="D44" s="36" t="s">
        <v>172</v>
      </c>
      <c r="E44" s="35" t="s">
        <v>38</v>
      </c>
      <c r="F44" s="35" t="s">
        <v>169</v>
      </c>
      <c r="G44" s="35" t="s">
        <v>160</v>
      </c>
      <c r="H44" s="37" t="s">
        <v>173</v>
      </c>
      <c r="I44" s="38">
        <v>43179</v>
      </c>
      <c r="J44" s="38"/>
      <c r="K44" s="17"/>
      <c r="L44" s="38">
        <v>35648</v>
      </c>
      <c r="M44" s="35">
        <f ca="1">IF('Row data'!$J44="",DATEDIF('Row data'!$L44,TODAY(),"y"),"0")</f>
        <v>29</v>
      </c>
      <c r="N44" s="35" t="s">
        <v>42</v>
      </c>
      <c r="O44" s="35" t="s">
        <v>43</v>
      </c>
      <c r="P44" s="39" t="s">
        <v>44</v>
      </c>
      <c r="Q44" s="39">
        <v>16532</v>
      </c>
      <c r="R44" s="39">
        <v>16178</v>
      </c>
      <c r="S44" s="39">
        <v>9919</v>
      </c>
      <c r="T44" s="39">
        <v>4960</v>
      </c>
      <c r="U44" s="39">
        <v>661</v>
      </c>
      <c r="V44" s="39">
        <v>496</v>
      </c>
      <c r="W44" s="39">
        <v>0</v>
      </c>
      <c r="X44" s="39">
        <v>0</v>
      </c>
      <c r="Y44" s="39">
        <v>496</v>
      </c>
      <c r="Z44" s="39">
        <v>496</v>
      </c>
      <c r="AA44" s="39">
        <v>0</v>
      </c>
      <c r="AB44" s="39">
        <v>0</v>
      </c>
      <c r="AC44" s="39">
        <v>0</v>
      </c>
      <c r="AD44" s="39">
        <v>0</v>
      </c>
      <c r="AE44" s="39">
        <v>354</v>
      </c>
      <c r="AF44" s="39">
        <v>0</v>
      </c>
      <c r="AG44" s="39">
        <v>0</v>
      </c>
      <c r="AH44" s="39">
        <v>0</v>
      </c>
      <c r="AI44" s="39">
        <v>0</v>
      </c>
      <c r="AJ44" s="39">
        <f>'Row data'!$S44+'Row data'!$T44+'Row data'!$U44+'Row data'!$W44+'Row data'!$X44+'Row data'!$Y44+'Row data'!$Z44+'Row data'!$AA44+'Row data'!$AB44+'Row data'!$AD44-'Row data'!$AC44-'Row data'!$AE44-'Row data'!$AF44-'Row data'!$AG44-'Row data'!$AH44-'Row data'!$AI44</f>
        <v>16178</v>
      </c>
      <c r="AK44" s="39">
        <v>16178</v>
      </c>
      <c r="AL44" s="39">
        <v>0</v>
      </c>
    </row>
    <row r="45" spans="1:38" x14ac:dyDescent="0.3">
      <c r="A45" s="40">
        <v>44</v>
      </c>
      <c r="B45" s="35" t="s">
        <v>69</v>
      </c>
      <c r="C45" s="35">
        <v>7773498</v>
      </c>
      <c r="D45" s="36" t="s">
        <v>174</v>
      </c>
      <c r="E45" s="35" t="s">
        <v>38</v>
      </c>
      <c r="F45" s="35" t="s">
        <v>169</v>
      </c>
      <c r="G45" s="35" t="s">
        <v>175</v>
      </c>
      <c r="H45" s="37" t="s">
        <v>176</v>
      </c>
      <c r="I45" s="38">
        <v>42448</v>
      </c>
      <c r="J45" s="38"/>
      <c r="K45" s="17"/>
      <c r="L45" s="38">
        <v>34745</v>
      </c>
      <c r="M45" s="35">
        <f ca="1">IF('Row data'!$J45="",DATEDIF('Row data'!$L45,TODAY(),"y"),"0")</f>
        <v>31</v>
      </c>
      <c r="N45" s="35" t="s">
        <v>42</v>
      </c>
      <c r="O45" s="35" t="s">
        <v>43</v>
      </c>
      <c r="P45" s="39" t="s">
        <v>44</v>
      </c>
      <c r="Q45" s="39">
        <v>22891</v>
      </c>
      <c r="R45" s="39">
        <v>22891</v>
      </c>
      <c r="S45" s="39">
        <v>13734</v>
      </c>
      <c r="T45" s="39">
        <v>6867</v>
      </c>
      <c r="U45" s="39">
        <v>916</v>
      </c>
      <c r="V45" s="39">
        <v>687</v>
      </c>
      <c r="W45" s="39">
        <v>0</v>
      </c>
      <c r="X45" s="39">
        <v>0</v>
      </c>
      <c r="Y45" s="39">
        <v>687</v>
      </c>
      <c r="Z45" s="39">
        <v>687</v>
      </c>
      <c r="AA45" s="39">
        <v>0</v>
      </c>
      <c r="AB45" s="39">
        <v>0</v>
      </c>
      <c r="AC45" s="39">
        <v>0</v>
      </c>
      <c r="AD45" s="39">
        <v>0</v>
      </c>
      <c r="AE45" s="39">
        <v>0</v>
      </c>
      <c r="AF45" s="39">
        <v>0</v>
      </c>
      <c r="AG45" s="39">
        <v>0</v>
      </c>
      <c r="AH45" s="39">
        <v>0</v>
      </c>
      <c r="AI45" s="39">
        <v>0</v>
      </c>
      <c r="AJ45" s="39">
        <f>'Row data'!$S45+'Row data'!$T45+'Row data'!$U45+'Row data'!$W45+'Row data'!$X45+'Row data'!$Y45+'Row data'!$Z45+'Row data'!$AA45+'Row data'!$AB45+'Row data'!$AD45-'Row data'!$AC45-'Row data'!$AE45-'Row data'!$AF45-'Row data'!$AG45-'Row data'!$AH45-'Row data'!$AI45</f>
        <v>22891</v>
      </c>
      <c r="AK45" s="39">
        <v>22891</v>
      </c>
      <c r="AL45" s="39">
        <v>0</v>
      </c>
    </row>
    <row r="46" spans="1:38" x14ac:dyDescent="0.3">
      <c r="A46" s="40">
        <v>45</v>
      </c>
      <c r="B46" s="35" t="s">
        <v>69</v>
      </c>
      <c r="C46" s="35">
        <v>6974260</v>
      </c>
      <c r="D46" s="36" t="s">
        <v>177</v>
      </c>
      <c r="E46" s="35" t="s">
        <v>38</v>
      </c>
      <c r="F46" s="35" t="s">
        <v>169</v>
      </c>
      <c r="G46" s="35" t="s">
        <v>160</v>
      </c>
      <c r="H46" s="37" t="s">
        <v>178</v>
      </c>
      <c r="I46" s="38">
        <v>43138</v>
      </c>
      <c r="J46" s="38"/>
      <c r="K46" s="17"/>
      <c r="L46" s="38">
        <v>36239</v>
      </c>
      <c r="M46" s="35">
        <f ca="1">IF('Row data'!$J46="",DATEDIF('Row data'!$L46,TODAY(),"y"),"0")</f>
        <v>27</v>
      </c>
      <c r="N46" s="35" t="s">
        <v>42</v>
      </c>
      <c r="O46" s="35" t="s">
        <v>43</v>
      </c>
      <c r="P46" s="39" t="s">
        <v>44</v>
      </c>
      <c r="Q46" s="39">
        <v>16532</v>
      </c>
      <c r="R46" s="39">
        <v>16532</v>
      </c>
      <c r="S46" s="39">
        <v>9919</v>
      </c>
      <c r="T46" s="39">
        <v>4960</v>
      </c>
      <c r="U46" s="39">
        <v>661</v>
      </c>
      <c r="V46" s="39">
        <v>496</v>
      </c>
      <c r="W46" s="39">
        <v>0</v>
      </c>
      <c r="X46" s="39">
        <v>0</v>
      </c>
      <c r="Y46" s="39">
        <v>496</v>
      </c>
      <c r="Z46" s="39">
        <v>496</v>
      </c>
      <c r="AA46" s="39">
        <v>0</v>
      </c>
      <c r="AB46" s="39">
        <v>0</v>
      </c>
      <c r="AC46" s="39">
        <v>0</v>
      </c>
      <c r="AD46" s="39">
        <v>0</v>
      </c>
      <c r="AE46" s="39">
        <v>0</v>
      </c>
      <c r="AF46" s="39">
        <v>0</v>
      </c>
      <c r="AG46" s="39">
        <v>0</v>
      </c>
      <c r="AH46" s="39">
        <v>0</v>
      </c>
      <c r="AI46" s="39">
        <v>0</v>
      </c>
      <c r="AJ46" s="39">
        <f>'Row data'!$S46+'Row data'!$T46+'Row data'!$U46+'Row data'!$W46+'Row data'!$X46+'Row data'!$Y46+'Row data'!$Z46+'Row data'!$AA46+'Row data'!$AB46+'Row data'!$AD46-'Row data'!$AC46-'Row data'!$AE46-'Row data'!$AF46-'Row data'!$AG46-'Row data'!$AH46-'Row data'!$AI46</f>
        <v>16532</v>
      </c>
      <c r="AK46" s="39">
        <v>16532</v>
      </c>
      <c r="AL46" s="39">
        <v>0</v>
      </c>
    </row>
    <row r="47" spans="1:38" x14ac:dyDescent="0.3">
      <c r="A47" s="40">
        <v>46</v>
      </c>
      <c r="B47" s="35" t="s">
        <v>69</v>
      </c>
      <c r="C47" s="35">
        <v>9531431</v>
      </c>
      <c r="D47" s="36" t="s">
        <v>179</v>
      </c>
      <c r="E47" s="35" t="s">
        <v>38</v>
      </c>
      <c r="F47" s="35" t="s">
        <v>169</v>
      </c>
      <c r="G47" s="35" t="s">
        <v>154</v>
      </c>
      <c r="H47" s="37" t="s">
        <v>180</v>
      </c>
      <c r="I47" s="38">
        <v>42064</v>
      </c>
      <c r="J47" s="38"/>
      <c r="K47" s="17"/>
      <c r="L47" s="38">
        <v>30669</v>
      </c>
      <c r="M47" s="35">
        <f ca="1">IF('Row data'!$J47="",DATEDIF('Row data'!$L47,TODAY(),"y"),"0")</f>
        <v>42</v>
      </c>
      <c r="N47" s="35" t="s">
        <v>42</v>
      </c>
      <c r="O47" s="35" t="s">
        <v>43</v>
      </c>
      <c r="P47" s="39" t="s">
        <v>44</v>
      </c>
      <c r="Q47" s="39">
        <v>25070</v>
      </c>
      <c r="R47" s="39">
        <v>25070</v>
      </c>
      <c r="S47" s="39">
        <v>15042</v>
      </c>
      <c r="T47" s="39">
        <v>7521</v>
      </c>
      <c r="U47" s="39">
        <v>1003</v>
      </c>
      <c r="V47" s="39">
        <v>752</v>
      </c>
      <c r="W47" s="39">
        <v>0</v>
      </c>
      <c r="X47" s="39">
        <v>0</v>
      </c>
      <c r="Y47" s="39">
        <v>752</v>
      </c>
      <c r="Z47" s="39">
        <v>752</v>
      </c>
      <c r="AA47" s="39">
        <v>0</v>
      </c>
      <c r="AB47" s="39">
        <v>0</v>
      </c>
      <c r="AC47" s="39">
        <v>0</v>
      </c>
      <c r="AD47" s="39">
        <v>0</v>
      </c>
      <c r="AE47" s="39">
        <v>0</v>
      </c>
      <c r="AF47" s="39">
        <v>0</v>
      </c>
      <c r="AG47" s="39">
        <v>0</v>
      </c>
      <c r="AH47" s="39">
        <v>0</v>
      </c>
      <c r="AI47" s="39">
        <v>0</v>
      </c>
      <c r="AJ47" s="39">
        <f>'Row data'!$S47+'Row data'!$T47+'Row data'!$U47+'Row data'!$W47+'Row data'!$X47+'Row data'!$Y47+'Row data'!$Z47+'Row data'!$AA47+'Row data'!$AB47+'Row data'!$AD47-'Row data'!$AC47-'Row data'!$AE47-'Row data'!$AF47-'Row data'!$AG47-'Row data'!$AH47-'Row data'!$AI47</f>
        <v>25070</v>
      </c>
      <c r="AK47" s="39">
        <v>25070</v>
      </c>
      <c r="AL47" s="39">
        <v>0</v>
      </c>
    </row>
    <row r="48" spans="1:38" x14ac:dyDescent="0.3">
      <c r="A48" s="40">
        <v>47</v>
      </c>
      <c r="B48" s="35" t="s">
        <v>69</v>
      </c>
      <c r="C48" s="35">
        <v>7243992</v>
      </c>
      <c r="D48" s="36" t="s">
        <v>181</v>
      </c>
      <c r="E48" s="35" t="s">
        <v>38</v>
      </c>
      <c r="F48" s="35" t="s">
        <v>169</v>
      </c>
      <c r="G48" s="35" t="s">
        <v>182</v>
      </c>
      <c r="H48" s="37" t="s">
        <v>183</v>
      </c>
      <c r="I48" s="38">
        <v>42140</v>
      </c>
      <c r="J48" s="38"/>
      <c r="K48" s="17"/>
      <c r="L48" s="38">
        <v>34650</v>
      </c>
      <c r="M48" s="35">
        <f ca="1">IF('Row data'!$J48="",DATEDIF('Row data'!$L48,TODAY(),"y"),"0")</f>
        <v>31</v>
      </c>
      <c r="N48" s="35" t="s">
        <v>42</v>
      </c>
      <c r="O48" s="35" t="s">
        <v>43</v>
      </c>
      <c r="P48" s="39" t="s">
        <v>44</v>
      </c>
      <c r="Q48" s="39">
        <v>24264</v>
      </c>
      <c r="R48" s="39">
        <v>24264</v>
      </c>
      <c r="S48" s="39">
        <v>14558</v>
      </c>
      <c r="T48" s="39">
        <v>7279</v>
      </c>
      <c r="U48" s="39">
        <v>971</v>
      </c>
      <c r="V48" s="39">
        <v>728</v>
      </c>
      <c r="W48" s="39">
        <v>0</v>
      </c>
      <c r="X48" s="39">
        <v>0</v>
      </c>
      <c r="Y48" s="39">
        <v>728</v>
      </c>
      <c r="Z48" s="39">
        <v>728</v>
      </c>
      <c r="AA48" s="39">
        <v>0</v>
      </c>
      <c r="AB48" s="39">
        <v>0</v>
      </c>
      <c r="AC48" s="39">
        <v>0</v>
      </c>
      <c r="AD48" s="39">
        <v>0</v>
      </c>
      <c r="AE48" s="39">
        <v>0</v>
      </c>
      <c r="AF48" s="39">
        <v>0</v>
      </c>
      <c r="AG48" s="39">
        <v>0</v>
      </c>
      <c r="AH48" s="39">
        <v>0</v>
      </c>
      <c r="AI48" s="39">
        <v>0</v>
      </c>
      <c r="AJ48" s="39">
        <f>'Row data'!$S48+'Row data'!$T48+'Row data'!$U48+'Row data'!$W48+'Row data'!$X48+'Row data'!$Y48+'Row data'!$Z48+'Row data'!$AA48+'Row data'!$AB48+'Row data'!$AD48-'Row data'!$AC48-'Row data'!$AE48-'Row data'!$AF48-'Row data'!$AG48-'Row data'!$AH48-'Row data'!$AI48</f>
        <v>24264</v>
      </c>
      <c r="AK48" s="39">
        <v>24264</v>
      </c>
      <c r="AL48" s="39">
        <v>0</v>
      </c>
    </row>
    <row r="49" spans="1:38" x14ac:dyDescent="0.3">
      <c r="A49" s="40">
        <v>48</v>
      </c>
      <c r="B49" s="35" t="s">
        <v>69</v>
      </c>
      <c r="C49" s="35">
        <v>6758752</v>
      </c>
      <c r="D49" s="36" t="s">
        <v>184</v>
      </c>
      <c r="E49" s="35" t="s">
        <v>38</v>
      </c>
      <c r="F49" s="35" t="s">
        <v>169</v>
      </c>
      <c r="G49" s="35" t="s">
        <v>185</v>
      </c>
      <c r="H49" s="37"/>
      <c r="I49" s="38">
        <v>45048</v>
      </c>
      <c r="J49" s="38"/>
      <c r="K49" s="17"/>
      <c r="L49" s="38">
        <v>38364</v>
      </c>
      <c r="M49" s="35">
        <f ca="1">IF('Row data'!$J49="",DATEDIF('Row data'!$L49,TODAY(),"y"),"0")</f>
        <v>21</v>
      </c>
      <c r="N49" s="35" t="s">
        <v>42</v>
      </c>
      <c r="O49" s="35" t="s">
        <v>43</v>
      </c>
      <c r="P49" s="39" t="s">
        <v>44</v>
      </c>
      <c r="Q49" s="39">
        <v>16048</v>
      </c>
      <c r="R49" s="39">
        <v>16048</v>
      </c>
      <c r="S49" s="39">
        <v>9629</v>
      </c>
      <c r="T49" s="39">
        <v>4815</v>
      </c>
      <c r="U49" s="39">
        <v>642</v>
      </c>
      <c r="V49" s="39">
        <v>481</v>
      </c>
      <c r="W49" s="39">
        <v>0</v>
      </c>
      <c r="X49" s="39">
        <v>0</v>
      </c>
      <c r="Y49" s="39">
        <v>481</v>
      </c>
      <c r="Z49" s="39">
        <v>481</v>
      </c>
      <c r="AA49" s="39">
        <v>0</v>
      </c>
      <c r="AB49" s="39">
        <v>0</v>
      </c>
      <c r="AC49" s="39">
        <v>0</v>
      </c>
      <c r="AD49" s="39">
        <v>0</v>
      </c>
      <c r="AE49" s="39">
        <v>0</v>
      </c>
      <c r="AF49" s="39">
        <v>0</v>
      </c>
      <c r="AG49" s="39">
        <v>0</v>
      </c>
      <c r="AH49" s="39">
        <v>0</v>
      </c>
      <c r="AI49" s="39">
        <v>0</v>
      </c>
      <c r="AJ49" s="39">
        <f>'Row data'!$S49+'Row data'!$T49+'Row data'!$U49+'Row data'!$W49+'Row data'!$X49+'Row data'!$Y49+'Row data'!$Z49+'Row data'!$AA49+'Row data'!$AB49+'Row data'!$AD49-'Row data'!$AC49-'Row data'!$AE49-'Row data'!$AF49-'Row data'!$AG49-'Row data'!$AH49-'Row data'!$AI49</f>
        <v>16048</v>
      </c>
      <c r="AK49" s="39">
        <v>16048</v>
      </c>
      <c r="AL49" s="39">
        <v>0</v>
      </c>
    </row>
    <row r="50" spans="1:38" x14ac:dyDescent="0.3">
      <c r="A50" s="40">
        <v>49</v>
      </c>
      <c r="B50" s="35" t="s">
        <v>69</v>
      </c>
      <c r="C50" s="35">
        <v>6089090</v>
      </c>
      <c r="D50" s="36" t="s">
        <v>186</v>
      </c>
      <c r="E50" s="35" t="s">
        <v>187</v>
      </c>
      <c r="F50" s="35" t="s">
        <v>187</v>
      </c>
      <c r="G50" s="35" t="s">
        <v>188</v>
      </c>
      <c r="H50" s="37" t="s">
        <v>189</v>
      </c>
      <c r="I50" s="38">
        <v>45202</v>
      </c>
      <c r="J50" s="38"/>
      <c r="K50" s="17"/>
      <c r="L50" s="38">
        <v>32664</v>
      </c>
      <c r="M50" s="35">
        <f ca="1">IF('Row data'!$J50="",DATEDIF('Row data'!$L50,TODAY(),"y"),"0")</f>
        <v>37</v>
      </c>
      <c r="N50" s="35" t="s">
        <v>42</v>
      </c>
      <c r="O50" s="35" t="s">
        <v>43</v>
      </c>
      <c r="P50" s="39" t="s">
        <v>44</v>
      </c>
      <c r="Q50" s="39">
        <v>17386</v>
      </c>
      <c r="R50" s="39">
        <v>17212</v>
      </c>
      <c r="S50" s="39">
        <v>10431</v>
      </c>
      <c r="T50" s="39">
        <v>5216</v>
      </c>
      <c r="U50" s="39">
        <v>695</v>
      </c>
      <c r="V50" s="39">
        <v>522</v>
      </c>
      <c r="W50" s="39">
        <v>0</v>
      </c>
      <c r="X50" s="39">
        <v>0</v>
      </c>
      <c r="Y50" s="39">
        <v>522</v>
      </c>
      <c r="Z50" s="39">
        <v>522</v>
      </c>
      <c r="AA50" s="39">
        <v>0</v>
      </c>
      <c r="AB50" s="39">
        <v>0</v>
      </c>
      <c r="AC50" s="39">
        <v>-174</v>
      </c>
      <c r="AD50" s="39">
        <v>0</v>
      </c>
      <c r="AE50" s="39">
        <v>0</v>
      </c>
      <c r="AF50" s="39">
        <v>0</v>
      </c>
      <c r="AG50" s="39">
        <v>0</v>
      </c>
      <c r="AH50" s="39">
        <v>0</v>
      </c>
      <c r="AI50" s="39">
        <v>0</v>
      </c>
      <c r="AJ50" s="39">
        <f>'Row data'!$S50+'Row data'!$T50+'Row data'!$U50+'Row data'!$W50+'Row data'!$X50+'Row data'!$Y50+'Row data'!$Z50+'Row data'!$AA50+'Row data'!$AB50+'Row data'!$AD50-'Row data'!$AC50-'Row data'!$AE50-'Row data'!$AF50-'Row data'!$AG50-'Row data'!$AH50-'Row data'!$AI50</f>
        <v>17560</v>
      </c>
      <c r="AK50" s="39">
        <v>17212</v>
      </c>
      <c r="AL50" s="39">
        <v>0</v>
      </c>
    </row>
    <row r="51" spans="1:38" x14ac:dyDescent="0.3">
      <c r="A51" s="40">
        <v>50</v>
      </c>
      <c r="B51" s="35" t="s">
        <v>69</v>
      </c>
      <c r="C51" s="35">
        <v>8660049</v>
      </c>
      <c r="D51" s="36" t="s">
        <v>190</v>
      </c>
      <c r="E51" s="35" t="s">
        <v>187</v>
      </c>
      <c r="F51" s="35" t="s">
        <v>187</v>
      </c>
      <c r="G51" s="35" t="s">
        <v>191</v>
      </c>
      <c r="H51" s="37" t="s">
        <v>192</v>
      </c>
      <c r="I51" s="38">
        <v>41597</v>
      </c>
      <c r="J51" s="38">
        <v>44812</v>
      </c>
      <c r="K51" s="17">
        <f>YEAR('Row data'!$J51)</f>
        <v>2022</v>
      </c>
      <c r="L51" s="38">
        <v>33855</v>
      </c>
      <c r="M51" s="35" t="str">
        <f ca="1">IF('Row data'!$J51="",DATEDIF('Row data'!$L51,TODAY(),"y"),"0")</f>
        <v>0</v>
      </c>
      <c r="N51" s="35" t="s">
        <v>42</v>
      </c>
      <c r="O51" s="35" t="s">
        <v>43</v>
      </c>
      <c r="P51" s="39" t="s">
        <v>44</v>
      </c>
      <c r="Q51" s="39">
        <v>29103</v>
      </c>
      <c r="R51" s="39">
        <v>25103</v>
      </c>
      <c r="S51" s="39">
        <v>17462</v>
      </c>
      <c r="T51" s="39">
        <v>8731</v>
      </c>
      <c r="U51" s="39">
        <v>1164</v>
      </c>
      <c r="V51" s="39">
        <v>873</v>
      </c>
      <c r="W51" s="39">
        <v>0</v>
      </c>
      <c r="X51" s="39">
        <v>0</v>
      </c>
      <c r="Y51" s="39">
        <v>873</v>
      </c>
      <c r="Z51" s="39">
        <v>873</v>
      </c>
      <c r="AA51" s="39">
        <v>0</v>
      </c>
      <c r="AB51" s="39">
        <v>0</v>
      </c>
      <c r="AC51" s="39">
        <v>-4000</v>
      </c>
      <c r="AD51" s="39">
        <v>0</v>
      </c>
      <c r="AE51" s="39">
        <v>0</v>
      </c>
      <c r="AF51" s="39">
        <v>0</v>
      </c>
      <c r="AG51" s="39">
        <v>0</v>
      </c>
      <c r="AH51" s="39">
        <v>0</v>
      </c>
      <c r="AI51" s="39">
        <v>0</v>
      </c>
      <c r="AJ51" s="39">
        <f>'Row data'!$S51+'Row data'!$T51+'Row data'!$U51+'Row data'!$W51+'Row data'!$X51+'Row data'!$Y51+'Row data'!$Z51+'Row data'!$AA51+'Row data'!$AB51+'Row data'!$AD51-'Row data'!$AC51-'Row data'!$AE51-'Row data'!$AF51-'Row data'!$AG51-'Row data'!$AH51-'Row data'!$AI51</f>
        <v>33103</v>
      </c>
      <c r="AK51" s="39">
        <v>25103</v>
      </c>
      <c r="AL51" s="39">
        <v>0</v>
      </c>
    </row>
    <row r="52" spans="1:38" x14ac:dyDescent="0.3">
      <c r="A52" s="40">
        <v>51</v>
      </c>
      <c r="B52" s="35" t="s">
        <v>69</v>
      </c>
      <c r="C52" s="35">
        <v>6570653</v>
      </c>
      <c r="D52" s="36" t="s">
        <v>193</v>
      </c>
      <c r="E52" s="35" t="s">
        <v>187</v>
      </c>
      <c r="F52" s="35" t="s">
        <v>187</v>
      </c>
      <c r="G52" s="35" t="s">
        <v>188</v>
      </c>
      <c r="H52" s="37" t="s">
        <v>194</v>
      </c>
      <c r="I52" s="38">
        <v>43180</v>
      </c>
      <c r="J52" s="38"/>
      <c r="K52" s="17"/>
      <c r="L52" s="38">
        <v>35765</v>
      </c>
      <c r="M52" s="35">
        <f ca="1">IF('Row data'!$J52="",DATEDIF('Row data'!$L52,TODAY(),"y"),"0")</f>
        <v>28</v>
      </c>
      <c r="N52" s="35" t="s">
        <v>42</v>
      </c>
      <c r="O52" s="35" t="s">
        <v>43</v>
      </c>
      <c r="P52" s="39" t="s">
        <v>44</v>
      </c>
      <c r="Q52" s="39">
        <v>23001</v>
      </c>
      <c r="R52" s="39">
        <v>22771</v>
      </c>
      <c r="S52" s="39">
        <v>13801</v>
      </c>
      <c r="T52" s="39">
        <v>6900</v>
      </c>
      <c r="U52" s="39">
        <v>920</v>
      </c>
      <c r="V52" s="39">
        <v>690</v>
      </c>
      <c r="W52" s="39">
        <v>0</v>
      </c>
      <c r="X52" s="39">
        <v>0</v>
      </c>
      <c r="Y52" s="39">
        <v>690</v>
      </c>
      <c r="Z52" s="39">
        <v>690</v>
      </c>
      <c r="AA52" s="39">
        <v>0</v>
      </c>
      <c r="AB52" s="39">
        <v>0</v>
      </c>
      <c r="AC52" s="39">
        <v>-230</v>
      </c>
      <c r="AD52" s="39">
        <v>0</v>
      </c>
      <c r="AE52" s="39">
        <v>0</v>
      </c>
      <c r="AF52" s="39">
        <v>0</v>
      </c>
      <c r="AG52" s="39">
        <v>0</v>
      </c>
      <c r="AH52" s="39">
        <v>0</v>
      </c>
      <c r="AI52" s="39">
        <v>0</v>
      </c>
      <c r="AJ52" s="39">
        <f>'Row data'!$S52+'Row data'!$T52+'Row data'!$U52+'Row data'!$W52+'Row data'!$X52+'Row data'!$Y52+'Row data'!$Z52+'Row data'!$AA52+'Row data'!$AB52+'Row data'!$AD52-'Row data'!$AC52-'Row data'!$AE52-'Row data'!$AF52-'Row data'!$AG52-'Row data'!$AH52-'Row data'!$AI52</f>
        <v>23231</v>
      </c>
      <c r="AK52" s="39">
        <v>22771</v>
      </c>
      <c r="AL52" s="39">
        <v>0</v>
      </c>
    </row>
    <row r="53" spans="1:38" x14ac:dyDescent="0.3">
      <c r="A53" s="40">
        <v>52</v>
      </c>
      <c r="B53" s="35" t="s">
        <v>69</v>
      </c>
      <c r="C53" s="35">
        <v>6168569</v>
      </c>
      <c r="D53" s="36" t="s">
        <v>195</v>
      </c>
      <c r="E53" s="35" t="s">
        <v>65</v>
      </c>
      <c r="F53" s="35" t="s">
        <v>66</v>
      </c>
      <c r="G53" s="35" t="s">
        <v>57</v>
      </c>
      <c r="H53" s="37" t="s">
        <v>196</v>
      </c>
      <c r="I53" s="38">
        <v>45696</v>
      </c>
      <c r="J53" s="38"/>
      <c r="K53" s="17"/>
      <c r="L53" s="38">
        <v>36636</v>
      </c>
      <c r="M53" s="35">
        <f ca="1">IF('Row data'!$J53="",DATEDIF('Row data'!$L53,TODAY(),"y"),"0")</f>
        <v>26</v>
      </c>
      <c r="N53" s="35" t="s">
        <v>42</v>
      </c>
      <c r="O53" s="35" t="s">
        <v>43</v>
      </c>
      <c r="P53" s="39" t="s">
        <v>44</v>
      </c>
      <c r="Q53" s="39">
        <v>22000</v>
      </c>
      <c r="R53" s="39">
        <v>16500</v>
      </c>
      <c r="S53" s="39">
        <v>13200</v>
      </c>
      <c r="T53" s="39">
        <v>6600</v>
      </c>
      <c r="U53" s="39">
        <v>880</v>
      </c>
      <c r="V53" s="39">
        <v>660</v>
      </c>
      <c r="W53" s="39">
        <v>0</v>
      </c>
      <c r="X53" s="39">
        <v>0</v>
      </c>
      <c r="Y53" s="39">
        <v>660</v>
      </c>
      <c r="Z53" s="39">
        <v>660</v>
      </c>
      <c r="AA53" s="39">
        <v>0</v>
      </c>
      <c r="AB53" s="39">
        <v>0</v>
      </c>
      <c r="AC53" s="39">
        <v>0</v>
      </c>
      <c r="AD53" s="39">
        <v>0</v>
      </c>
      <c r="AE53" s="39">
        <v>5500</v>
      </c>
      <c r="AF53" s="39">
        <v>0</v>
      </c>
      <c r="AG53" s="39">
        <v>0</v>
      </c>
      <c r="AH53" s="39">
        <v>0</v>
      </c>
      <c r="AI53" s="39">
        <v>0</v>
      </c>
      <c r="AJ53" s="39">
        <f>'Row data'!$S53+'Row data'!$T53+'Row data'!$U53+'Row data'!$W53+'Row data'!$X53+'Row data'!$Y53+'Row data'!$Z53+'Row data'!$AA53+'Row data'!$AB53+'Row data'!$AD53-'Row data'!$AC53-'Row data'!$AE53-'Row data'!$AF53-'Row data'!$AG53-'Row data'!$AH53-'Row data'!$AI53</f>
        <v>16500</v>
      </c>
      <c r="AK53" s="39">
        <v>16500</v>
      </c>
      <c r="AL53" s="39">
        <v>0</v>
      </c>
    </row>
    <row r="54" spans="1:38" x14ac:dyDescent="0.3">
      <c r="A54" s="40">
        <v>53</v>
      </c>
      <c r="B54" s="35" t="s">
        <v>69</v>
      </c>
      <c r="C54" s="35">
        <v>5909965</v>
      </c>
      <c r="D54" s="36" t="s">
        <v>197</v>
      </c>
      <c r="E54" s="35" t="s">
        <v>65</v>
      </c>
      <c r="F54" s="35" t="s">
        <v>66</v>
      </c>
      <c r="G54" s="35" t="s">
        <v>198</v>
      </c>
      <c r="H54" s="37" t="s">
        <v>199</v>
      </c>
      <c r="I54" s="38">
        <v>44081</v>
      </c>
      <c r="J54" s="38">
        <v>44831</v>
      </c>
      <c r="K54" s="17">
        <f>YEAR('Row data'!$J54)</f>
        <v>2022</v>
      </c>
      <c r="L54" s="38">
        <v>35065</v>
      </c>
      <c r="M54" s="35" t="str">
        <f ca="1">IF('Row data'!$J54="",DATEDIF('Row data'!$L54,TODAY(),"y"),"0")</f>
        <v>0</v>
      </c>
      <c r="N54" s="35" t="s">
        <v>42</v>
      </c>
      <c r="O54" s="35" t="s">
        <v>43</v>
      </c>
      <c r="P54" s="39" t="s">
        <v>44</v>
      </c>
      <c r="Q54" s="39">
        <v>23654</v>
      </c>
      <c r="R54" s="39">
        <v>18654</v>
      </c>
      <c r="S54" s="39">
        <v>14192</v>
      </c>
      <c r="T54" s="39">
        <v>7096</v>
      </c>
      <c r="U54" s="39">
        <v>946</v>
      </c>
      <c r="V54" s="39">
        <v>710</v>
      </c>
      <c r="W54" s="39">
        <v>0</v>
      </c>
      <c r="X54" s="39">
        <v>0</v>
      </c>
      <c r="Y54" s="39">
        <v>710</v>
      </c>
      <c r="Z54" s="39">
        <v>710</v>
      </c>
      <c r="AA54" s="39">
        <v>0</v>
      </c>
      <c r="AB54" s="39">
        <v>0</v>
      </c>
      <c r="AC54" s="39">
        <v>-5000</v>
      </c>
      <c r="AD54" s="39">
        <v>0</v>
      </c>
      <c r="AE54" s="39">
        <v>0</v>
      </c>
      <c r="AF54" s="39">
        <v>0</v>
      </c>
      <c r="AG54" s="39">
        <v>0</v>
      </c>
      <c r="AH54" s="39">
        <v>0</v>
      </c>
      <c r="AI54" s="39">
        <v>0</v>
      </c>
      <c r="AJ54" s="39">
        <f>'Row data'!$S54+'Row data'!$T54+'Row data'!$U54+'Row data'!$W54+'Row data'!$X54+'Row data'!$Y54+'Row data'!$Z54+'Row data'!$AA54+'Row data'!$AB54+'Row data'!$AD54-'Row data'!$AC54-'Row data'!$AE54-'Row data'!$AF54-'Row data'!$AG54-'Row data'!$AH54-'Row data'!$AI54</f>
        <v>28654</v>
      </c>
      <c r="AK54" s="39">
        <v>18654</v>
      </c>
      <c r="AL54" s="39">
        <v>0</v>
      </c>
    </row>
    <row r="55" spans="1:38" x14ac:dyDescent="0.3">
      <c r="A55" s="40">
        <v>54</v>
      </c>
      <c r="B55" s="35" t="s">
        <v>69</v>
      </c>
      <c r="C55" s="35">
        <v>7554976</v>
      </c>
      <c r="D55" s="36" t="s">
        <v>200</v>
      </c>
      <c r="E55" s="35" t="s">
        <v>65</v>
      </c>
      <c r="F55" s="35" t="s">
        <v>66</v>
      </c>
      <c r="G55" s="35" t="s">
        <v>198</v>
      </c>
      <c r="H55" s="37" t="s">
        <v>201</v>
      </c>
      <c r="I55" s="38">
        <v>44083</v>
      </c>
      <c r="J55" s="38"/>
      <c r="K55" s="17"/>
      <c r="L55" s="38">
        <v>34344</v>
      </c>
      <c r="M55" s="35">
        <f ca="1">IF('Row data'!$J55="",DATEDIF('Row data'!$L55,TODAY(),"y"),"0")</f>
        <v>32</v>
      </c>
      <c r="N55" s="35" t="s">
        <v>42</v>
      </c>
      <c r="O55" s="35" t="s">
        <v>43</v>
      </c>
      <c r="P55" s="39" t="s">
        <v>44</v>
      </c>
      <c r="Q55" s="39">
        <v>25070</v>
      </c>
      <c r="R55" s="39">
        <v>25070</v>
      </c>
      <c r="S55" s="39">
        <v>15042</v>
      </c>
      <c r="T55" s="39">
        <v>7521</v>
      </c>
      <c r="U55" s="39">
        <v>1003</v>
      </c>
      <c r="V55" s="39">
        <v>752</v>
      </c>
      <c r="W55" s="39">
        <v>0</v>
      </c>
      <c r="X55" s="39">
        <v>0</v>
      </c>
      <c r="Y55" s="39">
        <v>752</v>
      </c>
      <c r="Z55" s="39">
        <v>752</v>
      </c>
      <c r="AA55" s="39">
        <v>0</v>
      </c>
      <c r="AB55" s="39">
        <v>0</v>
      </c>
      <c r="AC55" s="39">
        <v>0</v>
      </c>
      <c r="AD55" s="39">
        <v>0</v>
      </c>
      <c r="AE55" s="39">
        <v>0</v>
      </c>
      <c r="AF55" s="39">
        <v>0</v>
      </c>
      <c r="AG55" s="39">
        <v>0</v>
      </c>
      <c r="AH55" s="39">
        <v>0</v>
      </c>
      <c r="AI55" s="39">
        <v>0</v>
      </c>
      <c r="AJ55" s="39">
        <f>'Row data'!$S55+'Row data'!$T55+'Row data'!$U55+'Row data'!$W55+'Row data'!$X55+'Row data'!$Y55+'Row data'!$Z55+'Row data'!$AA55+'Row data'!$AB55+'Row data'!$AD55-'Row data'!$AC55-'Row data'!$AE55-'Row data'!$AF55-'Row data'!$AG55-'Row data'!$AH55-'Row data'!$AI55</f>
        <v>25070</v>
      </c>
      <c r="AK55" s="39">
        <v>25070</v>
      </c>
      <c r="AL55" s="39">
        <v>0</v>
      </c>
    </row>
    <row r="56" spans="1:38" x14ac:dyDescent="0.3">
      <c r="A56" s="40">
        <v>55</v>
      </c>
      <c r="B56" s="35" t="s">
        <v>69</v>
      </c>
      <c r="C56" s="35">
        <v>5122456</v>
      </c>
      <c r="D56" s="36" t="s">
        <v>202</v>
      </c>
      <c r="E56" s="35" t="s">
        <v>65</v>
      </c>
      <c r="F56" s="35" t="s">
        <v>66</v>
      </c>
      <c r="G56" s="35" t="s">
        <v>198</v>
      </c>
      <c r="H56" s="37" t="s">
        <v>203</v>
      </c>
      <c r="I56" s="38">
        <v>44105</v>
      </c>
      <c r="J56" s="38">
        <v>45697</v>
      </c>
      <c r="K56" s="17">
        <f>YEAR('Row data'!$J56)</f>
        <v>2025</v>
      </c>
      <c r="L56" s="38">
        <v>35833</v>
      </c>
      <c r="M56" s="35" t="str">
        <f ca="1">IF('Row data'!$J56="",DATEDIF('Row data'!$L56,TODAY(),"y"),"0")</f>
        <v>0</v>
      </c>
      <c r="N56" s="35" t="s">
        <v>42</v>
      </c>
      <c r="O56" s="35" t="s">
        <v>43</v>
      </c>
      <c r="P56" s="39" t="s">
        <v>44</v>
      </c>
      <c r="Q56" s="39">
        <v>24700</v>
      </c>
      <c r="R56" s="39">
        <v>7939</v>
      </c>
      <c r="S56" s="39">
        <v>14820</v>
      </c>
      <c r="T56" s="39">
        <v>7410</v>
      </c>
      <c r="U56" s="39">
        <v>988</v>
      </c>
      <c r="V56" s="39">
        <v>741</v>
      </c>
      <c r="W56" s="39">
        <v>0</v>
      </c>
      <c r="X56" s="39">
        <v>0</v>
      </c>
      <c r="Y56" s="39">
        <v>741</v>
      </c>
      <c r="Z56" s="39">
        <v>741</v>
      </c>
      <c r="AA56" s="39">
        <v>0</v>
      </c>
      <c r="AB56" s="39">
        <v>0</v>
      </c>
      <c r="AC56" s="39">
        <v>0</v>
      </c>
      <c r="AD56" s="39">
        <v>0</v>
      </c>
      <c r="AE56" s="39">
        <v>16761</v>
      </c>
      <c r="AF56" s="39">
        <v>0</v>
      </c>
      <c r="AG56" s="39">
        <v>0</v>
      </c>
      <c r="AH56" s="39">
        <v>0</v>
      </c>
      <c r="AI56" s="39">
        <v>10</v>
      </c>
      <c r="AJ56" s="39">
        <f>'Row data'!$S56+'Row data'!$T56+'Row data'!$U56+'Row data'!$W56+'Row data'!$X56+'Row data'!$Y56+'Row data'!$Z56+'Row data'!$AA56+'Row data'!$AB56+'Row data'!$AD56-'Row data'!$AC56-'Row data'!$AE56-'Row data'!$AF56-'Row data'!$AG56-'Row data'!$AH56-'Row data'!$AI56</f>
        <v>7929</v>
      </c>
      <c r="AK56" s="39">
        <v>0</v>
      </c>
      <c r="AL56" s="39">
        <v>7929</v>
      </c>
    </row>
    <row r="57" spans="1:38" x14ac:dyDescent="0.3">
      <c r="A57" s="40">
        <v>56</v>
      </c>
      <c r="B57" s="35" t="s">
        <v>69</v>
      </c>
      <c r="C57" s="35">
        <v>7876756</v>
      </c>
      <c r="D57" s="36" t="s">
        <v>204</v>
      </c>
      <c r="E57" s="35" t="s">
        <v>65</v>
      </c>
      <c r="F57" s="35" t="s">
        <v>66</v>
      </c>
      <c r="G57" s="35" t="s">
        <v>205</v>
      </c>
      <c r="H57" s="37" t="s">
        <v>206</v>
      </c>
      <c r="I57" s="38">
        <v>43807</v>
      </c>
      <c r="J57" s="38"/>
      <c r="K57" s="17"/>
      <c r="L57" s="38">
        <v>35142</v>
      </c>
      <c r="M57" s="35">
        <f ca="1">IF('Row data'!$J57="",DATEDIF('Row data'!$L57,TODAY(),"y"),"0")</f>
        <v>30</v>
      </c>
      <c r="N57" s="35" t="s">
        <v>42</v>
      </c>
      <c r="O57" s="35" t="s">
        <v>43</v>
      </c>
      <c r="P57" s="39" t="s">
        <v>44</v>
      </c>
      <c r="Q57" s="39">
        <v>18535</v>
      </c>
      <c r="R57" s="39">
        <v>18535</v>
      </c>
      <c r="S57" s="39">
        <v>11121</v>
      </c>
      <c r="T57" s="39">
        <v>5561</v>
      </c>
      <c r="U57" s="39">
        <v>741</v>
      </c>
      <c r="V57" s="39">
        <v>556</v>
      </c>
      <c r="W57" s="39">
        <v>0</v>
      </c>
      <c r="X57" s="39">
        <v>0</v>
      </c>
      <c r="Y57" s="39">
        <v>556</v>
      </c>
      <c r="Z57" s="39">
        <v>556</v>
      </c>
      <c r="AA57" s="39">
        <v>0</v>
      </c>
      <c r="AB57" s="39">
        <v>0</v>
      </c>
      <c r="AC57" s="39">
        <v>0</v>
      </c>
      <c r="AD57" s="39">
        <v>0</v>
      </c>
      <c r="AE57" s="39">
        <v>0</v>
      </c>
      <c r="AF57" s="39">
        <v>0</v>
      </c>
      <c r="AG57" s="39">
        <v>0</v>
      </c>
      <c r="AH57" s="39">
        <v>0</v>
      </c>
      <c r="AI57" s="39">
        <v>0</v>
      </c>
      <c r="AJ57" s="39">
        <f>'Row data'!$S57+'Row data'!$T57+'Row data'!$U57+'Row data'!$W57+'Row data'!$X57+'Row data'!$Y57+'Row data'!$Z57+'Row data'!$AA57+'Row data'!$AB57+'Row data'!$AD57-'Row data'!$AC57-'Row data'!$AE57-'Row data'!$AF57-'Row data'!$AG57-'Row data'!$AH57-'Row data'!$AI57</f>
        <v>18535</v>
      </c>
      <c r="AK57" s="39">
        <v>18535</v>
      </c>
      <c r="AL57" s="39">
        <v>0</v>
      </c>
    </row>
    <row r="58" spans="1:38" x14ac:dyDescent="0.3">
      <c r="A58" s="40">
        <v>57</v>
      </c>
      <c r="B58" s="35" t="s">
        <v>69</v>
      </c>
      <c r="C58" s="35">
        <v>5456525</v>
      </c>
      <c r="D58" s="36" t="s">
        <v>207</v>
      </c>
      <c r="E58" s="35" t="s">
        <v>65</v>
      </c>
      <c r="F58" s="35" t="s">
        <v>66</v>
      </c>
      <c r="G58" s="35" t="s">
        <v>205</v>
      </c>
      <c r="H58" s="37" t="s">
        <v>208</v>
      </c>
      <c r="I58" s="38">
        <v>43771</v>
      </c>
      <c r="J58" s="38"/>
      <c r="K58" s="17"/>
      <c r="L58" s="38">
        <v>31211</v>
      </c>
      <c r="M58" s="35">
        <f ca="1">IF('Row data'!$J58="",DATEDIF('Row data'!$L58,TODAY(),"y"),"0")</f>
        <v>41</v>
      </c>
      <c r="N58" s="35" t="s">
        <v>42</v>
      </c>
      <c r="O58" s="35" t="s">
        <v>43</v>
      </c>
      <c r="P58" s="39" t="s">
        <v>44</v>
      </c>
      <c r="Q58" s="39">
        <v>21309</v>
      </c>
      <c r="R58" s="39">
        <v>21309</v>
      </c>
      <c r="S58" s="39">
        <v>12786</v>
      </c>
      <c r="T58" s="39">
        <v>6393</v>
      </c>
      <c r="U58" s="39">
        <v>852</v>
      </c>
      <c r="V58" s="39">
        <v>639</v>
      </c>
      <c r="W58" s="39">
        <v>0</v>
      </c>
      <c r="X58" s="39">
        <v>0</v>
      </c>
      <c r="Y58" s="39">
        <v>639</v>
      </c>
      <c r="Z58" s="39">
        <v>639</v>
      </c>
      <c r="AA58" s="39">
        <v>0</v>
      </c>
      <c r="AB58" s="39">
        <v>0</v>
      </c>
      <c r="AC58" s="39">
        <v>0</v>
      </c>
      <c r="AD58" s="39">
        <v>0</v>
      </c>
      <c r="AE58" s="39">
        <v>0</v>
      </c>
      <c r="AF58" s="39">
        <v>0</v>
      </c>
      <c r="AG58" s="39">
        <v>0</v>
      </c>
      <c r="AH58" s="39">
        <v>0</v>
      </c>
      <c r="AI58" s="39">
        <v>0</v>
      </c>
      <c r="AJ58" s="39">
        <f>'Row data'!$S58+'Row data'!$T58+'Row data'!$U58+'Row data'!$W58+'Row data'!$X58+'Row data'!$Y58+'Row data'!$Z58+'Row data'!$AA58+'Row data'!$AB58+'Row data'!$AD58-'Row data'!$AC58-'Row data'!$AE58-'Row data'!$AF58-'Row data'!$AG58-'Row data'!$AH58-'Row data'!$AI58</f>
        <v>21309</v>
      </c>
      <c r="AK58" s="39">
        <v>21309</v>
      </c>
      <c r="AL58" s="39">
        <v>0</v>
      </c>
    </row>
    <row r="59" spans="1:38" x14ac:dyDescent="0.3">
      <c r="A59" s="40">
        <v>58</v>
      </c>
      <c r="B59" s="35" t="s">
        <v>69</v>
      </c>
      <c r="C59" s="35">
        <v>8766545</v>
      </c>
      <c r="D59" s="36" t="s">
        <v>209</v>
      </c>
      <c r="E59" s="35" t="s">
        <v>65</v>
      </c>
      <c r="F59" s="35" t="s">
        <v>66</v>
      </c>
      <c r="G59" s="35" t="s">
        <v>143</v>
      </c>
      <c r="H59" s="37" t="s">
        <v>210</v>
      </c>
      <c r="I59" s="38">
        <v>42594</v>
      </c>
      <c r="J59" s="38"/>
      <c r="K59" s="17"/>
      <c r="L59" s="38">
        <v>34554</v>
      </c>
      <c r="M59" s="35">
        <f ca="1">IF('Row data'!$J59="",DATEDIF('Row data'!$L59,TODAY(),"y"),"0")</f>
        <v>32</v>
      </c>
      <c r="N59" s="35" t="s">
        <v>42</v>
      </c>
      <c r="O59" s="35" t="s">
        <v>43</v>
      </c>
      <c r="P59" s="39" t="s">
        <v>44</v>
      </c>
      <c r="Q59" s="39">
        <v>43056</v>
      </c>
      <c r="R59" s="39">
        <v>43056</v>
      </c>
      <c r="S59" s="39">
        <v>25833</v>
      </c>
      <c r="T59" s="39">
        <v>12917</v>
      </c>
      <c r="U59" s="39">
        <v>1722</v>
      </c>
      <c r="V59" s="39">
        <v>1292</v>
      </c>
      <c r="W59" s="39">
        <v>0</v>
      </c>
      <c r="X59" s="39">
        <v>0</v>
      </c>
      <c r="Y59" s="39">
        <v>1292</v>
      </c>
      <c r="Z59" s="39">
        <v>1292</v>
      </c>
      <c r="AA59" s="39">
        <v>0</v>
      </c>
      <c r="AB59" s="39">
        <v>0</v>
      </c>
      <c r="AC59" s="39">
        <v>0</v>
      </c>
      <c r="AD59" s="39">
        <v>0</v>
      </c>
      <c r="AE59" s="39">
        <v>0</v>
      </c>
      <c r="AF59" s="39">
        <v>0</v>
      </c>
      <c r="AG59" s="39">
        <v>0</v>
      </c>
      <c r="AH59" s="39">
        <v>0</v>
      </c>
      <c r="AI59" s="39">
        <v>0</v>
      </c>
      <c r="AJ59" s="39">
        <f>'Row data'!$S59+'Row data'!$T59+'Row data'!$U59+'Row data'!$W59+'Row data'!$X59+'Row data'!$Y59+'Row data'!$Z59+'Row data'!$AA59+'Row data'!$AB59+'Row data'!$AD59-'Row data'!$AC59-'Row data'!$AE59-'Row data'!$AF59-'Row data'!$AG59-'Row data'!$AH59-'Row data'!$AI59</f>
        <v>43056</v>
      </c>
      <c r="AK59" s="39">
        <v>43056</v>
      </c>
      <c r="AL59" s="39">
        <v>0</v>
      </c>
    </row>
    <row r="60" spans="1:38" x14ac:dyDescent="0.3">
      <c r="A60" s="40">
        <v>59</v>
      </c>
      <c r="B60" s="35" t="s">
        <v>69</v>
      </c>
      <c r="C60" s="35">
        <v>9983256</v>
      </c>
      <c r="D60" s="36" t="s">
        <v>211</v>
      </c>
      <c r="E60" s="35" t="s">
        <v>65</v>
      </c>
      <c r="F60" s="35" t="s">
        <v>66</v>
      </c>
      <c r="G60" s="35" t="s">
        <v>205</v>
      </c>
      <c r="H60" s="37" t="s">
        <v>212</v>
      </c>
      <c r="I60" s="38">
        <v>42921</v>
      </c>
      <c r="J60" s="38"/>
      <c r="K60" s="17"/>
      <c r="L60" s="38">
        <v>34700</v>
      </c>
      <c r="M60" s="35">
        <f ca="1">IF('Row data'!$J60="",DATEDIF('Row data'!$L60,TODAY(),"y"),"0")</f>
        <v>31</v>
      </c>
      <c r="N60" s="35" t="s">
        <v>42</v>
      </c>
      <c r="O60" s="35" t="s">
        <v>43</v>
      </c>
      <c r="P60" s="39" t="s">
        <v>44</v>
      </c>
      <c r="Q60" s="39">
        <v>21256</v>
      </c>
      <c r="R60" s="39">
        <v>16256</v>
      </c>
      <c r="S60" s="39">
        <v>12753</v>
      </c>
      <c r="T60" s="39">
        <v>6377</v>
      </c>
      <c r="U60" s="39">
        <v>850</v>
      </c>
      <c r="V60" s="39">
        <v>638</v>
      </c>
      <c r="W60" s="39">
        <v>0</v>
      </c>
      <c r="X60" s="39">
        <v>0</v>
      </c>
      <c r="Y60" s="39">
        <v>638</v>
      </c>
      <c r="Z60" s="39">
        <v>638</v>
      </c>
      <c r="AA60" s="39">
        <v>0</v>
      </c>
      <c r="AB60" s="39">
        <v>0</v>
      </c>
      <c r="AC60" s="39">
        <v>-5000</v>
      </c>
      <c r="AD60" s="39">
        <v>0</v>
      </c>
      <c r="AE60" s="39">
        <v>0</v>
      </c>
      <c r="AF60" s="39">
        <v>0</v>
      </c>
      <c r="AG60" s="39">
        <v>0</v>
      </c>
      <c r="AH60" s="39">
        <v>0</v>
      </c>
      <c r="AI60" s="39">
        <v>0</v>
      </c>
      <c r="AJ60" s="39">
        <f>'Row data'!$S60+'Row data'!$T60+'Row data'!$U60+'Row data'!$W60+'Row data'!$X60+'Row data'!$Y60+'Row data'!$Z60+'Row data'!$AA60+'Row data'!$AB60+'Row data'!$AD60-'Row data'!$AC60-'Row data'!$AE60-'Row data'!$AF60-'Row data'!$AG60-'Row data'!$AH60-'Row data'!$AI60</f>
        <v>26256</v>
      </c>
      <c r="AK60" s="39">
        <v>16256</v>
      </c>
      <c r="AL60" s="39">
        <v>0</v>
      </c>
    </row>
    <row r="61" spans="1:38" x14ac:dyDescent="0.3">
      <c r="A61" s="40">
        <v>60</v>
      </c>
      <c r="B61" s="35" t="s">
        <v>69</v>
      </c>
      <c r="C61" s="35">
        <v>7769442</v>
      </c>
      <c r="D61" s="36" t="s">
        <v>213</v>
      </c>
      <c r="E61" s="35" t="s">
        <v>65</v>
      </c>
      <c r="F61" s="35" t="s">
        <v>66</v>
      </c>
      <c r="G61" s="35" t="s">
        <v>214</v>
      </c>
      <c r="H61" s="37" t="s">
        <v>215</v>
      </c>
      <c r="I61" s="38">
        <v>43374</v>
      </c>
      <c r="J61" s="38"/>
      <c r="K61" s="17"/>
      <c r="L61" s="38">
        <v>35617</v>
      </c>
      <c r="M61" s="35">
        <f ca="1">IF('Row data'!$J61="",DATEDIF('Row data'!$L61,TODAY(),"y"),"0")</f>
        <v>29</v>
      </c>
      <c r="N61" s="35" t="s">
        <v>42</v>
      </c>
      <c r="O61" s="35" t="s">
        <v>43</v>
      </c>
      <c r="P61" s="39" t="s">
        <v>44</v>
      </c>
      <c r="Q61" s="39">
        <v>30259</v>
      </c>
      <c r="R61" s="39">
        <v>30259</v>
      </c>
      <c r="S61" s="39">
        <v>18155</v>
      </c>
      <c r="T61" s="39">
        <v>9078</v>
      </c>
      <c r="U61" s="39">
        <v>1210</v>
      </c>
      <c r="V61" s="39">
        <v>908</v>
      </c>
      <c r="W61" s="39">
        <v>0</v>
      </c>
      <c r="X61" s="39">
        <v>0</v>
      </c>
      <c r="Y61" s="39">
        <v>908</v>
      </c>
      <c r="Z61" s="39">
        <v>908</v>
      </c>
      <c r="AA61" s="39">
        <v>0</v>
      </c>
      <c r="AB61" s="39">
        <v>0</v>
      </c>
      <c r="AC61" s="39">
        <v>0</v>
      </c>
      <c r="AD61" s="39">
        <v>0</v>
      </c>
      <c r="AE61" s="39">
        <v>0</v>
      </c>
      <c r="AF61" s="39">
        <v>0</v>
      </c>
      <c r="AG61" s="39">
        <v>0</v>
      </c>
      <c r="AH61" s="39">
        <v>0</v>
      </c>
      <c r="AI61" s="39">
        <v>0</v>
      </c>
      <c r="AJ61" s="39">
        <f>'Row data'!$S61+'Row data'!$T61+'Row data'!$U61+'Row data'!$W61+'Row data'!$X61+'Row data'!$Y61+'Row data'!$Z61+'Row data'!$AA61+'Row data'!$AB61+'Row data'!$AD61-'Row data'!$AC61-'Row data'!$AE61-'Row data'!$AF61-'Row data'!$AG61-'Row data'!$AH61-'Row data'!$AI61</f>
        <v>30259</v>
      </c>
      <c r="AK61" s="39">
        <v>30259</v>
      </c>
      <c r="AL61" s="39">
        <v>0</v>
      </c>
    </row>
    <row r="62" spans="1:38" x14ac:dyDescent="0.3">
      <c r="A62" s="40">
        <v>61</v>
      </c>
      <c r="B62" s="35" t="s">
        <v>69</v>
      </c>
      <c r="C62" s="35">
        <v>5377015</v>
      </c>
      <c r="D62" s="36" t="s">
        <v>216</v>
      </c>
      <c r="E62" s="35" t="s">
        <v>65</v>
      </c>
      <c r="F62" s="35" t="s">
        <v>66</v>
      </c>
      <c r="G62" s="35" t="s">
        <v>217</v>
      </c>
      <c r="H62" s="37" t="s">
        <v>218</v>
      </c>
      <c r="I62" s="38">
        <v>44593</v>
      </c>
      <c r="J62" s="38"/>
      <c r="K62" s="17"/>
      <c r="L62" s="38">
        <v>30056</v>
      </c>
      <c r="M62" s="35">
        <f ca="1">IF('Row data'!$J62="",DATEDIF('Row data'!$L62,TODAY(),"y"),"0")</f>
        <v>44</v>
      </c>
      <c r="N62" s="35" t="s">
        <v>42</v>
      </c>
      <c r="O62" s="35" t="s">
        <v>43</v>
      </c>
      <c r="P62" s="39" t="s">
        <v>44</v>
      </c>
      <c r="Q62" s="39">
        <v>41966</v>
      </c>
      <c r="R62" s="39">
        <v>41966</v>
      </c>
      <c r="S62" s="39">
        <v>25179</v>
      </c>
      <c r="T62" s="39">
        <v>12590</v>
      </c>
      <c r="U62" s="39">
        <v>1679</v>
      </c>
      <c r="V62" s="39">
        <v>1259</v>
      </c>
      <c r="W62" s="39">
        <v>0</v>
      </c>
      <c r="X62" s="39">
        <v>0</v>
      </c>
      <c r="Y62" s="39">
        <v>1259</v>
      </c>
      <c r="Z62" s="39">
        <v>1259</v>
      </c>
      <c r="AA62" s="39">
        <v>0</v>
      </c>
      <c r="AB62" s="39">
        <v>0</v>
      </c>
      <c r="AC62" s="39">
        <v>0</v>
      </c>
      <c r="AD62" s="39">
        <v>0</v>
      </c>
      <c r="AE62" s="39">
        <v>0</v>
      </c>
      <c r="AF62" s="39">
        <v>0</v>
      </c>
      <c r="AG62" s="39">
        <v>0</v>
      </c>
      <c r="AH62" s="39">
        <v>0</v>
      </c>
      <c r="AI62" s="39">
        <v>0</v>
      </c>
      <c r="AJ62" s="39">
        <f>'Row data'!$S62+'Row data'!$T62+'Row data'!$U62+'Row data'!$W62+'Row data'!$X62+'Row data'!$Y62+'Row data'!$Z62+'Row data'!$AA62+'Row data'!$AB62+'Row data'!$AD62-'Row data'!$AC62-'Row data'!$AE62-'Row data'!$AF62-'Row data'!$AG62-'Row data'!$AH62-'Row data'!$AI62</f>
        <v>41966</v>
      </c>
      <c r="AK62" s="39">
        <v>41966</v>
      </c>
      <c r="AL62" s="39">
        <v>0</v>
      </c>
    </row>
    <row r="63" spans="1:38" x14ac:dyDescent="0.3">
      <c r="A63" s="40">
        <v>62</v>
      </c>
      <c r="B63" s="35" t="s">
        <v>69</v>
      </c>
      <c r="C63" s="35">
        <v>7321525</v>
      </c>
      <c r="D63" s="36" t="s">
        <v>219</v>
      </c>
      <c r="E63" s="35" t="s">
        <v>65</v>
      </c>
      <c r="F63" s="35" t="s">
        <v>66</v>
      </c>
      <c r="G63" s="35" t="s">
        <v>220</v>
      </c>
      <c r="H63" s="37" t="s">
        <v>221</v>
      </c>
      <c r="I63" s="38">
        <v>44550</v>
      </c>
      <c r="J63" s="38"/>
      <c r="K63" s="17"/>
      <c r="L63" s="38">
        <v>33147</v>
      </c>
      <c r="M63" s="35">
        <f ca="1">IF('Row data'!$J63="",DATEDIF('Row data'!$L63,TODAY(),"y"),"0")</f>
        <v>35</v>
      </c>
      <c r="N63" s="35" t="s">
        <v>42</v>
      </c>
      <c r="O63" s="35" t="s">
        <v>43</v>
      </c>
      <c r="P63" s="39" t="s">
        <v>44</v>
      </c>
      <c r="Q63" s="39">
        <v>51230</v>
      </c>
      <c r="R63" s="39">
        <v>51230</v>
      </c>
      <c r="S63" s="39">
        <v>30738</v>
      </c>
      <c r="T63" s="39">
        <v>15369</v>
      </c>
      <c r="U63" s="39">
        <v>2049</v>
      </c>
      <c r="V63" s="39">
        <v>1537</v>
      </c>
      <c r="W63" s="39">
        <v>0</v>
      </c>
      <c r="X63" s="39">
        <v>0</v>
      </c>
      <c r="Y63" s="39">
        <v>1537</v>
      </c>
      <c r="Z63" s="39">
        <v>1537</v>
      </c>
      <c r="AA63" s="39">
        <v>0</v>
      </c>
      <c r="AB63" s="39">
        <v>0</v>
      </c>
      <c r="AC63" s="39">
        <v>0</v>
      </c>
      <c r="AD63" s="39">
        <v>0</v>
      </c>
      <c r="AE63" s="39">
        <v>0</v>
      </c>
      <c r="AF63" s="39">
        <v>0</v>
      </c>
      <c r="AG63" s="39">
        <v>0</v>
      </c>
      <c r="AH63" s="39">
        <v>556</v>
      </c>
      <c r="AI63" s="39">
        <v>0</v>
      </c>
      <c r="AJ63" s="39">
        <f>'Row data'!$S63+'Row data'!$T63+'Row data'!$U63+'Row data'!$W63+'Row data'!$X63+'Row data'!$Y63+'Row data'!$Z63+'Row data'!$AA63+'Row data'!$AB63+'Row data'!$AD63-'Row data'!$AC63-'Row data'!$AE63-'Row data'!$AF63-'Row data'!$AG63-'Row data'!$AH63-'Row data'!$AI63</f>
        <v>50674</v>
      </c>
      <c r="AK63" s="39">
        <v>50674</v>
      </c>
      <c r="AL63" s="39">
        <v>0</v>
      </c>
    </row>
    <row r="64" spans="1:38" x14ac:dyDescent="0.3">
      <c r="A64" s="40">
        <v>63</v>
      </c>
      <c r="B64" s="35" t="s">
        <v>69</v>
      </c>
      <c r="C64" s="35">
        <v>9785895</v>
      </c>
      <c r="D64" s="36" t="s">
        <v>222</v>
      </c>
      <c r="E64" s="35" t="s">
        <v>65</v>
      </c>
      <c r="F64" s="35" t="s">
        <v>223</v>
      </c>
      <c r="G64" s="35" t="s">
        <v>47</v>
      </c>
      <c r="H64" s="37" t="s">
        <v>224</v>
      </c>
      <c r="I64" s="38">
        <v>44515</v>
      </c>
      <c r="J64" s="38"/>
      <c r="K64" s="17"/>
      <c r="L64" s="38">
        <v>34403</v>
      </c>
      <c r="M64" s="35">
        <f ca="1">IF('Row data'!$J64="",DATEDIF('Row data'!$L64,TODAY(),"y"),"0")</f>
        <v>32</v>
      </c>
      <c r="N64" s="35" t="s">
        <v>42</v>
      </c>
      <c r="O64" s="35" t="s">
        <v>43</v>
      </c>
      <c r="P64" s="39" t="s">
        <v>44</v>
      </c>
      <c r="Q64" s="39">
        <v>27576</v>
      </c>
      <c r="R64" s="39">
        <v>27576</v>
      </c>
      <c r="S64" s="39">
        <v>16546</v>
      </c>
      <c r="T64" s="39">
        <v>8273</v>
      </c>
      <c r="U64" s="39">
        <v>1103</v>
      </c>
      <c r="V64" s="39">
        <v>827</v>
      </c>
      <c r="W64" s="39">
        <v>0</v>
      </c>
      <c r="X64" s="39">
        <v>0</v>
      </c>
      <c r="Y64" s="39">
        <v>827</v>
      </c>
      <c r="Z64" s="39">
        <v>827</v>
      </c>
      <c r="AA64" s="39">
        <v>0</v>
      </c>
      <c r="AB64" s="39">
        <v>0</v>
      </c>
      <c r="AC64" s="39">
        <v>0</v>
      </c>
      <c r="AD64" s="39">
        <v>0</v>
      </c>
      <c r="AE64" s="39">
        <v>0</v>
      </c>
      <c r="AF64" s="39">
        <v>0</v>
      </c>
      <c r="AG64" s="39">
        <v>0</v>
      </c>
      <c r="AH64" s="39">
        <v>0</v>
      </c>
      <c r="AI64" s="39">
        <v>0</v>
      </c>
      <c r="AJ64" s="39">
        <f>'Row data'!$S64+'Row data'!$T64+'Row data'!$U64+'Row data'!$W64+'Row data'!$X64+'Row data'!$Y64+'Row data'!$Z64+'Row data'!$AA64+'Row data'!$AB64+'Row data'!$AD64-'Row data'!$AC64-'Row data'!$AE64-'Row data'!$AF64-'Row data'!$AG64-'Row data'!$AH64-'Row data'!$AI64</f>
        <v>27576</v>
      </c>
      <c r="AK64" s="39">
        <v>27576</v>
      </c>
      <c r="AL64" s="39">
        <v>0</v>
      </c>
    </row>
    <row r="65" spans="1:38" x14ac:dyDescent="0.3">
      <c r="A65" s="40">
        <v>64</v>
      </c>
      <c r="B65" s="35" t="s">
        <v>69</v>
      </c>
      <c r="C65" s="35">
        <v>8952953</v>
      </c>
      <c r="D65" s="36" t="s">
        <v>225</v>
      </c>
      <c r="E65" s="35" t="s">
        <v>65</v>
      </c>
      <c r="F65" s="35" t="s">
        <v>223</v>
      </c>
      <c r="G65" s="35" t="s">
        <v>226</v>
      </c>
      <c r="H65" s="37" t="s">
        <v>227</v>
      </c>
      <c r="I65" s="38">
        <v>44844</v>
      </c>
      <c r="J65" s="38"/>
      <c r="K65" s="17"/>
      <c r="L65" s="38">
        <v>33113</v>
      </c>
      <c r="M65" s="35">
        <f ca="1">IF('Row data'!$J65="",DATEDIF('Row data'!$L65,TODAY(),"y"),"0")</f>
        <v>36</v>
      </c>
      <c r="N65" s="35" t="s">
        <v>42</v>
      </c>
      <c r="O65" s="35" t="s">
        <v>43</v>
      </c>
      <c r="P65" s="39" t="s">
        <v>44</v>
      </c>
      <c r="Q65" s="39">
        <v>16126</v>
      </c>
      <c r="R65" s="39">
        <v>16126</v>
      </c>
      <c r="S65" s="39">
        <v>9675</v>
      </c>
      <c r="T65" s="39">
        <v>4838</v>
      </c>
      <c r="U65" s="39">
        <v>645</v>
      </c>
      <c r="V65" s="39">
        <v>484</v>
      </c>
      <c r="W65" s="39">
        <v>0</v>
      </c>
      <c r="X65" s="39">
        <v>0</v>
      </c>
      <c r="Y65" s="39">
        <v>484</v>
      </c>
      <c r="Z65" s="39">
        <v>484</v>
      </c>
      <c r="AA65" s="39">
        <v>0</v>
      </c>
      <c r="AB65" s="39">
        <v>0</v>
      </c>
      <c r="AC65" s="39">
        <v>0</v>
      </c>
      <c r="AD65" s="39">
        <v>0</v>
      </c>
      <c r="AE65" s="39">
        <v>0</v>
      </c>
      <c r="AF65" s="39">
        <v>0</v>
      </c>
      <c r="AG65" s="39">
        <v>0</v>
      </c>
      <c r="AH65" s="39">
        <v>0</v>
      </c>
      <c r="AI65" s="39">
        <v>0</v>
      </c>
      <c r="AJ65" s="39">
        <f>'Row data'!$S65+'Row data'!$T65+'Row data'!$U65+'Row data'!$W65+'Row data'!$X65+'Row data'!$Y65+'Row data'!$Z65+'Row data'!$AA65+'Row data'!$AB65+'Row data'!$AD65-'Row data'!$AC65-'Row data'!$AE65-'Row data'!$AF65-'Row data'!$AG65-'Row data'!$AH65-'Row data'!$AI65</f>
        <v>16126</v>
      </c>
      <c r="AK65" s="39">
        <v>16126</v>
      </c>
      <c r="AL65" s="39">
        <v>0</v>
      </c>
    </row>
    <row r="66" spans="1:38" x14ac:dyDescent="0.3">
      <c r="A66" s="40">
        <v>65</v>
      </c>
      <c r="B66" s="35" t="s">
        <v>69</v>
      </c>
      <c r="C66" s="35">
        <v>8351522</v>
      </c>
      <c r="D66" s="36" t="s">
        <v>228</v>
      </c>
      <c r="E66" s="35" t="s">
        <v>65</v>
      </c>
      <c r="F66" s="35" t="s">
        <v>223</v>
      </c>
      <c r="G66" s="35" t="s">
        <v>226</v>
      </c>
      <c r="H66" s="37" t="s">
        <v>229</v>
      </c>
      <c r="I66" s="38">
        <v>45172</v>
      </c>
      <c r="J66" s="38"/>
      <c r="K66" s="17"/>
      <c r="L66" s="38">
        <v>34700</v>
      </c>
      <c r="M66" s="35">
        <f ca="1">IF('Row data'!$J66="",DATEDIF('Row data'!$L66,TODAY(),"y"),"0")</f>
        <v>31</v>
      </c>
      <c r="N66" s="35" t="s">
        <v>42</v>
      </c>
      <c r="O66" s="35" t="s">
        <v>43</v>
      </c>
      <c r="P66" s="39" t="s">
        <v>44</v>
      </c>
      <c r="Q66" s="39">
        <v>18530</v>
      </c>
      <c r="R66" s="39">
        <v>18530</v>
      </c>
      <c r="S66" s="39">
        <v>11118</v>
      </c>
      <c r="T66" s="39">
        <v>5559</v>
      </c>
      <c r="U66" s="39">
        <v>741</v>
      </c>
      <c r="V66" s="39">
        <v>556</v>
      </c>
      <c r="W66" s="39">
        <v>0</v>
      </c>
      <c r="X66" s="39">
        <v>0</v>
      </c>
      <c r="Y66" s="39">
        <v>556</v>
      </c>
      <c r="Z66" s="39">
        <v>556</v>
      </c>
      <c r="AA66" s="39">
        <v>0</v>
      </c>
      <c r="AB66" s="39">
        <v>0</v>
      </c>
      <c r="AC66" s="39">
        <v>0</v>
      </c>
      <c r="AD66" s="39">
        <v>0</v>
      </c>
      <c r="AE66" s="39">
        <v>0</v>
      </c>
      <c r="AF66" s="39">
        <v>0</v>
      </c>
      <c r="AG66" s="39">
        <v>0</v>
      </c>
      <c r="AH66" s="39">
        <v>0</v>
      </c>
      <c r="AI66" s="39">
        <v>0</v>
      </c>
      <c r="AJ66" s="39">
        <f>'Row data'!$S66+'Row data'!$T66+'Row data'!$U66+'Row data'!$W66+'Row data'!$X66+'Row data'!$Y66+'Row data'!$Z66+'Row data'!$AA66+'Row data'!$AB66+'Row data'!$AD66-'Row data'!$AC66-'Row data'!$AE66-'Row data'!$AF66-'Row data'!$AG66-'Row data'!$AH66-'Row data'!$AI66</f>
        <v>18530</v>
      </c>
      <c r="AK66" s="39">
        <v>18530</v>
      </c>
      <c r="AL66" s="39">
        <v>0</v>
      </c>
    </row>
    <row r="67" spans="1:38" x14ac:dyDescent="0.3">
      <c r="A67" s="40">
        <v>66</v>
      </c>
      <c r="B67" s="35" t="s">
        <v>69</v>
      </c>
      <c r="C67" s="35">
        <v>5603019</v>
      </c>
      <c r="D67" s="36" t="s">
        <v>230</v>
      </c>
      <c r="E67" s="35" t="s">
        <v>65</v>
      </c>
      <c r="F67" s="35" t="s">
        <v>223</v>
      </c>
      <c r="G67" s="35" t="s">
        <v>231</v>
      </c>
      <c r="H67" s="37" t="s">
        <v>232</v>
      </c>
      <c r="I67" s="38">
        <v>40372</v>
      </c>
      <c r="J67" s="38"/>
      <c r="K67" s="17"/>
      <c r="L67" s="38">
        <v>29008</v>
      </c>
      <c r="M67" s="35">
        <f ca="1">IF('Row data'!$J67="",DATEDIF('Row data'!$L67,TODAY(),"y"),"0")</f>
        <v>47</v>
      </c>
      <c r="N67" s="35" t="s">
        <v>42</v>
      </c>
      <c r="O67" s="35" t="s">
        <v>43</v>
      </c>
      <c r="P67" s="39" t="s">
        <v>44</v>
      </c>
      <c r="Q67" s="39">
        <v>35533</v>
      </c>
      <c r="R67" s="39">
        <v>35533</v>
      </c>
      <c r="S67" s="39">
        <v>21320</v>
      </c>
      <c r="T67" s="39">
        <v>10660</v>
      </c>
      <c r="U67" s="39">
        <v>1421</v>
      </c>
      <c r="V67" s="39">
        <v>1066</v>
      </c>
      <c r="W67" s="39">
        <v>0</v>
      </c>
      <c r="X67" s="39">
        <v>0</v>
      </c>
      <c r="Y67" s="39">
        <v>1066</v>
      </c>
      <c r="Z67" s="39">
        <v>1066</v>
      </c>
      <c r="AA67" s="39">
        <v>0</v>
      </c>
      <c r="AB67" s="39">
        <v>0</v>
      </c>
      <c r="AC67" s="39">
        <v>0</v>
      </c>
      <c r="AD67" s="39">
        <v>0</v>
      </c>
      <c r="AE67" s="39">
        <v>0</v>
      </c>
      <c r="AF67" s="39">
        <v>0</v>
      </c>
      <c r="AG67" s="39">
        <v>5000</v>
      </c>
      <c r="AH67" s="39">
        <v>0</v>
      </c>
      <c r="AI67" s="39">
        <v>0</v>
      </c>
      <c r="AJ67" s="39">
        <f>'Row data'!$S67+'Row data'!$T67+'Row data'!$U67+'Row data'!$W67+'Row data'!$X67+'Row data'!$Y67+'Row data'!$Z67+'Row data'!$AA67+'Row data'!$AB67+'Row data'!$AD67-'Row data'!$AC67-'Row data'!$AE67-'Row data'!$AF67-'Row data'!$AG67-'Row data'!$AH67-'Row data'!$AI67</f>
        <v>30533</v>
      </c>
      <c r="AK67" s="39">
        <v>30533</v>
      </c>
      <c r="AL67" s="39">
        <v>0</v>
      </c>
    </row>
    <row r="68" spans="1:38" x14ac:dyDescent="0.3">
      <c r="A68" s="40">
        <v>67</v>
      </c>
      <c r="B68" s="35" t="s">
        <v>69</v>
      </c>
      <c r="C68" s="35">
        <v>8751987</v>
      </c>
      <c r="D68" s="36" t="s">
        <v>233</v>
      </c>
      <c r="E68" s="35" t="s">
        <v>65</v>
      </c>
      <c r="F68" s="35" t="s">
        <v>223</v>
      </c>
      <c r="G68" s="35" t="s">
        <v>143</v>
      </c>
      <c r="H68" s="37" t="s">
        <v>234</v>
      </c>
      <c r="I68" s="38">
        <v>42957</v>
      </c>
      <c r="J68" s="38"/>
      <c r="K68" s="17"/>
      <c r="L68" s="38">
        <v>34101</v>
      </c>
      <c r="M68" s="35">
        <f ca="1">IF('Row data'!$J68="",DATEDIF('Row data'!$L68,TODAY(),"y"),"0")</f>
        <v>33</v>
      </c>
      <c r="N68" s="35" t="s">
        <v>42</v>
      </c>
      <c r="O68" s="35" t="s">
        <v>43</v>
      </c>
      <c r="P68" s="39" t="s">
        <v>44</v>
      </c>
      <c r="Q68" s="39">
        <v>37060</v>
      </c>
      <c r="R68" s="39">
        <v>37060</v>
      </c>
      <c r="S68" s="39">
        <v>22236</v>
      </c>
      <c r="T68" s="39">
        <v>11118</v>
      </c>
      <c r="U68" s="39">
        <v>1482</v>
      </c>
      <c r="V68" s="39">
        <v>1112</v>
      </c>
      <c r="W68" s="39">
        <v>0</v>
      </c>
      <c r="X68" s="39">
        <v>0</v>
      </c>
      <c r="Y68" s="39">
        <v>1112</v>
      </c>
      <c r="Z68" s="39">
        <v>1112</v>
      </c>
      <c r="AA68" s="39">
        <v>0</v>
      </c>
      <c r="AB68" s="39">
        <v>0</v>
      </c>
      <c r="AC68" s="39">
        <v>0</v>
      </c>
      <c r="AD68" s="39">
        <v>0</v>
      </c>
      <c r="AE68" s="39">
        <v>0</v>
      </c>
      <c r="AF68" s="39">
        <v>0</v>
      </c>
      <c r="AG68" s="39">
        <v>0</v>
      </c>
      <c r="AH68" s="39">
        <v>0</v>
      </c>
      <c r="AI68" s="39">
        <v>0</v>
      </c>
      <c r="AJ68" s="39">
        <f>'Row data'!$S68+'Row data'!$T68+'Row data'!$U68+'Row data'!$W68+'Row data'!$X68+'Row data'!$Y68+'Row data'!$Z68+'Row data'!$AA68+'Row data'!$AB68+'Row data'!$AD68-'Row data'!$AC68-'Row data'!$AE68-'Row data'!$AF68-'Row data'!$AG68-'Row data'!$AH68-'Row data'!$AI68</f>
        <v>37060</v>
      </c>
      <c r="AK68" s="39">
        <v>37060</v>
      </c>
      <c r="AL68" s="39">
        <v>0</v>
      </c>
    </row>
    <row r="69" spans="1:38" x14ac:dyDescent="0.3">
      <c r="A69" s="40">
        <v>68</v>
      </c>
      <c r="B69" s="35" t="s">
        <v>69</v>
      </c>
      <c r="C69" s="35">
        <v>9143499</v>
      </c>
      <c r="D69" s="36" t="s">
        <v>235</v>
      </c>
      <c r="E69" s="35" t="s">
        <v>65</v>
      </c>
      <c r="F69" s="35" t="s">
        <v>223</v>
      </c>
      <c r="G69" s="35" t="s">
        <v>226</v>
      </c>
      <c r="H69" s="37" t="s">
        <v>236</v>
      </c>
      <c r="I69" s="38">
        <v>43739</v>
      </c>
      <c r="J69" s="38"/>
      <c r="K69" s="17"/>
      <c r="L69" s="38">
        <v>35710</v>
      </c>
      <c r="M69" s="35">
        <f ca="1">IF('Row data'!$J69="",DATEDIF('Row data'!$L69,TODAY(),"y"),"0")</f>
        <v>28</v>
      </c>
      <c r="N69" s="35" t="s">
        <v>42</v>
      </c>
      <c r="O69" s="35" t="s">
        <v>43</v>
      </c>
      <c r="P69" s="39" t="s">
        <v>44</v>
      </c>
      <c r="Q69" s="39">
        <v>21256</v>
      </c>
      <c r="R69" s="39">
        <v>21256</v>
      </c>
      <c r="S69" s="39">
        <v>12753</v>
      </c>
      <c r="T69" s="39">
        <v>6377</v>
      </c>
      <c r="U69" s="39">
        <v>850</v>
      </c>
      <c r="V69" s="39">
        <v>638</v>
      </c>
      <c r="W69" s="39">
        <v>0</v>
      </c>
      <c r="X69" s="39">
        <v>0</v>
      </c>
      <c r="Y69" s="39">
        <v>638</v>
      </c>
      <c r="Z69" s="39">
        <v>638</v>
      </c>
      <c r="AA69" s="39">
        <v>0</v>
      </c>
      <c r="AB69" s="39">
        <v>0</v>
      </c>
      <c r="AC69" s="39">
        <v>0</v>
      </c>
      <c r="AD69" s="39">
        <v>0</v>
      </c>
      <c r="AE69" s="39">
        <v>0</v>
      </c>
      <c r="AF69" s="39">
        <v>0</v>
      </c>
      <c r="AG69" s="39">
        <v>0</v>
      </c>
      <c r="AH69" s="39">
        <v>0</v>
      </c>
      <c r="AI69" s="39">
        <v>0</v>
      </c>
      <c r="AJ69" s="39">
        <f>'Row data'!$S69+'Row data'!$T69+'Row data'!$U69+'Row data'!$W69+'Row data'!$X69+'Row data'!$Y69+'Row data'!$Z69+'Row data'!$AA69+'Row data'!$AB69+'Row data'!$AD69-'Row data'!$AC69-'Row data'!$AE69-'Row data'!$AF69-'Row data'!$AG69-'Row data'!$AH69-'Row data'!$AI69</f>
        <v>21256</v>
      </c>
      <c r="AK69" s="39">
        <v>21256</v>
      </c>
      <c r="AL69" s="39">
        <v>0</v>
      </c>
    </row>
    <row r="70" spans="1:38" x14ac:dyDescent="0.3">
      <c r="A70" s="40">
        <v>69</v>
      </c>
      <c r="B70" s="35" t="s">
        <v>237</v>
      </c>
      <c r="C70" s="35">
        <v>5484198</v>
      </c>
      <c r="D70" s="36" t="s">
        <v>238</v>
      </c>
      <c r="E70" s="35" t="s">
        <v>239</v>
      </c>
      <c r="F70" s="35" t="s">
        <v>239</v>
      </c>
      <c r="G70" s="35" t="s">
        <v>240</v>
      </c>
      <c r="H70" s="37" t="s">
        <v>241</v>
      </c>
      <c r="I70" s="38">
        <v>41974</v>
      </c>
      <c r="J70" s="38">
        <v>45291</v>
      </c>
      <c r="K70" s="17">
        <f>YEAR('Row data'!$J70)</f>
        <v>2023</v>
      </c>
      <c r="L70" s="38">
        <v>32508</v>
      </c>
      <c r="M70" s="35" t="str">
        <f ca="1">IF('Row data'!$J70="",DATEDIF('Row data'!$L70,TODAY(),"y"),"0")</f>
        <v>0</v>
      </c>
      <c r="N70" s="35" t="s">
        <v>42</v>
      </c>
      <c r="O70" s="35" t="s">
        <v>43</v>
      </c>
      <c r="P70" s="39" t="s">
        <v>44</v>
      </c>
      <c r="Q70" s="39">
        <v>46870</v>
      </c>
      <c r="R70" s="39">
        <v>46870</v>
      </c>
      <c r="S70" s="39">
        <v>28122</v>
      </c>
      <c r="T70" s="39">
        <v>14061</v>
      </c>
      <c r="U70" s="39">
        <v>1875</v>
      </c>
      <c r="V70" s="39">
        <v>1406</v>
      </c>
      <c r="W70" s="39">
        <v>0</v>
      </c>
      <c r="X70" s="39">
        <v>0</v>
      </c>
      <c r="Y70" s="39">
        <v>1406</v>
      </c>
      <c r="Z70" s="39">
        <v>1406</v>
      </c>
      <c r="AA70" s="39">
        <v>0</v>
      </c>
      <c r="AB70" s="39">
        <v>0</v>
      </c>
      <c r="AC70" s="39">
        <v>0</v>
      </c>
      <c r="AD70" s="39">
        <v>0</v>
      </c>
      <c r="AE70" s="39">
        <v>0</v>
      </c>
      <c r="AF70" s="39">
        <v>0</v>
      </c>
      <c r="AG70" s="39">
        <v>0</v>
      </c>
      <c r="AH70" s="39">
        <v>0</v>
      </c>
      <c r="AI70" s="39">
        <v>0</v>
      </c>
      <c r="AJ70" s="39">
        <f>'Row data'!$S70+'Row data'!$T70+'Row data'!$U70+'Row data'!$W70+'Row data'!$X70+'Row data'!$Y70+'Row data'!$Z70+'Row data'!$AA70+'Row data'!$AB70+'Row data'!$AD70-'Row data'!$AC70-'Row data'!$AE70-'Row data'!$AF70-'Row data'!$AG70-'Row data'!$AH70-'Row data'!$AI70</f>
        <v>46870</v>
      </c>
      <c r="AK70" s="39">
        <v>46870</v>
      </c>
      <c r="AL70" s="39">
        <v>0</v>
      </c>
    </row>
    <row r="71" spans="1:38" x14ac:dyDescent="0.3">
      <c r="A71" s="40">
        <v>70</v>
      </c>
      <c r="B71" s="35" t="s">
        <v>237</v>
      </c>
      <c r="C71" s="35">
        <v>7798029</v>
      </c>
      <c r="D71" s="36" t="s">
        <v>242</v>
      </c>
      <c r="E71" s="35" t="s">
        <v>239</v>
      </c>
      <c r="F71" s="35" t="s">
        <v>239</v>
      </c>
      <c r="G71" s="35" t="s">
        <v>243</v>
      </c>
      <c r="H71" s="37" t="s">
        <v>244</v>
      </c>
      <c r="I71" s="38">
        <v>43253</v>
      </c>
      <c r="J71" s="38"/>
      <c r="K71" s="17"/>
      <c r="L71" s="38">
        <v>30950</v>
      </c>
      <c r="M71" s="35">
        <f ca="1">IF('Row data'!$J71="",DATEDIF('Row data'!$L71,TODAY(),"y"),"0")</f>
        <v>41</v>
      </c>
      <c r="N71" s="35" t="s">
        <v>42</v>
      </c>
      <c r="O71" s="35" t="s">
        <v>43</v>
      </c>
      <c r="P71" s="39" t="s">
        <v>44</v>
      </c>
      <c r="Q71" s="39">
        <v>48941</v>
      </c>
      <c r="R71" s="39">
        <v>48941</v>
      </c>
      <c r="S71" s="39">
        <v>29365</v>
      </c>
      <c r="T71" s="39">
        <v>14682</v>
      </c>
      <c r="U71" s="39">
        <v>1958</v>
      </c>
      <c r="V71" s="39">
        <v>1468</v>
      </c>
      <c r="W71" s="39">
        <v>0</v>
      </c>
      <c r="X71" s="39">
        <v>0</v>
      </c>
      <c r="Y71" s="39">
        <v>1468</v>
      </c>
      <c r="Z71" s="39">
        <v>1468</v>
      </c>
      <c r="AA71" s="39">
        <v>0</v>
      </c>
      <c r="AB71" s="39">
        <v>0</v>
      </c>
      <c r="AC71" s="39">
        <v>0</v>
      </c>
      <c r="AD71" s="39">
        <v>0</v>
      </c>
      <c r="AE71" s="39">
        <v>0</v>
      </c>
      <c r="AF71" s="39">
        <v>0</v>
      </c>
      <c r="AG71" s="39">
        <v>0</v>
      </c>
      <c r="AH71" s="39">
        <v>300</v>
      </c>
      <c r="AI71" s="39">
        <v>0</v>
      </c>
      <c r="AJ71" s="39">
        <f>'Row data'!$S71+'Row data'!$T71+'Row data'!$U71+'Row data'!$W71+'Row data'!$X71+'Row data'!$Y71+'Row data'!$Z71+'Row data'!$AA71+'Row data'!$AB71+'Row data'!$AD71-'Row data'!$AC71-'Row data'!$AE71-'Row data'!$AF71-'Row data'!$AG71-'Row data'!$AH71-'Row data'!$AI71</f>
        <v>48641</v>
      </c>
      <c r="AK71" s="39">
        <v>48641</v>
      </c>
      <c r="AL71" s="39">
        <v>0</v>
      </c>
    </row>
    <row r="72" spans="1:38" x14ac:dyDescent="0.3">
      <c r="A72" s="40">
        <v>71</v>
      </c>
      <c r="B72" s="35" t="s">
        <v>237</v>
      </c>
      <c r="C72" s="35">
        <v>5514537</v>
      </c>
      <c r="D72" s="36" t="s">
        <v>245</v>
      </c>
      <c r="E72" s="35" t="s">
        <v>71</v>
      </c>
      <c r="F72" s="35" t="s">
        <v>72</v>
      </c>
      <c r="G72" s="35" t="s">
        <v>246</v>
      </c>
      <c r="H72" s="37" t="s">
        <v>247</v>
      </c>
      <c r="I72" s="38">
        <v>41699</v>
      </c>
      <c r="J72" s="38"/>
      <c r="K72" s="17"/>
      <c r="L72" s="38">
        <v>34700</v>
      </c>
      <c r="M72" s="35">
        <f ca="1">IF('Row data'!$J72="",DATEDIF('Row data'!$L72,TODAY(),"y"),"0")</f>
        <v>31</v>
      </c>
      <c r="N72" s="35" t="s">
        <v>42</v>
      </c>
      <c r="O72" s="35" t="s">
        <v>43</v>
      </c>
      <c r="P72" s="39" t="s">
        <v>44</v>
      </c>
      <c r="Q72" s="39">
        <v>17991</v>
      </c>
      <c r="R72" s="39">
        <v>12991</v>
      </c>
      <c r="S72" s="39">
        <v>10794</v>
      </c>
      <c r="T72" s="39">
        <v>5397</v>
      </c>
      <c r="U72" s="39">
        <v>720</v>
      </c>
      <c r="V72" s="39">
        <v>540</v>
      </c>
      <c r="W72" s="39">
        <v>0</v>
      </c>
      <c r="X72" s="39">
        <v>0</v>
      </c>
      <c r="Y72" s="39">
        <v>540</v>
      </c>
      <c r="Z72" s="39">
        <v>540</v>
      </c>
      <c r="AA72" s="39">
        <v>0</v>
      </c>
      <c r="AB72" s="39">
        <v>0</v>
      </c>
      <c r="AC72" s="39">
        <v>-5000</v>
      </c>
      <c r="AD72" s="39">
        <v>0</v>
      </c>
      <c r="AE72" s="39">
        <v>0</v>
      </c>
      <c r="AF72" s="39">
        <v>0</v>
      </c>
      <c r="AG72" s="39">
        <v>0</v>
      </c>
      <c r="AH72" s="39">
        <v>0</v>
      </c>
      <c r="AI72" s="39">
        <v>0</v>
      </c>
      <c r="AJ72" s="39">
        <f>'Row data'!$S72+'Row data'!$T72+'Row data'!$U72+'Row data'!$W72+'Row data'!$X72+'Row data'!$Y72+'Row data'!$Z72+'Row data'!$AA72+'Row data'!$AB72+'Row data'!$AD72-'Row data'!$AC72-'Row data'!$AE72-'Row data'!$AF72-'Row data'!$AG72-'Row data'!$AH72-'Row data'!$AI72</f>
        <v>22991</v>
      </c>
      <c r="AK72" s="39">
        <v>12991</v>
      </c>
      <c r="AL72" s="39">
        <v>0</v>
      </c>
    </row>
    <row r="73" spans="1:38" x14ac:dyDescent="0.3">
      <c r="A73" s="40">
        <v>72</v>
      </c>
      <c r="B73" s="35" t="s">
        <v>237</v>
      </c>
      <c r="C73" s="35">
        <v>7731098</v>
      </c>
      <c r="D73" s="36" t="s">
        <v>248</v>
      </c>
      <c r="E73" s="35" t="s">
        <v>71</v>
      </c>
      <c r="F73" s="35" t="s">
        <v>249</v>
      </c>
      <c r="G73" s="35" t="s">
        <v>250</v>
      </c>
      <c r="H73" s="37" t="s">
        <v>251</v>
      </c>
      <c r="I73" s="38">
        <v>42753</v>
      </c>
      <c r="J73" s="38"/>
      <c r="K73" s="17"/>
      <c r="L73" s="38">
        <v>33984</v>
      </c>
      <c r="M73" s="35">
        <f ca="1">IF('Row data'!$J73="",DATEDIF('Row data'!$L73,TODAY(),"y"),"0")</f>
        <v>33</v>
      </c>
      <c r="N73" s="35" t="s">
        <v>75</v>
      </c>
      <c r="O73" s="35" t="s">
        <v>43</v>
      </c>
      <c r="P73" s="39" t="s">
        <v>44</v>
      </c>
      <c r="Q73" s="39">
        <v>17767</v>
      </c>
      <c r="R73" s="39">
        <v>13325</v>
      </c>
      <c r="S73" s="39">
        <v>10660</v>
      </c>
      <c r="T73" s="39">
        <v>5330</v>
      </c>
      <c r="U73" s="39">
        <v>711</v>
      </c>
      <c r="V73" s="39">
        <v>533</v>
      </c>
      <c r="W73" s="39">
        <v>0</v>
      </c>
      <c r="X73" s="39">
        <v>0</v>
      </c>
      <c r="Y73" s="39">
        <v>533</v>
      </c>
      <c r="Z73" s="39">
        <v>533</v>
      </c>
      <c r="AA73" s="39">
        <v>0</v>
      </c>
      <c r="AB73" s="39">
        <v>0</v>
      </c>
      <c r="AC73" s="39">
        <v>-4442</v>
      </c>
      <c r="AD73" s="39">
        <v>0</v>
      </c>
      <c r="AE73" s="39">
        <v>0</v>
      </c>
      <c r="AF73" s="39">
        <v>0</v>
      </c>
      <c r="AG73" s="39">
        <v>0</v>
      </c>
      <c r="AH73" s="39">
        <v>0</v>
      </c>
      <c r="AI73" s="39">
        <v>0</v>
      </c>
      <c r="AJ73" s="39">
        <f>'Row data'!$S73+'Row data'!$T73+'Row data'!$U73+'Row data'!$W73+'Row data'!$X73+'Row data'!$Y73+'Row data'!$Z73+'Row data'!$AA73+'Row data'!$AB73+'Row data'!$AD73-'Row data'!$AC73-'Row data'!$AE73-'Row data'!$AF73-'Row data'!$AG73-'Row data'!$AH73-'Row data'!$AI73</f>
        <v>22209</v>
      </c>
      <c r="AK73" s="39">
        <v>13325</v>
      </c>
      <c r="AL73" s="39">
        <v>0</v>
      </c>
    </row>
    <row r="74" spans="1:38" x14ac:dyDescent="0.3">
      <c r="A74" s="40">
        <v>73</v>
      </c>
      <c r="B74" s="35" t="s">
        <v>237</v>
      </c>
      <c r="C74" s="35">
        <v>9454142</v>
      </c>
      <c r="D74" s="36" t="s">
        <v>252</v>
      </c>
      <c r="E74" s="35" t="s">
        <v>71</v>
      </c>
      <c r="F74" s="35" t="s">
        <v>86</v>
      </c>
      <c r="G74" s="35" t="s">
        <v>253</v>
      </c>
      <c r="H74" s="37" t="s">
        <v>254</v>
      </c>
      <c r="I74" s="38">
        <v>41426</v>
      </c>
      <c r="J74" s="38">
        <v>44927</v>
      </c>
      <c r="K74" s="17">
        <f>YEAR('Row data'!$J74)</f>
        <v>2023</v>
      </c>
      <c r="L74" s="38">
        <v>24625</v>
      </c>
      <c r="M74" s="35" t="str">
        <f ca="1">IF('Row data'!$J74="",DATEDIF('Row data'!$L74,TODAY(),"y"),"0")</f>
        <v>0</v>
      </c>
      <c r="N74" s="35" t="s">
        <v>42</v>
      </c>
      <c r="O74" s="35" t="s">
        <v>43</v>
      </c>
      <c r="P74" s="39" t="s">
        <v>44</v>
      </c>
      <c r="Q74" s="39">
        <v>185000</v>
      </c>
      <c r="R74" s="39">
        <v>185000</v>
      </c>
      <c r="S74" s="39">
        <v>111000</v>
      </c>
      <c r="T74" s="39">
        <v>55500</v>
      </c>
      <c r="U74" s="39">
        <v>7400</v>
      </c>
      <c r="V74" s="39">
        <v>5550</v>
      </c>
      <c r="W74" s="39">
        <v>0</v>
      </c>
      <c r="X74" s="39">
        <v>0</v>
      </c>
      <c r="Y74" s="39">
        <v>5550</v>
      </c>
      <c r="Z74" s="39">
        <v>5550</v>
      </c>
      <c r="AA74" s="39">
        <v>0</v>
      </c>
      <c r="AB74" s="39">
        <v>0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39">
        <v>16000</v>
      </c>
      <c r="AI74" s="39">
        <v>0</v>
      </c>
      <c r="AJ74" s="39">
        <f>'Row data'!$S74+'Row data'!$T74+'Row data'!$U74+'Row data'!$W74+'Row data'!$X74+'Row data'!$Y74+'Row data'!$Z74+'Row data'!$AA74+'Row data'!$AB74+'Row data'!$AD74-'Row data'!$AC74-'Row data'!$AE74-'Row data'!$AF74-'Row data'!$AG74-'Row data'!$AH74-'Row data'!$AI74</f>
        <v>169000</v>
      </c>
      <c r="AK74" s="39">
        <v>169000</v>
      </c>
      <c r="AL74" s="39">
        <v>0</v>
      </c>
    </row>
    <row r="75" spans="1:38" x14ac:dyDescent="0.3">
      <c r="A75" s="40">
        <v>74</v>
      </c>
      <c r="B75" s="35" t="s">
        <v>237</v>
      </c>
      <c r="C75" s="35">
        <v>6334717</v>
      </c>
      <c r="D75" s="36" t="s">
        <v>255</v>
      </c>
      <c r="E75" s="35" t="s">
        <v>71</v>
      </c>
      <c r="F75" s="35" t="s">
        <v>17</v>
      </c>
      <c r="G75" s="35" t="s">
        <v>256</v>
      </c>
      <c r="H75" s="37" t="s">
        <v>257</v>
      </c>
      <c r="I75" s="38">
        <v>42679</v>
      </c>
      <c r="J75" s="38"/>
      <c r="K75" s="17"/>
      <c r="L75" s="38">
        <v>34773</v>
      </c>
      <c r="M75" s="35">
        <f ca="1">IF('Row data'!$J75="",DATEDIF('Row data'!$L75,TODAY(),"y"),"0")</f>
        <v>31</v>
      </c>
      <c r="N75" s="35" t="s">
        <v>75</v>
      </c>
      <c r="O75" s="35" t="s">
        <v>43</v>
      </c>
      <c r="P75" s="39" t="s">
        <v>44</v>
      </c>
      <c r="Q75" s="39">
        <v>32179</v>
      </c>
      <c r="R75" s="39">
        <v>32179</v>
      </c>
      <c r="S75" s="39">
        <v>19308</v>
      </c>
      <c r="T75" s="39">
        <v>9654</v>
      </c>
      <c r="U75" s="39">
        <v>1287</v>
      </c>
      <c r="V75" s="39">
        <v>965</v>
      </c>
      <c r="W75" s="39">
        <v>0</v>
      </c>
      <c r="X75" s="39">
        <v>0</v>
      </c>
      <c r="Y75" s="39">
        <v>965</v>
      </c>
      <c r="Z75" s="39">
        <v>965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v>0</v>
      </c>
      <c r="AI75" s="39">
        <v>0</v>
      </c>
      <c r="AJ75" s="39">
        <f>'Row data'!$S75+'Row data'!$T75+'Row data'!$U75+'Row data'!$W75+'Row data'!$X75+'Row data'!$Y75+'Row data'!$Z75+'Row data'!$AA75+'Row data'!$AB75+'Row data'!$AD75-'Row data'!$AC75-'Row data'!$AE75-'Row data'!$AF75-'Row data'!$AG75-'Row data'!$AH75-'Row data'!$AI75</f>
        <v>32179</v>
      </c>
      <c r="AK75" s="39">
        <v>32179</v>
      </c>
      <c r="AL75" s="39">
        <v>0</v>
      </c>
    </row>
    <row r="76" spans="1:38" x14ac:dyDescent="0.3">
      <c r="A76" s="40">
        <v>75</v>
      </c>
      <c r="B76" s="35" t="s">
        <v>237</v>
      </c>
      <c r="C76" s="35">
        <v>9274196</v>
      </c>
      <c r="D76" s="36" t="s">
        <v>258</v>
      </c>
      <c r="E76" s="35" t="s">
        <v>71</v>
      </c>
      <c r="F76" s="35" t="s">
        <v>90</v>
      </c>
      <c r="G76" s="35" t="s">
        <v>259</v>
      </c>
      <c r="H76" s="37" t="s">
        <v>260</v>
      </c>
      <c r="I76" s="38">
        <v>41415</v>
      </c>
      <c r="J76" s="38"/>
      <c r="K76" s="17"/>
      <c r="L76" s="38">
        <v>27525</v>
      </c>
      <c r="M76" s="35">
        <f ca="1">IF('Row data'!$J76="",DATEDIF('Row data'!$L76,TODAY(),"y"),"0")</f>
        <v>51</v>
      </c>
      <c r="N76" s="35" t="s">
        <v>42</v>
      </c>
      <c r="O76" s="35" t="s">
        <v>43</v>
      </c>
      <c r="P76" s="39" t="s">
        <v>44</v>
      </c>
      <c r="Q76" s="39">
        <v>24198</v>
      </c>
      <c r="R76" s="39">
        <v>24198</v>
      </c>
      <c r="S76" s="39">
        <v>14519</v>
      </c>
      <c r="T76" s="39">
        <v>7259</v>
      </c>
      <c r="U76" s="39">
        <v>968</v>
      </c>
      <c r="V76" s="39">
        <v>726</v>
      </c>
      <c r="W76" s="39">
        <v>0</v>
      </c>
      <c r="X76" s="39">
        <v>0</v>
      </c>
      <c r="Y76" s="39">
        <v>726</v>
      </c>
      <c r="Z76" s="39">
        <v>726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39">
        <v>0</v>
      </c>
      <c r="AI76" s="39">
        <v>0</v>
      </c>
      <c r="AJ76" s="39">
        <f>'Row data'!$S76+'Row data'!$T76+'Row data'!$U76+'Row data'!$W76+'Row data'!$X76+'Row data'!$Y76+'Row data'!$Z76+'Row data'!$AA76+'Row data'!$AB76+'Row data'!$AD76-'Row data'!$AC76-'Row data'!$AE76-'Row data'!$AF76-'Row data'!$AG76-'Row data'!$AH76-'Row data'!$AI76</f>
        <v>24198</v>
      </c>
      <c r="AK76" s="39">
        <v>24198</v>
      </c>
      <c r="AL76" s="39">
        <v>0</v>
      </c>
    </row>
    <row r="77" spans="1:38" x14ac:dyDescent="0.3">
      <c r="A77" s="40">
        <v>76</v>
      </c>
      <c r="B77" s="35" t="s">
        <v>237</v>
      </c>
      <c r="C77" s="35">
        <v>5804642</v>
      </c>
      <c r="D77" s="36" t="s">
        <v>261</v>
      </c>
      <c r="E77" s="35" t="s">
        <v>71</v>
      </c>
      <c r="F77" s="35" t="s">
        <v>90</v>
      </c>
      <c r="G77" s="35" t="s">
        <v>262</v>
      </c>
      <c r="H77" s="37" t="s">
        <v>263</v>
      </c>
      <c r="I77" s="38">
        <v>40360</v>
      </c>
      <c r="J77" s="38">
        <v>44927</v>
      </c>
      <c r="K77" s="17">
        <f>YEAR('Row data'!$J77)</f>
        <v>2023</v>
      </c>
      <c r="L77" s="38">
        <v>24901</v>
      </c>
      <c r="M77" s="35" t="str">
        <f ca="1">IF('Row data'!$J77="",DATEDIF('Row data'!$L77,TODAY(),"y"),"0")</f>
        <v>0</v>
      </c>
      <c r="N77" s="35" t="s">
        <v>42</v>
      </c>
      <c r="O77" s="35" t="s">
        <v>43</v>
      </c>
      <c r="P77" s="39" t="s">
        <v>44</v>
      </c>
      <c r="Q77" s="39">
        <v>23226</v>
      </c>
      <c r="R77" s="39">
        <v>23226</v>
      </c>
      <c r="S77" s="39">
        <v>13935</v>
      </c>
      <c r="T77" s="39">
        <v>6968</v>
      </c>
      <c r="U77" s="39">
        <v>929</v>
      </c>
      <c r="V77" s="39">
        <v>697</v>
      </c>
      <c r="W77" s="39">
        <v>0</v>
      </c>
      <c r="X77" s="39">
        <v>0</v>
      </c>
      <c r="Y77" s="39">
        <v>697</v>
      </c>
      <c r="Z77" s="39">
        <v>697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39">
        <v>0</v>
      </c>
      <c r="AI77" s="39">
        <v>0</v>
      </c>
      <c r="AJ77" s="39">
        <f>'Row data'!$S77+'Row data'!$T77+'Row data'!$U77+'Row data'!$W77+'Row data'!$X77+'Row data'!$Y77+'Row data'!$Z77+'Row data'!$AA77+'Row data'!$AB77+'Row data'!$AD77-'Row data'!$AC77-'Row data'!$AE77-'Row data'!$AF77-'Row data'!$AG77-'Row data'!$AH77-'Row data'!$AI77</f>
        <v>23226</v>
      </c>
      <c r="AK77" s="39">
        <v>23226</v>
      </c>
      <c r="AL77" s="39">
        <v>0</v>
      </c>
    </row>
    <row r="78" spans="1:38" x14ac:dyDescent="0.3">
      <c r="A78" s="40">
        <v>77</v>
      </c>
      <c r="B78" s="35" t="s">
        <v>237</v>
      </c>
      <c r="C78" s="35">
        <v>5345011</v>
      </c>
      <c r="D78" s="36" t="s">
        <v>264</v>
      </c>
      <c r="E78" s="35" t="s">
        <v>71</v>
      </c>
      <c r="F78" s="35" t="s">
        <v>90</v>
      </c>
      <c r="G78" s="35" t="s">
        <v>262</v>
      </c>
      <c r="H78" s="37" t="s">
        <v>265</v>
      </c>
      <c r="I78" s="38">
        <v>40550</v>
      </c>
      <c r="J78" s="38">
        <v>44927</v>
      </c>
      <c r="K78" s="17">
        <f>YEAR('Row data'!$J78)</f>
        <v>2023</v>
      </c>
      <c r="L78" s="38">
        <v>24237</v>
      </c>
      <c r="M78" s="35" t="str">
        <f ca="1">IF('Row data'!$J78="",DATEDIF('Row data'!$L78,TODAY(),"y"),"0")</f>
        <v>0</v>
      </c>
      <c r="N78" s="35" t="s">
        <v>42</v>
      </c>
      <c r="O78" s="35" t="s">
        <v>43</v>
      </c>
      <c r="P78" s="39" t="s">
        <v>44</v>
      </c>
      <c r="Q78" s="39">
        <v>24184</v>
      </c>
      <c r="R78" s="39">
        <v>24184</v>
      </c>
      <c r="S78" s="39">
        <v>14510</v>
      </c>
      <c r="T78" s="39">
        <v>7255</v>
      </c>
      <c r="U78" s="39">
        <v>967</v>
      </c>
      <c r="V78" s="39">
        <v>726</v>
      </c>
      <c r="W78" s="39">
        <v>0</v>
      </c>
      <c r="X78" s="39">
        <v>0</v>
      </c>
      <c r="Y78" s="39">
        <v>726</v>
      </c>
      <c r="Z78" s="39">
        <v>726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39">
        <v>0</v>
      </c>
      <c r="AI78" s="39">
        <v>0</v>
      </c>
      <c r="AJ78" s="39">
        <f>'Row data'!$S78+'Row data'!$T78+'Row data'!$U78+'Row data'!$W78+'Row data'!$X78+'Row data'!$Y78+'Row data'!$Z78+'Row data'!$AA78+'Row data'!$AB78+'Row data'!$AD78-'Row data'!$AC78-'Row data'!$AE78-'Row data'!$AF78-'Row data'!$AG78-'Row data'!$AH78-'Row data'!$AI78</f>
        <v>24184</v>
      </c>
      <c r="AK78" s="39">
        <v>24184</v>
      </c>
      <c r="AL78" s="39">
        <v>0</v>
      </c>
    </row>
    <row r="79" spans="1:38" x14ac:dyDescent="0.3">
      <c r="A79" s="40">
        <v>78</v>
      </c>
      <c r="B79" s="35" t="s">
        <v>237</v>
      </c>
      <c r="C79" s="35">
        <v>9110823</v>
      </c>
      <c r="D79" s="36" t="s">
        <v>266</v>
      </c>
      <c r="E79" s="35" t="s">
        <v>71</v>
      </c>
      <c r="F79" s="35" t="s">
        <v>90</v>
      </c>
      <c r="G79" s="35" t="s">
        <v>267</v>
      </c>
      <c r="H79" s="37" t="s">
        <v>268</v>
      </c>
      <c r="I79" s="38">
        <v>45301</v>
      </c>
      <c r="J79" s="38">
        <v>44927</v>
      </c>
      <c r="K79" s="17">
        <f>YEAR('Row data'!$J79)</f>
        <v>2023</v>
      </c>
      <c r="L79" s="38">
        <v>29285</v>
      </c>
      <c r="M79" s="35" t="str">
        <f ca="1">IF('Row data'!$J79="",DATEDIF('Row data'!$L79,TODAY(),"y"),"0")</f>
        <v>0</v>
      </c>
      <c r="N79" s="35" t="s">
        <v>42</v>
      </c>
      <c r="O79" s="35" t="s">
        <v>43</v>
      </c>
      <c r="P79" s="39" t="s">
        <v>44</v>
      </c>
      <c r="Q79" s="39">
        <v>25000</v>
      </c>
      <c r="R79" s="39">
        <v>25000</v>
      </c>
      <c r="S79" s="39">
        <v>14500</v>
      </c>
      <c r="T79" s="39">
        <v>7250</v>
      </c>
      <c r="U79" s="39">
        <v>1450</v>
      </c>
      <c r="V79" s="39">
        <v>1800</v>
      </c>
      <c r="W79" s="39">
        <v>0</v>
      </c>
      <c r="X79" s="39">
        <v>0</v>
      </c>
      <c r="Y79" s="39">
        <v>0</v>
      </c>
      <c r="Z79" s="39">
        <v>1800</v>
      </c>
      <c r="AA79" s="39">
        <v>0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39">
        <v>0</v>
      </c>
      <c r="AI79" s="39">
        <v>0</v>
      </c>
      <c r="AJ79" s="39">
        <f>'Row data'!$S79+'Row data'!$T79+'Row data'!$U79+'Row data'!$W79+'Row data'!$X79+'Row data'!$Y79+'Row data'!$Z79+'Row data'!$AA79+'Row data'!$AB79+'Row data'!$AD79-'Row data'!$AC79-'Row data'!$AE79-'Row data'!$AF79-'Row data'!$AG79-'Row data'!$AH79-'Row data'!$AI79</f>
        <v>25000</v>
      </c>
      <c r="AK79" s="39">
        <v>25000</v>
      </c>
      <c r="AL79" s="39">
        <v>0</v>
      </c>
    </row>
    <row r="80" spans="1:38" x14ac:dyDescent="0.3">
      <c r="A80" s="40">
        <v>79</v>
      </c>
      <c r="B80" s="35" t="s">
        <v>237</v>
      </c>
      <c r="C80" s="35">
        <v>6416473</v>
      </c>
      <c r="D80" s="36" t="s">
        <v>269</v>
      </c>
      <c r="E80" s="35" t="s">
        <v>71</v>
      </c>
      <c r="F80" s="35" t="s">
        <v>90</v>
      </c>
      <c r="G80" s="35" t="s">
        <v>91</v>
      </c>
      <c r="H80" s="37" t="s">
        <v>270</v>
      </c>
      <c r="I80" s="38">
        <v>44593</v>
      </c>
      <c r="J80" s="38"/>
      <c r="K80" s="17"/>
      <c r="L80" s="38">
        <v>33770</v>
      </c>
      <c r="M80" s="35">
        <f ca="1">IF('Row data'!$J80="",DATEDIF('Row data'!$L80,TODAY(),"y"),"0")</f>
        <v>34</v>
      </c>
      <c r="N80" s="35" t="s">
        <v>75</v>
      </c>
      <c r="O80" s="35" t="s">
        <v>43</v>
      </c>
      <c r="P80" s="39" t="s">
        <v>44</v>
      </c>
      <c r="Q80" s="39">
        <v>16153</v>
      </c>
      <c r="R80" s="39">
        <v>8365</v>
      </c>
      <c r="S80" s="39">
        <v>9691</v>
      </c>
      <c r="T80" s="39">
        <v>4846</v>
      </c>
      <c r="U80" s="39">
        <v>646</v>
      </c>
      <c r="V80" s="39">
        <v>485</v>
      </c>
      <c r="W80" s="39">
        <v>0</v>
      </c>
      <c r="X80" s="39">
        <v>0</v>
      </c>
      <c r="Y80" s="39">
        <v>485</v>
      </c>
      <c r="Z80" s="39">
        <v>485</v>
      </c>
      <c r="AA80" s="39">
        <v>0</v>
      </c>
      <c r="AB80" s="39">
        <v>0</v>
      </c>
      <c r="AC80" s="39">
        <v>-7788</v>
      </c>
      <c r="AD80" s="39">
        <v>0</v>
      </c>
      <c r="AE80" s="39">
        <v>0</v>
      </c>
      <c r="AF80" s="39">
        <v>0</v>
      </c>
      <c r="AG80" s="39">
        <v>500</v>
      </c>
      <c r="AH80" s="39">
        <v>0</v>
      </c>
      <c r="AI80" s="39">
        <v>0</v>
      </c>
      <c r="AJ80" s="39">
        <f>'Row data'!$S80+'Row data'!$T80+'Row data'!$U80+'Row data'!$W80+'Row data'!$X80+'Row data'!$Y80+'Row data'!$Z80+'Row data'!$AA80+'Row data'!$AB80+'Row data'!$AD80-'Row data'!$AC80-'Row data'!$AE80-'Row data'!$AF80-'Row data'!$AG80-'Row data'!$AH80-'Row data'!$AI80</f>
        <v>23441</v>
      </c>
      <c r="AK80" s="39">
        <v>7865</v>
      </c>
      <c r="AL80" s="39">
        <v>0</v>
      </c>
    </row>
    <row r="81" spans="1:38" x14ac:dyDescent="0.3">
      <c r="A81" s="40">
        <v>80</v>
      </c>
      <c r="B81" s="35" t="s">
        <v>237</v>
      </c>
      <c r="C81" s="35">
        <v>9427349</v>
      </c>
      <c r="D81" s="36" t="s">
        <v>271</v>
      </c>
      <c r="E81" s="35" t="s">
        <v>71</v>
      </c>
      <c r="F81" s="35" t="s">
        <v>94</v>
      </c>
      <c r="G81" s="35" t="s">
        <v>272</v>
      </c>
      <c r="H81" s="37" t="s">
        <v>273</v>
      </c>
      <c r="I81" s="38">
        <v>44632</v>
      </c>
      <c r="J81" s="38"/>
      <c r="K81" s="17"/>
      <c r="L81" s="38">
        <v>37914</v>
      </c>
      <c r="M81" s="35">
        <f ca="1">IF('Row data'!$J81="",DATEDIF('Row data'!$L81,TODAY(),"y"),"0")</f>
        <v>22</v>
      </c>
      <c r="N81" s="35" t="s">
        <v>42</v>
      </c>
      <c r="O81" s="35" t="s">
        <v>43</v>
      </c>
      <c r="P81" s="39" t="s">
        <v>44</v>
      </c>
      <c r="Q81" s="39">
        <v>18608</v>
      </c>
      <c r="R81" s="39">
        <v>18608</v>
      </c>
      <c r="S81" s="39">
        <v>11165</v>
      </c>
      <c r="T81" s="39">
        <v>5583</v>
      </c>
      <c r="U81" s="39">
        <v>744</v>
      </c>
      <c r="V81" s="39">
        <v>558</v>
      </c>
      <c r="W81" s="39">
        <v>0</v>
      </c>
      <c r="X81" s="39">
        <v>0</v>
      </c>
      <c r="Y81" s="39">
        <v>558</v>
      </c>
      <c r="Z81" s="39">
        <v>558</v>
      </c>
      <c r="AA81" s="39">
        <v>0</v>
      </c>
      <c r="AB81" s="39">
        <v>0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v>0</v>
      </c>
      <c r="AI81" s="39">
        <v>0</v>
      </c>
      <c r="AJ81" s="39">
        <f>'Row data'!$S81+'Row data'!$T81+'Row data'!$U81+'Row data'!$W81+'Row data'!$X81+'Row data'!$Y81+'Row data'!$Z81+'Row data'!$AA81+'Row data'!$AB81+'Row data'!$AD81-'Row data'!$AC81-'Row data'!$AE81-'Row data'!$AF81-'Row data'!$AG81-'Row data'!$AH81-'Row data'!$AI81</f>
        <v>18608</v>
      </c>
      <c r="AK81" s="39">
        <v>18608</v>
      </c>
      <c r="AL81" s="39">
        <v>0</v>
      </c>
    </row>
    <row r="82" spans="1:38" x14ac:dyDescent="0.3">
      <c r="A82" s="40">
        <v>81</v>
      </c>
      <c r="B82" s="35" t="s">
        <v>237</v>
      </c>
      <c r="C82" s="35">
        <v>7594421</v>
      </c>
      <c r="D82" s="36" t="s">
        <v>274</v>
      </c>
      <c r="E82" s="35" t="s">
        <v>71</v>
      </c>
      <c r="F82" s="35" t="s">
        <v>94</v>
      </c>
      <c r="G82" s="35" t="s">
        <v>95</v>
      </c>
      <c r="H82" s="37" t="s">
        <v>275</v>
      </c>
      <c r="I82" s="38">
        <v>42756</v>
      </c>
      <c r="J82" s="38"/>
      <c r="K82" s="17"/>
      <c r="L82" s="38">
        <v>30817</v>
      </c>
      <c r="M82" s="35">
        <f ca="1">IF('Row data'!$J82="",DATEDIF('Row data'!$L82,TODAY(),"y"),"0")</f>
        <v>42</v>
      </c>
      <c r="N82" s="35" t="s">
        <v>42</v>
      </c>
      <c r="O82" s="35" t="s">
        <v>43</v>
      </c>
      <c r="P82" s="39" t="s">
        <v>44</v>
      </c>
      <c r="Q82" s="39">
        <v>16248</v>
      </c>
      <c r="R82" s="39">
        <v>16248</v>
      </c>
      <c r="S82" s="39">
        <v>9749</v>
      </c>
      <c r="T82" s="39">
        <v>4875</v>
      </c>
      <c r="U82" s="39">
        <v>650</v>
      </c>
      <c r="V82" s="39">
        <v>487</v>
      </c>
      <c r="W82" s="39">
        <v>0</v>
      </c>
      <c r="X82" s="39">
        <v>0</v>
      </c>
      <c r="Y82" s="39">
        <v>487</v>
      </c>
      <c r="Z82" s="39">
        <v>487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39">
        <v>0</v>
      </c>
      <c r="AJ82" s="39">
        <f>'Row data'!$S82+'Row data'!$T82+'Row data'!$U82+'Row data'!$W82+'Row data'!$X82+'Row data'!$Y82+'Row data'!$Z82+'Row data'!$AA82+'Row data'!$AB82+'Row data'!$AD82-'Row data'!$AC82-'Row data'!$AE82-'Row data'!$AF82-'Row data'!$AG82-'Row data'!$AH82-'Row data'!$AI82</f>
        <v>16248</v>
      </c>
      <c r="AK82" s="39">
        <v>16248</v>
      </c>
      <c r="AL82" s="39">
        <v>0</v>
      </c>
    </row>
    <row r="83" spans="1:38" x14ac:dyDescent="0.3">
      <c r="A83" s="40">
        <v>82</v>
      </c>
      <c r="B83" s="35" t="s">
        <v>237</v>
      </c>
      <c r="C83" s="35">
        <v>5109286</v>
      </c>
      <c r="D83" s="36" t="s">
        <v>276</v>
      </c>
      <c r="E83" s="35" t="s">
        <v>71</v>
      </c>
      <c r="F83" s="35" t="s">
        <v>106</v>
      </c>
      <c r="G83" s="35" t="s">
        <v>107</v>
      </c>
      <c r="H83" s="37" t="s">
        <v>277</v>
      </c>
      <c r="I83" s="38">
        <v>45566</v>
      </c>
      <c r="J83" s="38">
        <v>44927</v>
      </c>
      <c r="K83" s="17">
        <f>YEAR('Row data'!$J83)</f>
        <v>2023</v>
      </c>
      <c r="L83" s="38">
        <v>27636</v>
      </c>
      <c r="M83" s="35" t="str">
        <f ca="1">IF('Row data'!$J83="",DATEDIF('Row data'!$L83,TODAY(),"y"),"0")</f>
        <v>0</v>
      </c>
      <c r="N83" s="35" t="s">
        <v>42</v>
      </c>
      <c r="O83" s="35" t="s">
        <v>43</v>
      </c>
      <c r="P83" s="39" t="s">
        <v>44</v>
      </c>
      <c r="Q83" s="39">
        <v>20000</v>
      </c>
      <c r="R83" s="39">
        <v>20000</v>
      </c>
      <c r="S83" s="39">
        <v>11600</v>
      </c>
      <c r="T83" s="39">
        <v>5800</v>
      </c>
      <c r="U83" s="39">
        <v>1160</v>
      </c>
      <c r="V83" s="39">
        <v>1440</v>
      </c>
      <c r="W83" s="39">
        <v>0</v>
      </c>
      <c r="X83" s="39">
        <v>0</v>
      </c>
      <c r="Y83" s="39">
        <v>0</v>
      </c>
      <c r="Z83" s="39">
        <v>1440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v>0</v>
      </c>
      <c r="AI83" s="39">
        <v>0</v>
      </c>
      <c r="AJ83" s="39">
        <f>'Row data'!$S83+'Row data'!$T83+'Row data'!$U83+'Row data'!$W83+'Row data'!$X83+'Row data'!$Y83+'Row data'!$Z83+'Row data'!$AA83+'Row data'!$AB83+'Row data'!$AD83-'Row data'!$AC83-'Row data'!$AE83-'Row data'!$AF83-'Row data'!$AG83-'Row data'!$AH83-'Row data'!$AI83</f>
        <v>20000</v>
      </c>
      <c r="AK83" s="39">
        <v>20000</v>
      </c>
      <c r="AL83" s="39">
        <v>0</v>
      </c>
    </row>
    <row r="84" spans="1:38" x14ac:dyDescent="0.3">
      <c r="A84" s="40">
        <v>83</v>
      </c>
      <c r="B84" s="35" t="s">
        <v>237</v>
      </c>
      <c r="C84" s="35">
        <v>6379063</v>
      </c>
      <c r="D84" s="36" t="s">
        <v>278</v>
      </c>
      <c r="E84" s="35" t="s">
        <v>117</v>
      </c>
      <c r="F84" s="35" t="s">
        <v>117</v>
      </c>
      <c r="G84" s="35" t="s">
        <v>279</v>
      </c>
      <c r="H84" s="37" t="s">
        <v>280</v>
      </c>
      <c r="I84" s="38">
        <v>35582</v>
      </c>
      <c r="J84" s="38"/>
      <c r="K84" s="17"/>
      <c r="L84" s="38">
        <v>27103</v>
      </c>
      <c r="M84" s="35">
        <f ca="1">IF('Row data'!$J84="",DATEDIF('Row data'!$L84,TODAY(),"y"),"0")</f>
        <v>52</v>
      </c>
      <c r="N84" s="35" t="s">
        <v>42</v>
      </c>
      <c r="O84" s="35" t="s">
        <v>43</v>
      </c>
      <c r="P84" s="39" t="s">
        <v>44</v>
      </c>
      <c r="Q84" s="39">
        <v>73087</v>
      </c>
      <c r="R84" s="39">
        <v>73087</v>
      </c>
      <c r="S84" s="39">
        <v>43852</v>
      </c>
      <c r="T84" s="39">
        <v>21926</v>
      </c>
      <c r="U84" s="39">
        <v>2923</v>
      </c>
      <c r="V84" s="39">
        <v>2193</v>
      </c>
      <c r="W84" s="39">
        <v>0</v>
      </c>
      <c r="X84" s="39">
        <v>0</v>
      </c>
      <c r="Y84" s="39">
        <v>2193</v>
      </c>
      <c r="Z84" s="39">
        <v>2193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v>1000</v>
      </c>
      <c r="AI84" s="39">
        <v>0</v>
      </c>
      <c r="AJ84" s="39">
        <f>'Row data'!$S84+'Row data'!$T84+'Row data'!$U84+'Row data'!$W84+'Row data'!$X84+'Row data'!$Y84+'Row data'!$Z84+'Row data'!$AA84+'Row data'!$AB84+'Row data'!$AD84-'Row data'!$AC84-'Row data'!$AE84-'Row data'!$AF84-'Row data'!$AG84-'Row data'!$AH84-'Row data'!$AI84</f>
        <v>72087</v>
      </c>
      <c r="AK84" s="39">
        <v>72087</v>
      </c>
      <c r="AL84" s="39">
        <v>0</v>
      </c>
    </row>
    <row r="85" spans="1:38" x14ac:dyDescent="0.3">
      <c r="A85" s="40">
        <v>84</v>
      </c>
      <c r="B85" s="35" t="s">
        <v>237</v>
      </c>
      <c r="C85" s="35">
        <v>6852588</v>
      </c>
      <c r="D85" s="36" t="s">
        <v>281</v>
      </c>
      <c r="E85" s="35" t="s">
        <v>117</v>
      </c>
      <c r="F85" s="35" t="s">
        <v>117</v>
      </c>
      <c r="G85" s="35" t="s">
        <v>282</v>
      </c>
      <c r="H85" s="37" t="s">
        <v>283</v>
      </c>
      <c r="I85" s="38">
        <v>42522</v>
      </c>
      <c r="J85" s="38"/>
      <c r="K85" s="17"/>
      <c r="L85" s="38">
        <v>31318</v>
      </c>
      <c r="M85" s="35">
        <f ca="1">IF('Row data'!$J85="",DATEDIF('Row data'!$L85,TODAY(),"y"),"0")</f>
        <v>40</v>
      </c>
      <c r="N85" s="35" t="s">
        <v>42</v>
      </c>
      <c r="O85" s="35" t="s">
        <v>43</v>
      </c>
      <c r="P85" s="39" t="s">
        <v>44</v>
      </c>
      <c r="Q85" s="39">
        <v>30476</v>
      </c>
      <c r="R85" s="39">
        <v>30476</v>
      </c>
      <c r="S85" s="39">
        <v>18286</v>
      </c>
      <c r="T85" s="39">
        <v>9143</v>
      </c>
      <c r="U85" s="39">
        <v>1219</v>
      </c>
      <c r="V85" s="39">
        <v>914</v>
      </c>
      <c r="W85" s="39">
        <v>0</v>
      </c>
      <c r="X85" s="39">
        <v>0</v>
      </c>
      <c r="Y85" s="39">
        <v>914</v>
      </c>
      <c r="Z85" s="39">
        <v>914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v>0</v>
      </c>
      <c r="AI85" s="39">
        <v>0</v>
      </c>
      <c r="AJ85" s="39">
        <f>'Row data'!$S85+'Row data'!$T85+'Row data'!$U85+'Row data'!$W85+'Row data'!$X85+'Row data'!$Y85+'Row data'!$Z85+'Row data'!$AA85+'Row data'!$AB85+'Row data'!$AD85-'Row data'!$AC85-'Row data'!$AE85-'Row data'!$AF85-'Row data'!$AG85-'Row data'!$AH85-'Row data'!$AI85</f>
        <v>30476</v>
      </c>
      <c r="AK85" s="39">
        <v>30476</v>
      </c>
      <c r="AL85" s="39">
        <v>0</v>
      </c>
    </row>
    <row r="86" spans="1:38" x14ac:dyDescent="0.3">
      <c r="A86" s="40">
        <v>85</v>
      </c>
      <c r="B86" s="35" t="s">
        <v>237</v>
      </c>
      <c r="C86" s="35">
        <v>6472986</v>
      </c>
      <c r="D86" s="36" t="s">
        <v>284</v>
      </c>
      <c r="E86" s="35" t="s">
        <v>120</v>
      </c>
      <c r="F86" s="35" t="s">
        <v>121</v>
      </c>
      <c r="G86" s="35" t="s">
        <v>243</v>
      </c>
      <c r="H86" s="37" t="s">
        <v>285</v>
      </c>
      <c r="I86" s="38">
        <v>40338</v>
      </c>
      <c r="J86" s="38"/>
      <c r="K86" s="17"/>
      <c r="L86" s="38">
        <v>31048</v>
      </c>
      <c r="M86" s="35">
        <f ca="1">IF('Row data'!$J86="",DATEDIF('Row data'!$L86,TODAY(),"y"),"0")</f>
        <v>41</v>
      </c>
      <c r="N86" s="35" t="s">
        <v>42</v>
      </c>
      <c r="O86" s="35" t="s">
        <v>43</v>
      </c>
      <c r="P86" s="39" t="s">
        <v>44</v>
      </c>
      <c r="Q86" s="39">
        <v>45235</v>
      </c>
      <c r="R86" s="39">
        <v>45235</v>
      </c>
      <c r="S86" s="39">
        <v>27141</v>
      </c>
      <c r="T86" s="39">
        <v>13571</v>
      </c>
      <c r="U86" s="39">
        <v>1809</v>
      </c>
      <c r="V86" s="39">
        <v>1357</v>
      </c>
      <c r="W86" s="39">
        <v>0</v>
      </c>
      <c r="X86" s="39">
        <v>0</v>
      </c>
      <c r="Y86" s="39">
        <v>1357</v>
      </c>
      <c r="Z86" s="39">
        <v>1357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v>0</v>
      </c>
      <c r="AI86" s="39">
        <v>0</v>
      </c>
      <c r="AJ86" s="39">
        <f>'Row data'!$S86+'Row data'!$T86+'Row data'!$U86+'Row data'!$W86+'Row data'!$X86+'Row data'!$Y86+'Row data'!$Z86+'Row data'!$AA86+'Row data'!$AB86+'Row data'!$AD86-'Row data'!$AC86-'Row data'!$AE86-'Row data'!$AF86-'Row data'!$AG86-'Row data'!$AH86-'Row data'!$AI86</f>
        <v>45235</v>
      </c>
      <c r="AK86" s="39">
        <v>45235</v>
      </c>
      <c r="AL86" s="39">
        <v>0</v>
      </c>
    </row>
    <row r="87" spans="1:38" x14ac:dyDescent="0.3">
      <c r="A87" s="40">
        <v>86</v>
      </c>
      <c r="B87" s="35" t="s">
        <v>237</v>
      </c>
      <c r="C87" s="35">
        <v>9810044</v>
      </c>
      <c r="D87" s="36" t="s">
        <v>286</v>
      </c>
      <c r="E87" s="35" t="s">
        <v>120</v>
      </c>
      <c r="F87" s="35" t="s">
        <v>125</v>
      </c>
      <c r="G87" s="35" t="s">
        <v>240</v>
      </c>
      <c r="H87" s="37" t="s">
        <v>287</v>
      </c>
      <c r="I87" s="38">
        <v>42125</v>
      </c>
      <c r="J87" s="38"/>
      <c r="K87" s="17"/>
      <c r="L87" s="38">
        <v>32538</v>
      </c>
      <c r="M87" s="35">
        <f ca="1">IF('Row data'!$J87="",DATEDIF('Row data'!$L87,TODAY(),"y"),"0")</f>
        <v>37</v>
      </c>
      <c r="N87" s="35" t="s">
        <v>42</v>
      </c>
      <c r="O87" s="35" t="s">
        <v>43</v>
      </c>
      <c r="P87" s="39" t="s">
        <v>44</v>
      </c>
      <c r="Q87" s="39">
        <v>36515</v>
      </c>
      <c r="R87" s="39">
        <v>31515</v>
      </c>
      <c r="S87" s="39">
        <v>21909</v>
      </c>
      <c r="T87" s="39">
        <v>10955</v>
      </c>
      <c r="U87" s="39">
        <v>1461</v>
      </c>
      <c r="V87" s="39">
        <v>1095</v>
      </c>
      <c r="W87" s="39">
        <v>0</v>
      </c>
      <c r="X87" s="39">
        <v>0</v>
      </c>
      <c r="Y87" s="39">
        <v>1095</v>
      </c>
      <c r="Z87" s="39">
        <v>1095</v>
      </c>
      <c r="AA87" s="39">
        <v>0</v>
      </c>
      <c r="AB87" s="39">
        <v>0</v>
      </c>
      <c r="AC87" s="39">
        <v>-5000</v>
      </c>
      <c r="AD87" s="39">
        <v>0</v>
      </c>
      <c r="AE87" s="39">
        <v>0</v>
      </c>
      <c r="AF87" s="39">
        <v>0</v>
      </c>
      <c r="AG87" s="39">
        <v>4000</v>
      </c>
      <c r="AH87" s="39">
        <v>0</v>
      </c>
      <c r="AI87" s="39">
        <v>0</v>
      </c>
      <c r="AJ87" s="39">
        <f>'Row data'!$S87+'Row data'!$T87+'Row data'!$U87+'Row data'!$W87+'Row data'!$X87+'Row data'!$Y87+'Row data'!$Z87+'Row data'!$AA87+'Row data'!$AB87+'Row data'!$AD87-'Row data'!$AC87-'Row data'!$AE87-'Row data'!$AF87-'Row data'!$AG87-'Row data'!$AH87-'Row data'!$AI87</f>
        <v>37515</v>
      </c>
      <c r="AK87" s="39">
        <v>27515</v>
      </c>
      <c r="AL87" s="39">
        <v>0</v>
      </c>
    </row>
    <row r="88" spans="1:38" x14ac:dyDescent="0.3">
      <c r="A88" s="40">
        <v>87</v>
      </c>
      <c r="B88" s="35" t="s">
        <v>237</v>
      </c>
      <c r="C88" s="35">
        <v>8984117</v>
      </c>
      <c r="D88" s="36" t="s">
        <v>288</v>
      </c>
      <c r="E88" s="35" t="s">
        <v>129</v>
      </c>
      <c r="F88" s="35" t="s">
        <v>129</v>
      </c>
      <c r="G88" s="35" t="s">
        <v>240</v>
      </c>
      <c r="H88" s="37" t="s">
        <v>289</v>
      </c>
      <c r="I88" s="38">
        <v>42165</v>
      </c>
      <c r="J88" s="38">
        <v>45083</v>
      </c>
      <c r="K88" s="17">
        <f>YEAR('Row data'!$J88)</f>
        <v>2023</v>
      </c>
      <c r="L88" s="38">
        <v>33761</v>
      </c>
      <c r="M88" s="35" t="str">
        <f ca="1">IF('Row data'!$J88="",DATEDIF('Row data'!$L88,TODAY(),"y"),"0")</f>
        <v>0</v>
      </c>
      <c r="N88" s="35" t="s">
        <v>42</v>
      </c>
      <c r="O88" s="35" t="s">
        <v>43</v>
      </c>
      <c r="P88" s="39" t="s">
        <v>44</v>
      </c>
      <c r="Q88" s="39">
        <v>50140</v>
      </c>
      <c r="R88" s="39">
        <v>50140</v>
      </c>
      <c r="S88" s="39">
        <v>30084</v>
      </c>
      <c r="T88" s="39">
        <v>15042</v>
      </c>
      <c r="U88" s="39">
        <v>2006</v>
      </c>
      <c r="V88" s="39">
        <v>1504</v>
      </c>
      <c r="W88" s="39">
        <v>0</v>
      </c>
      <c r="X88" s="39">
        <v>0</v>
      </c>
      <c r="Y88" s="39">
        <v>1504</v>
      </c>
      <c r="Z88" s="39">
        <v>1504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v>333</v>
      </c>
      <c r="AI88" s="39">
        <v>0</v>
      </c>
      <c r="AJ88" s="39">
        <f>'Row data'!$S88+'Row data'!$T88+'Row data'!$U88+'Row data'!$W88+'Row data'!$X88+'Row data'!$Y88+'Row data'!$Z88+'Row data'!$AA88+'Row data'!$AB88+'Row data'!$AD88-'Row data'!$AC88-'Row data'!$AE88-'Row data'!$AF88-'Row data'!$AG88-'Row data'!$AH88-'Row data'!$AI88</f>
        <v>49807</v>
      </c>
      <c r="AK88" s="39">
        <v>49807</v>
      </c>
      <c r="AL88" s="39">
        <v>0</v>
      </c>
    </row>
    <row r="89" spans="1:38" x14ac:dyDescent="0.3">
      <c r="A89" s="40">
        <v>88</v>
      </c>
      <c r="B89" s="35" t="s">
        <v>237</v>
      </c>
      <c r="C89" s="35">
        <v>6856712</v>
      </c>
      <c r="D89" s="36" t="s">
        <v>290</v>
      </c>
      <c r="E89" s="35" t="s">
        <v>38</v>
      </c>
      <c r="F89" s="35" t="s">
        <v>291</v>
      </c>
      <c r="G89" s="35" t="s">
        <v>62</v>
      </c>
      <c r="H89" s="37" t="s">
        <v>292</v>
      </c>
      <c r="I89" s="38">
        <v>39579</v>
      </c>
      <c r="J89" s="38"/>
      <c r="K89" s="17"/>
      <c r="L89" s="38">
        <v>29912</v>
      </c>
      <c r="M89" s="35">
        <f ca="1">IF('Row data'!$J89="",DATEDIF('Row data'!$L89,TODAY(),"y"),"0")</f>
        <v>44</v>
      </c>
      <c r="N89" s="35" t="s">
        <v>42</v>
      </c>
      <c r="O89" s="35" t="s">
        <v>43</v>
      </c>
      <c r="P89" s="39" t="s">
        <v>44</v>
      </c>
      <c r="Q89" s="39">
        <v>32321</v>
      </c>
      <c r="R89" s="39">
        <v>32321</v>
      </c>
      <c r="S89" s="39">
        <v>19392</v>
      </c>
      <c r="T89" s="39">
        <v>9696</v>
      </c>
      <c r="U89" s="39">
        <v>1293</v>
      </c>
      <c r="V89" s="39">
        <v>970</v>
      </c>
      <c r="W89" s="39">
        <v>0</v>
      </c>
      <c r="X89" s="39">
        <v>0</v>
      </c>
      <c r="Y89" s="39">
        <v>970</v>
      </c>
      <c r="Z89" s="39">
        <v>970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0</v>
      </c>
      <c r="AJ89" s="39">
        <f>'Row data'!$S89+'Row data'!$T89+'Row data'!$U89+'Row data'!$W89+'Row data'!$X89+'Row data'!$Y89+'Row data'!$Z89+'Row data'!$AA89+'Row data'!$AB89+'Row data'!$AD89-'Row data'!$AC89-'Row data'!$AE89-'Row data'!$AF89-'Row data'!$AG89-'Row data'!$AH89-'Row data'!$AI89</f>
        <v>32321</v>
      </c>
      <c r="AK89" s="39">
        <v>32321</v>
      </c>
      <c r="AL89" s="39">
        <v>0</v>
      </c>
    </row>
    <row r="90" spans="1:38" x14ac:dyDescent="0.3">
      <c r="A90" s="40">
        <v>89</v>
      </c>
      <c r="B90" s="35" t="s">
        <v>237</v>
      </c>
      <c r="C90" s="35">
        <v>8588679</v>
      </c>
      <c r="D90" s="36" t="s">
        <v>293</v>
      </c>
      <c r="E90" s="35" t="s">
        <v>38</v>
      </c>
      <c r="F90" s="35" t="s">
        <v>294</v>
      </c>
      <c r="G90" s="35" t="s">
        <v>62</v>
      </c>
      <c r="H90" s="37" t="s">
        <v>295</v>
      </c>
      <c r="I90" s="38">
        <v>39954</v>
      </c>
      <c r="J90" s="38"/>
      <c r="K90" s="17"/>
      <c r="L90" s="38">
        <v>33163</v>
      </c>
      <c r="M90" s="35">
        <f ca="1">IF('Row data'!$J90="",DATEDIF('Row data'!$L90,TODAY(),"y"),"0")</f>
        <v>35</v>
      </c>
      <c r="N90" s="35" t="s">
        <v>42</v>
      </c>
      <c r="O90" s="35" t="s">
        <v>43</v>
      </c>
      <c r="P90" s="39" t="s">
        <v>44</v>
      </c>
      <c r="Q90" s="39">
        <v>31282</v>
      </c>
      <c r="R90" s="39">
        <v>31282</v>
      </c>
      <c r="S90" s="39">
        <v>18770</v>
      </c>
      <c r="T90" s="39">
        <v>9385</v>
      </c>
      <c r="U90" s="39">
        <v>1251</v>
      </c>
      <c r="V90" s="39">
        <v>938</v>
      </c>
      <c r="W90" s="39">
        <v>0</v>
      </c>
      <c r="X90" s="39">
        <v>0</v>
      </c>
      <c r="Y90" s="39">
        <v>938</v>
      </c>
      <c r="Z90" s="39">
        <v>938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0</v>
      </c>
      <c r="AJ90" s="39">
        <f>'Row data'!$S90+'Row data'!$T90+'Row data'!$U90+'Row data'!$W90+'Row data'!$X90+'Row data'!$Y90+'Row data'!$Z90+'Row data'!$AA90+'Row data'!$AB90+'Row data'!$AD90-'Row data'!$AC90-'Row data'!$AE90-'Row data'!$AF90-'Row data'!$AG90-'Row data'!$AH90-'Row data'!$AI90</f>
        <v>31282</v>
      </c>
      <c r="AK90" s="39">
        <v>31282</v>
      </c>
      <c r="AL90" s="39">
        <v>0</v>
      </c>
    </row>
    <row r="91" spans="1:38" x14ac:dyDescent="0.3">
      <c r="A91" s="40">
        <v>90</v>
      </c>
      <c r="B91" s="35" t="s">
        <v>237</v>
      </c>
      <c r="C91" s="35">
        <v>5120038</v>
      </c>
      <c r="D91" s="36" t="s">
        <v>296</v>
      </c>
      <c r="E91" s="35" t="s">
        <v>38</v>
      </c>
      <c r="F91" s="35" t="s">
        <v>294</v>
      </c>
      <c r="G91" s="35" t="s">
        <v>297</v>
      </c>
      <c r="H91" s="37" t="s">
        <v>298</v>
      </c>
      <c r="I91" s="38">
        <v>39142</v>
      </c>
      <c r="J91" s="38"/>
      <c r="K91" s="17"/>
      <c r="L91" s="38">
        <v>31853</v>
      </c>
      <c r="M91" s="35">
        <f ca="1">IF('Row data'!$J91="",DATEDIF('Row data'!$L91,TODAY(),"y"),"0")</f>
        <v>39</v>
      </c>
      <c r="N91" s="35" t="s">
        <v>42</v>
      </c>
      <c r="O91" s="35" t="s">
        <v>43</v>
      </c>
      <c r="P91" s="39" t="s">
        <v>44</v>
      </c>
      <c r="Q91" s="39">
        <v>20618</v>
      </c>
      <c r="R91" s="39">
        <v>20618</v>
      </c>
      <c r="S91" s="39">
        <v>12370</v>
      </c>
      <c r="T91" s="39">
        <v>6185</v>
      </c>
      <c r="U91" s="39">
        <v>825</v>
      </c>
      <c r="V91" s="39">
        <v>619</v>
      </c>
      <c r="W91" s="39">
        <v>0</v>
      </c>
      <c r="X91" s="39">
        <v>0</v>
      </c>
      <c r="Y91" s="39">
        <v>619</v>
      </c>
      <c r="Z91" s="39">
        <v>619</v>
      </c>
      <c r="AA91" s="39">
        <v>0</v>
      </c>
      <c r="AB91" s="39">
        <v>0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39">
        <v>0</v>
      </c>
      <c r="AI91" s="39">
        <v>0</v>
      </c>
      <c r="AJ91" s="39">
        <f>'Row data'!$S91+'Row data'!$T91+'Row data'!$U91+'Row data'!$W91+'Row data'!$X91+'Row data'!$Y91+'Row data'!$Z91+'Row data'!$AA91+'Row data'!$AB91+'Row data'!$AD91-'Row data'!$AC91-'Row data'!$AE91-'Row data'!$AF91-'Row data'!$AG91-'Row data'!$AH91-'Row data'!$AI91</f>
        <v>20618</v>
      </c>
      <c r="AK91" s="39">
        <v>20618</v>
      </c>
      <c r="AL91" s="39">
        <v>0</v>
      </c>
    </row>
    <row r="92" spans="1:38" x14ac:dyDescent="0.3">
      <c r="A92" s="40">
        <v>91</v>
      </c>
      <c r="B92" s="35" t="s">
        <v>237</v>
      </c>
      <c r="C92" s="35">
        <v>8797049</v>
      </c>
      <c r="D92" s="36" t="s">
        <v>299</v>
      </c>
      <c r="E92" s="35" t="s">
        <v>38</v>
      </c>
      <c r="F92" s="35" t="s">
        <v>300</v>
      </c>
      <c r="G92" s="35" t="s">
        <v>301</v>
      </c>
      <c r="H92" s="37" t="s">
        <v>302</v>
      </c>
      <c r="I92" s="38">
        <v>35254</v>
      </c>
      <c r="J92" s="38">
        <v>45066</v>
      </c>
      <c r="K92" s="17">
        <f>YEAR('Row data'!$J92)</f>
        <v>2023</v>
      </c>
      <c r="L92" s="38">
        <v>28265</v>
      </c>
      <c r="M92" s="35" t="str">
        <f ca="1">IF('Row data'!$J92="",DATEDIF('Row data'!$L92,TODAY(),"y"),"0")</f>
        <v>0</v>
      </c>
      <c r="N92" s="35" t="s">
        <v>42</v>
      </c>
      <c r="O92" s="35" t="s">
        <v>43</v>
      </c>
      <c r="P92" s="39" t="s">
        <v>44</v>
      </c>
      <c r="Q92" s="39">
        <v>27187</v>
      </c>
      <c r="R92" s="39">
        <v>27187</v>
      </c>
      <c r="S92" s="39">
        <v>16312</v>
      </c>
      <c r="T92" s="39">
        <v>8156</v>
      </c>
      <c r="U92" s="39">
        <v>1087</v>
      </c>
      <c r="V92" s="39">
        <v>816</v>
      </c>
      <c r="W92" s="39">
        <v>0</v>
      </c>
      <c r="X92" s="39">
        <v>0</v>
      </c>
      <c r="Y92" s="39">
        <v>816</v>
      </c>
      <c r="Z92" s="39">
        <v>816</v>
      </c>
      <c r="AA92" s="39">
        <v>0</v>
      </c>
      <c r="AB92" s="39">
        <v>0</v>
      </c>
      <c r="AC92" s="39">
        <v>0</v>
      </c>
      <c r="AD92" s="39">
        <v>0</v>
      </c>
      <c r="AE92" s="39">
        <v>0</v>
      </c>
      <c r="AF92" s="39">
        <v>0</v>
      </c>
      <c r="AG92" s="39">
        <v>0</v>
      </c>
      <c r="AH92" s="39">
        <v>0</v>
      </c>
      <c r="AI92" s="39">
        <v>0</v>
      </c>
      <c r="AJ92" s="39">
        <f>'Row data'!$S92+'Row data'!$T92+'Row data'!$U92+'Row data'!$W92+'Row data'!$X92+'Row data'!$Y92+'Row data'!$Z92+'Row data'!$AA92+'Row data'!$AB92+'Row data'!$AD92-'Row data'!$AC92-'Row data'!$AE92-'Row data'!$AF92-'Row data'!$AG92-'Row data'!$AH92-'Row data'!$AI92</f>
        <v>27187</v>
      </c>
      <c r="AK92" s="39">
        <v>27187</v>
      </c>
      <c r="AL92" s="39">
        <v>0</v>
      </c>
    </row>
    <row r="93" spans="1:38" x14ac:dyDescent="0.3">
      <c r="A93" s="40">
        <v>92</v>
      </c>
      <c r="B93" s="35" t="s">
        <v>237</v>
      </c>
      <c r="C93" s="35">
        <v>8718947</v>
      </c>
      <c r="D93" s="36" t="s">
        <v>303</v>
      </c>
      <c r="E93" s="35" t="s">
        <v>38</v>
      </c>
      <c r="F93" s="35" t="s">
        <v>300</v>
      </c>
      <c r="G93" s="35" t="s">
        <v>304</v>
      </c>
      <c r="H93" s="37" t="s">
        <v>305</v>
      </c>
      <c r="I93" s="38">
        <v>38353</v>
      </c>
      <c r="J93" s="38">
        <v>45048</v>
      </c>
      <c r="K93" s="17">
        <f>YEAR('Row data'!$J93)</f>
        <v>2023</v>
      </c>
      <c r="L93" s="38">
        <v>32265</v>
      </c>
      <c r="M93" s="35" t="str">
        <f ca="1">IF('Row data'!$J93="",DATEDIF('Row data'!$L93,TODAY(),"y"),"0")</f>
        <v>0</v>
      </c>
      <c r="N93" s="35" t="s">
        <v>42</v>
      </c>
      <c r="O93" s="35" t="s">
        <v>43</v>
      </c>
      <c r="P93" s="39" t="s">
        <v>44</v>
      </c>
      <c r="Q93" s="39">
        <v>22357</v>
      </c>
      <c r="R93" s="39">
        <v>22357</v>
      </c>
      <c r="S93" s="39">
        <v>13414</v>
      </c>
      <c r="T93" s="39">
        <v>6707</v>
      </c>
      <c r="U93" s="39">
        <v>894</v>
      </c>
      <c r="V93" s="39">
        <v>671</v>
      </c>
      <c r="W93" s="39">
        <v>0</v>
      </c>
      <c r="X93" s="39">
        <v>0</v>
      </c>
      <c r="Y93" s="39">
        <v>671</v>
      </c>
      <c r="Z93" s="39">
        <v>671</v>
      </c>
      <c r="AA93" s="39">
        <v>350</v>
      </c>
      <c r="AB93" s="39">
        <v>0</v>
      </c>
      <c r="AC93" s="39">
        <v>0</v>
      </c>
      <c r="AD93" s="39">
        <v>0</v>
      </c>
      <c r="AE93" s="39">
        <v>0</v>
      </c>
      <c r="AF93" s="39">
        <v>0</v>
      </c>
      <c r="AG93" s="39">
        <v>0</v>
      </c>
      <c r="AH93" s="39">
        <v>0</v>
      </c>
      <c r="AI93" s="39">
        <v>0</v>
      </c>
      <c r="AJ93" s="39">
        <f>'Row data'!$S93+'Row data'!$T93+'Row data'!$U93+'Row data'!$W93+'Row data'!$X93+'Row data'!$Y93+'Row data'!$Z93+'Row data'!$AA93+'Row data'!$AB93+'Row data'!$AD93-'Row data'!$AC93-'Row data'!$AE93-'Row data'!$AF93-'Row data'!$AG93-'Row data'!$AH93-'Row data'!$AI93</f>
        <v>22707</v>
      </c>
      <c r="AK93" s="39">
        <v>22707</v>
      </c>
      <c r="AL93" s="39">
        <v>0</v>
      </c>
    </row>
    <row r="94" spans="1:38" x14ac:dyDescent="0.3">
      <c r="A94" s="40">
        <v>93</v>
      </c>
      <c r="B94" s="35" t="s">
        <v>237</v>
      </c>
      <c r="C94" s="35">
        <v>7419442</v>
      </c>
      <c r="D94" s="36" t="s">
        <v>306</v>
      </c>
      <c r="E94" s="35" t="s">
        <v>38</v>
      </c>
      <c r="F94" s="35" t="s">
        <v>300</v>
      </c>
      <c r="G94" s="35" t="s">
        <v>307</v>
      </c>
      <c r="H94" s="37" t="s">
        <v>308</v>
      </c>
      <c r="I94" s="38">
        <v>37007</v>
      </c>
      <c r="J94" s="38">
        <v>45209</v>
      </c>
      <c r="K94" s="17">
        <f>YEAR('Row data'!$J94)</f>
        <v>2023</v>
      </c>
      <c r="L94" s="38">
        <v>28408</v>
      </c>
      <c r="M94" s="35" t="str">
        <f ca="1">IF('Row data'!$J94="",DATEDIF('Row data'!$L94,TODAY(),"y"),"0")</f>
        <v>0</v>
      </c>
      <c r="N94" s="35" t="s">
        <v>42</v>
      </c>
      <c r="O94" s="35" t="s">
        <v>43</v>
      </c>
      <c r="P94" s="39" t="s">
        <v>44</v>
      </c>
      <c r="Q94" s="39">
        <v>25274</v>
      </c>
      <c r="R94" s="39">
        <v>25274</v>
      </c>
      <c r="S94" s="39">
        <v>15165</v>
      </c>
      <c r="T94" s="39">
        <v>7582</v>
      </c>
      <c r="U94" s="39">
        <v>1011</v>
      </c>
      <c r="V94" s="39">
        <v>758</v>
      </c>
      <c r="W94" s="39">
        <v>0</v>
      </c>
      <c r="X94" s="39">
        <v>0</v>
      </c>
      <c r="Y94" s="39">
        <v>758</v>
      </c>
      <c r="Z94" s="39">
        <v>758</v>
      </c>
      <c r="AA94" s="39">
        <v>350</v>
      </c>
      <c r="AB94" s="39">
        <v>0</v>
      </c>
      <c r="AC94" s="39">
        <v>0</v>
      </c>
      <c r="AD94" s="39">
        <v>0</v>
      </c>
      <c r="AE94" s="39">
        <v>0</v>
      </c>
      <c r="AF94" s="39">
        <v>0</v>
      </c>
      <c r="AG94" s="39">
        <v>0</v>
      </c>
      <c r="AH94" s="39">
        <v>0</v>
      </c>
      <c r="AI94" s="39">
        <v>0</v>
      </c>
      <c r="AJ94" s="39">
        <f>'Row data'!$S94+'Row data'!$T94+'Row data'!$U94+'Row data'!$W94+'Row data'!$X94+'Row data'!$Y94+'Row data'!$Z94+'Row data'!$AA94+'Row data'!$AB94+'Row data'!$AD94-'Row data'!$AC94-'Row data'!$AE94-'Row data'!$AF94-'Row data'!$AG94-'Row data'!$AH94-'Row data'!$AI94</f>
        <v>25624</v>
      </c>
      <c r="AK94" s="39">
        <v>25624</v>
      </c>
      <c r="AL94" s="39">
        <v>0</v>
      </c>
    </row>
    <row r="95" spans="1:38" x14ac:dyDescent="0.3">
      <c r="A95" s="40">
        <v>94</v>
      </c>
      <c r="B95" s="35" t="s">
        <v>237</v>
      </c>
      <c r="C95" s="35">
        <v>5598582</v>
      </c>
      <c r="D95" s="36" t="s">
        <v>309</v>
      </c>
      <c r="E95" s="35" t="s">
        <v>38</v>
      </c>
      <c r="F95" s="35" t="s">
        <v>300</v>
      </c>
      <c r="G95" s="35" t="s">
        <v>310</v>
      </c>
      <c r="H95" s="37" t="s">
        <v>311</v>
      </c>
      <c r="I95" s="38">
        <v>36173</v>
      </c>
      <c r="J95" s="38"/>
      <c r="K95" s="17"/>
      <c r="L95" s="38">
        <v>30440</v>
      </c>
      <c r="M95" s="35">
        <f ca="1">IF('Row data'!$J95="",DATEDIF('Row data'!$L95,TODAY(),"y"),"0")</f>
        <v>43</v>
      </c>
      <c r="N95" s="35" t="s">
        <v>42</v>
      </c>
      <c r="O95" s="35" t="s">
        <v>43</v>
      </c>
      <c r="P95" s="39" t="s">
        <v>44</v>
      </c>
      <c r="Q95" s="39">
        <v>49018</v>
      </c>
      <c r="R95" s="39">
        <v>49018</v>
      </c>
      <c r="S95" s="39">
        <v>29410</v>
      </c>
      <c r="T95" s="39">
        <v>14705</v>
      </c>
      <c r="U95" s="39">
        <v>1961</v>
      </c>
      <c r="V95" s="39">
        <v>1471</v>
      </c>
      <c r="W95" s="39">
        <v>0</v>
      </c>
      <c r="X95" s="39">
        <v>0</v>
      </c>
      <c r="Y95" s="39">
        <v>1471</v>
      </c>
      <c r="Z95" s="39">
        <v>1471</v>
      </c>
      <c r="AA95" s="39">
        <v>0</v>
      </c>
      <c r="AB95" s="39">
        <v>0</v>
      </c>
      <c r="AC95" s="39">
        <v>0</v>
      </c>
      <c r="AD95" s="39">
        <v>0</v>
      </c>
      <c r="AE95" s="39">
        <v>0</v>
      </c>
      <c r="AF95" s="39">
        <v>0</v>
      </c>
      <c r="AG95" s="39">
        <v>0</v>
      </c>
      <c r="AH95" s="39">
        <v>333</v>
      </c>
      <c r="AI95" s="39">
        <v>0</v>
      </c>
      <c r="AJ95" s="39">
        <f>'Row data'!$S95+'Row data'!$T95+'Row data'!$U95+'Row data'!$W95+'Row data'!$X95+'Row data'!$Y95+'Row data'!$Z95+'Row data'!$AA95+'Row data'!$AB95+'Row data'!$AD95-'Row data'!$AC95-'Row data'!$AE95-'Row data'!$AF95-'Row data'!$AG95-'Row data'!$AH95-'Row data'!$AI95</f>
        <v>48685</v>
      </c>
      <c r="AK95" s="39">
        <v>48685</v>
      </c>
      <c r="AL95" s="39">
        <v>0</v>
      </c>
    </row>
    <row r="96" spans="1:38" x14ac:dyDescent="0.3">
      <c r="A96" s="40">
        <v>95</v>
      </c>
      <c r="B96" s="35" t="s">
        <v>237</v>
      </c>
      <c r="C96" s="35">
        <v>5410569</v>
      </c>
      <c r="D96" s="36" t="s">
        <v>312</v>
      </c>
      <c r="E96" s="35" t="s">
        <v>38</v>
      </c>
      <c r="F96" s="35" t="s">
        <v>300</v>
      </c>
      <c r="G96" s="35" t="s">
        <v>313</v>
      </c>
      <c r="H96" s="37" t="s">
        <v>314</v>
      </c>
      <c r="I96" s="38">
        <v>34851</v>
      </c>
      <c r="J96" s="38"/>
      <c r="K96" s="17"/>
      <c r="L96" s="38">
        <v>34851</v>
      </c>
      <c r="M96" s="35">
        <f ca="1">IF('Row data'!$J96="",DATEDIF('Row data'!$L96,TODAY(),"y"),"0")</f>
        <v>31</v>
      </c>
      <c r="N96" s="35" t="s">
        <v>42</v>
      </c>
      <c r="O96" s="35" t="s">
        <v>43</v>
      </c>
      <c r="P96" s="39" t="s">
        <v>44</v>
      </c>
      <c r="Q96" s="39">
        <v>88727</v>
      </c>
      <c r="R96" s="39">
        <v>88727</v>
      </c>
      <c r="S96" s="39">
        <v>53236</v>
      </c>
      <c r="T96" s="39">
        <v>26618</v>
      </c>
      <c r="U96" s="39">
        <v>3549</v>
      </c>
      <c r="V96" s="39">
        <v>2662</v>
      </c>
      <c r="W96" s="39">
        <v>0</v>
      </c>
      <c r="X96" s="39">
        <v>0</v>
      </c>
      <c r="Y96" s="39">
        <v>2662</v>
      </c>
      <c r="Z96" s="39">
        <v>2662</v>
      </c>
      <c r="AA96" s="39">
        <v>0</v>
      </c>
      <c r="AB96" s="39">
        <v>0</v>
      </c>
      <c r="AC96" s="39">
        <v>0</v>
      </c>
      <c r="AD96" s="39">
        <v>0</v>
      </c>
      <c r="AE96" s="39">
        <v>0</v>
      </c>
      <c r="AF96" s="39">
        <v>0</v>
      </c>
      <c r="AG96" s="39">
        <v>5000</v>
      </c>
      <c r="AH96" s="39">
        <v>1800</v>
      </c>
      <c r="AI96" s="39">
        <v>0</v>
      </c>
      <c r="AJ96" s="39">
        <f>'Row data'!$S96+'Row data'!$T96+'Row data'!$U96+'Row data'!$W96+'Row data'!$X96+'Row data'!$Y96+'Row data'!$Z96+'Row data'!$AA96+'Row data'!$AB96+'Row data'!$AD96-'Row data'!$AC96-'Row data'!$AE96-'Row data'!$AF96-'Row data'!$AG96-'Row data'!$AH96-'Row data'!$AI96</f>
        <v>81927</v>
      </c>
      <c r="AK96" s="39">
        <v>81927</v>
      </c>
      <c r="AL96" s="39">
        <v>0</v>
      </c>
    </row>
    <row r="97" spans="1:38" x14ac:dyDescent="0.3">
      <c r="A97" s="40">
        <v>96</v>
      </c>
      <c r="B97" s="35" t="s">
        <v>237</v>
      </c>
      <c r="C97" s="35">
        <v>6894601</v>
      </c>
      <c r="D97" s="36" t="s">
        <v>315</v>
      </c>
      <c r="E97" s="35" t="s">
        <v>38</v>
      </c>
      <c r="F97" s="35" t="s">
        <v>300</v>
      </c>
      <c r="G97" s="35" t="s">
        <v>316</v>
      </c>
      <c r="H97" s="37" t="s">
        <v>317</v>
      </c>
      <c r="I97" s="38">
        <v>35840</v>
      </c>
      <c r="J97" s="38"/>
      <c r="K97" s="17"/>
      <c r="L97" s="38">
        <v>26494</v>
      </c>
      <c r="M97" s="35">
        <f ca="1">IF('Row data'!$J97="",DATEDIF('Row data'!$L97,TODAY(),"y"),"0")</f>
        <v>54</v>
      </c>
      <c r="N97" s="35" t="s">
        <v>42</v>
      </c>
      <c r="O97" s="35" t="s">
        <v>43</v>
      </c>
      <c r="P97" s="39" t="s">
        <v>44</v>
      </c>
      <c r="Q97" s="39">
        <v>57770</v>
      </c>
      <c r="R97" s="39">
        <v>57770</v>
      </c>
      <c r="S97" s="39">
        <v>34662</v>
      </c>
      <c r="T97" s="39">
        <v>17331</v>
      </c>
      <c r="U97" s="39">
        <v>2311</v>
      </c>
      <c r="V97" s="39">
        <v>1733</v>
      </c>
      <c r="W97" s="39">
        <v>0</v>
      </c>
      <c r="X97" s="39">
        <v>0</v>
      </c>
      <c r="Y97" s="39">
        <v>1733</v>
      </c>
      <c r="Z97" s="39">
        <v>1733</v>
      </c>
      <c r="AA97" s="39">
        <v>0</v>
      </c>
      <c r="AB97" s="39">
        <v>0</v>
      </c>
      <c r="AC97" s="39">
        <v>0</v>
      </c>
      <c r="AD97" s="39">
        <v>0</v>
      </c>
      <c r="AE97" s="39">
        <v>0</v>
      </c>
      <c r="AF97" s="39">
        <v>0</v>
      </c>
      <c r="AG97" s="39">
        <v>0</v>
      </c>
      <c r="AH97" s="39">
        <v>350</v>
      </c>
      <c r="AI97" s="39">
        <v>0</v>
      </c>
      <c r="AJ97" s="39">
        <f>'Row data'!$S97+'Row data'!$T97+'Row data'!$U97+'Row data'!$W97+'Row data'!$X97+'Row data'!$Y97+'Row data'!$Z97+'Row data'!$AA97+'Row data'!$AB97+'Row data'!$AD97-'Row data'!$AC97-'Row data'!$AE97-'Row data'!$AF97-'Row data'!$AG97-'Row data'!$AH97-'Row data'!$AI97</f>
        <v>57420</v>
      </c>
      <c r="AK97" s="39">
        <v>57420</v>
      </c>
      <c r="AL97" s="39">
        <v>0</v>
      </c>
    </row>
    <row r="98" spans="1:38" x14ac:dyDescent="0.3">
      <c r="A98" s="40">
        <v>97</v>
      </c>
      <c r="B98" s="35" t="s">
        <v>237</v>
      </c>
      <c r="C98" s="35">
        <v>5694269</v>
      </c>
      <c r="D98" s="36" t="s">
        <v>318</v>
      </c>
      <c r="E98" s="35" t="s">
        <v>38</v>
      </c>
      <c r="F98" s="35" t="s">
        <v>300</v>
      </c>
      <c r="G98" s="35" t="s">
        <v>154</v>
      </c>
      <c r="H98" s="37" t="s">
        <v>319</v>
      </c>
      <c r="I98" s="38">
        <v>41441</v>
      </c>
      <c r="J98" s="38"/>
      <c r="K98" s="17"/>
      <c r="L98" s="38">
        <v>32970</v>
      </c>
      <c r="M98" s="35">
        <f ca="1">IF('Row data'!$J98="",DATEDIF('Row data'!$L98,TODAY(),"y"),"0")</f>
        <v>36</v>
      </c>
      <c r="N98" s="35" t="s">
        <v>42</v>
      </c>
      <c r="O98" s="35" t="s">
        <v>43</v>
      </c>
      <c r="P98" s="39" t="s">
        <v>44</v>
      </c>
      <c r="Q98" s="39">
        <v>32700</v>
      </c>
      <c r="R98" s="39">
        <v>32700</v>
      </c>
      <c r="S98" s="39">
        <v>19620</v>
      </c>
      <c r="T98" s="39">
        <v>9810</v>
      </c>
      <c r="U98" s="39">
        <v>1308</v>
      </c>
      <c r="V98" s="39">
        <v>981</v>
      </c>
      <c r="W98" s="39">
        <v>0</v>
      </c>
      <c r="X98" s="39">
        <v>0</v>
      </c>
      <c r="Y98" s="39">
        <v>981</v>
      </c>
      <c r="Z98" s="39">
        <v>981</v>
      </c>
      <c r="AA98" s="39">
        <v>0</v>
      </c>
      <c r="AB98" s="39">
        <v>0</v>
      </c>
      <c r="AC98" s="39">
        <v>0</v>
      </c>
      <c r="AD98" s="39">
        <v>0</v>
      </c>
      <c r="AE98" s="39">
        <v>0</v>
      </c>
      <c r="AF98" s="39">
        <v>0</v>
      </c>
      <c r="AG98" s="39">
        <v>0</v>
      </c>
      <c r="AH98" s="39">
        <v>0</v>
      </c>
      <c r="AI98" s="39">
        <v>0</v>
      </c>
      <c r="AJ98" s="39">
        <f>'Row data'!$S98+'Row data'!$T98+'Row data'!$U98+'Row data'!$W98+'Row data'!$X98+'Row data'!$Y98+'Row data'!$Z98+'Row data'!$AA98+'Row data'!$AB98+'Row data'!$AD98-'Row data'!$AC98-'Row data'!$AE98-'Row data'!$AF98-'Row data'!$AG98-'Row data'!$AH98-'Row data'!$AI98</f>
        <v>32700</v>
      </c>
      <c r="AK98" s="39">
        <v>32700</v>
      </c>
      <c r="AL98" s="39">
        <v>0</v>
      </c>
    </row>
    <row r="99" spans="1:38" x14ac:dyDescent="0.3">
      <c r="A99" s="40">
        <v>98</v>
      </c>
      <c r="B99" s="35" t="s">
        <v>237</v>
      </c>
      <c r="C99" s="35">
        <v>5422664</v>
      </c>
      <c r="D99" s="36" t="s">
        <v>320</v>
      </c>
      <c r="E99" s="35" t="s">
        <v>38</v>
      </c>
      <c r="F99" s="35" t="s">
        <v>300</v>
      </c>
      <c r="G99" s="35" t="s">
        <v>321</v>
      </c>
      <c r="H99" s="37" t="s">
        <v>322</v>
      </c>
      <c r="I99" s="38">
        <v>41944</v>
      </c>
      <c r="J99" s="38"/>
      <c r="K99" s="17"/>
      <c r="L99" s="38">
        <v>31904</v>
      </c>
      <c r="M99" s="35">
        <f ca="1">IF('Row data'!$J99="",DATEDIF('Row data'!$L99,TODAY(),"y"),"0")</f>
        <v>39</v>
      </c>
      <c r="N99" s="35" t="s">
        <v>42</v>
      </c>
      <c r="O99" s="35" t="s">
        <v>43</v>
      </c>
      <c r="P99" s="39" t="s">
        <v>44</v>
      </c>
      <c r="Q99" s="39">
        <v>19620</v>
      </c>
      <c r="R99" s="39">
        <v>19620</v>
      </c>
      <c r="S99" s="39">
        <v>11771</v>
      </c>
      <c r="T99" s="39">
        <v>5886</v>
      </c>
      <c r="U99" s="39">
        <v>785</v>
      </c>
      <c r="V99" s="39">
        <v>589</v>
      </c>
      <c r="W99" s="39">
        <v>0</v>
      </c>
      <c r="X99" s="39">
        <v>0</v>
      </c>
      <c r="Y99" s="39">
        <v>589</v>
      </c>
      <c r="Z99" s="39">
        <v>589</v>
      </c>
      <c r="AA99" s="39">
        <v>350</v>
      </c>
      <c r="AB99" s="39">
        <v>0</v>
      </c>
      <c r="AC99" s="39">
        <v>0</v>
      </c>
      <c r="AD99" s="39">
        <v>0</v>
      </c>
      <c r="AE99" s="39">
        <v>0</v>
      </c>
      <c r="AF99" s="39">
        <v>0</v>
      </c>
      <c r="AG99" s="39">
        <v>0</v>
      </c>
      <c r="AH99" s="39">
        <v>0</v>
      </c>
      <c r="AI99" s="39">
        <v>0</v>
      </c>
      <c r="AJ99" s="39">
        <f>'Row data'!$S99+'Row data'!$T99+'Row data'!$U99+'Row data'!$W99+'Row data'!$X99+'Row data'!$Y99+'Row data'!$Z99+'Row data'!$AA99+'Row data'!$AB99+'Row data'!$AD99-'Row data'!$AC99-'Row data'!$AE99-'Row data'!$AF99-'Row data'!$AG99-'Row data'!$AH99-'Row data'!$AI99</f>
        <v>19970</v>
      </c>
      <c r="AK99" s="39">
        <v>19970</v>
      </c>
      <c r="AL99" s="39">
        <v>0</v>
      </c>
    </row>
    <row r="100" spans="1:38" x14ac:dyDescent="0.3">
      <c r="A100" s="40">
        <v>99</v>
      </c>
      <c r="B100" s="35" t="s">
        <v>237</v>
      </c>
      <c r="C100" s="35">
        <v>8157677</v>
      </c>
      <c r="D100" s="36" t="s">
        <v>323</v>
      </c>
      <c r="E100" s="35" t="s">
        <v>38</v>
      </c>
      <c r="F100" s="35" t="s">
        <v>300</v>
      </c>
      <c r="G100" s="35" t="s">
        <v>321</v>
      </c>
      <c r="H100" s="37" t="s">
        <v>324</v>
      </c>
      <c r="I100" s="38">
        <v>42675</v>
      </c>
      <c r="J100" s="38"/>
      <c r="K100" s="17"/>
      <c r="L100" s="38">
        <v>29314</v>
      </c>
      <c r="M100" s="35">
        <f ca="1">IF('Row data'!$J100="",DATEDIF('Row data'!$L100,TODAY(),"y"),"0")</f>
        <v>46</v>
      </c>
      <c r="N100" s="35" t="s">
        <v>42</v>
      </c>
      <c r="O100" s="35" t="s">
        <v>43</v>
      </c>
      <c r="P100" s="39" t="s">
        <v>44</v>
      </c>
      <c r="Q100" s="39">
        <v>20279</v>
      </c>
      <c r="R100" s="39">
        <v>16368</v>
      </c>
      <c r="S100" s="39">
        <v>12168</v>
      </c>
      <c r="T100" s="39">
        <v>6084</v>
      </c>
      <c r="U100" s="39">
        <v>811</v>
      </c>
      <c r="V100" s="39">
        <v>608</v>
      </c>
      <c r="W100" s="39">
        <v>0</v>
      </c>
      <c r="X100" s="39">
        <v>0</v>
      </c>
      <c r="Y100" s="39">
        <v>608</v>
      </c>
      <c r="Z100" s="39">
        <v>608</v>
      </c>
      <c r="AA100" s="39">
        <v>0</v>
      </c>
      <c r="AB100" s="39">
        <v>0</v>
      </c>
      <c r="AC100" s="39">
        <v>0</v>
      </c>
      <c r="AD100" s="39">
        <v>0</v>
      </c>
      <c r="AE100" s="39">
        <v>3911</v>
      </c>
      <c r="AF100" s="39">
        <v>0</v>
      </c>
      <c r="AG100" s="39">
        <v>1500</v>
      </c>
      <c r="AH100" s="39">
        <v>0</v>
      </c>
      <c r="AI100" s="39">
        <v>0</v>
      </c>
      <c r="AJ100" s="39">
        <f>'Row data'!$S100+'Row data'!$T100+'Row data'!$U100+'Row data'!$W100+'Row data'!$X100+'Row data'!$Y100+'Row data'!$Z100+'Row data'!$AA100+'Row data'!$AB100+'Row data'!$AD100-'Row data'!$AC100-'Row data'!$AE100-'Row data'!$AF100-'Row data'!$AG100-'Row data'!$AH100-'Row data'!$AI100</f>
        <v>14868</v>
      </c>
      <c r="AK100" s="39">
        <v>14868</v>
      </c>
      <c r="AL100" s="39">
        <v>0</v>
      </c>
    </row>
    <row r="101" spans="1:38" x14ac:dyDescent="0.3">
      <c r="A101" s="40">
        <v>100</v>
      </c>
      <c r="B101" s="35" t="s">
        <v>237</v>
      </c>
      <c r="C101" s="35">
        <v>7277752</v>
      </c>
      <c r="D101" s="36" t="s">
        <v>325</v>
      </c>
      <c r="E101" s="35" t="s">
        <v>38</v>
      </c>
      <c r="F101" s="35" t="s">
        <v>326</v>
      </c>
      <c r="G101" s="35" t="s">
        <v>185</v>
      </c>
      <c r="H101" s="37" t="s">
        <v>327</v>
      </c>
      <c r="I101" s="38">
        <v>43834</v>
      </c>
      <c r="J101" s="38">
        <v>44562</v>
      </c>
      <c r="K101" s="17">
        <f>YEAR('Row data'!$J101)</f>
        <v>2022</v>
      </c>
      <c r="L101" s="38">
        <v>37154</v>
      </c>
      <c r="M101" s="35" t="str">
        <f ca="1">IF('Row data'!$J101="",DATEDIF('Row data'!$L101,TODAY(),"y"),"0")</f>
        <v>0</v>
      </c>
      <c r="N101" s="35" t="s">
        <v>75</v>
      </c>
      <c r="O101" s="35" t="s">
        <v>43</v>
      </c>
      <c r="P101" s="39" t="s">
        <v>44</v>
      </c>
      <c r="Q101" s="39">
        <v>16299</v>
      </c>
      <c r="R101" s="39">
        <v>16299</v>
      </c>
      <c r="S101" s="39">
        <v>9779</v>
      </c>
      <c r="T101" s="39">
        <v>4890</v>
      </c>
      <c r="U101" s="39">
        <v>652</v>
      </c>
      <c r="V101" s="39">
        <v>489</v>
      </c>
      <c r="W101" s="39">
        <v>0</v>
      </c>
      <c r="X101" s="39">
        <v>0</v>
      </c>
      <c r="Y101" s="39">
        <v>489</v>
      </c>
      <c r="Z101" s="39">
        <v>489</v>
      </c>
      <c r="AA101" s="39">
        <v>0</v>
      </c>
      <c r="AB101" s="39">
        <v>0</v>
      </c>
      <c r="AC101" s="39">
        <v>0</v>
      </c>
      <c r="AD101" s="39">
        <v>0</v>
      </c>
      <c r="AE101" s="39">
        <v>0</v>
      </c>
      <c r="AF101" s="39">
        <v>0</v>
      </c>
      <c r="AG101" s="39">
        <v>0</v>
      </c>
      <c r="AH101" s="39">
        <v>0</v>
      </c>
      <c r="AI101" s="39">
        <v>0</v>
      </c>
      <c r="AJ101" s="39">
        <f>'Row data'!$S101+'Row data'!$T101+'Row data'!$U101+'Row data'!$W101+'Row data'!$X101+'Row data'!$Y101+'Row data'!$Z101+'Row data'!$AA101+'Row data'!$AB101+'Row data'!$AD101-'Row data'!$AC101-'Row data'!$AE101-'Row data'!$AF101-'Row data'!$AG101-'Row data'!$AH101-'Row data'!$AI101</f>
        <v>16299</v>
      </c>
      <c r="AK101" s="39">
        <v>16299</v>
      </c>
      <c r="AL101" s="39">
        <v>0</v>
      </c>
    </row>
    <row r="102" spans="1:38" x14ac:dyDescent="0.3">
      <c r="A102" s="40">
        <v>101</v>
      </c>
      <c r="B102" s="35" t="s">
        <v>237</v>
      </c>
      <c r="C102" s="35">
        <v>6857802</v>
      </c>
      <c r="D102" s="36" t="s">
        <v>328</v>
      </c>
      <c r="E102" s="35" t="s">
        <v>38</v>
      </c>
      <c r="F102" s="35" t="s">
        <v>326</v>
      </c>
      <c r="G102" s="35" t="s">
        <v>160</v>
      </c>
      <c r="H102" s="37" t="s">
        <v>329</v>
      </c>
      <c r="I102" s="38">
        <v>42450</v>
      </c>
      <c r="J102" s="38">
        <v>44562</v>
      </c>
      <c r="K102" s="17">
        <f>YEAR('Row data'!$J102)</f>
        <v>2022</v>
      </c>
      <c r="L102" s="38">
        <v>34885</v>
      </c>
      <c r="M102" s="35" t="str">
        <f ca="1">IF('Row data'!$J102="",DATEDIF('Row data'!$L102,TODAY(),"y"),"0")</f>
        <v>0</v>
      </c>
      <c r="N102" s="35" t="s">
        <v>42</v>
      </c>
      <c r="O102" s="35" t="s">
        <v>43</v>
      </c>
      <c r="P102" s="39" t="s">
        <v>44</v>
      </c>
      <c r="Q102" s="39">
        <v>17406</v>
      </c>
      <c r="R102" s="39">
        <v>17406</v>
      </c>
      <c r="S102" s="39">
        <v>10444</v>
      </c>
      <c r="T102" s="39">
        <v>5222</v>
      </c>
      <c r="U102" s="39">
        <v>696</v>
      </c>
      <c r="V102" s="39">
        <v>522</v>
      </c>
      <c r="W102" s="39">
        <v>0</v>
      </c>
      <c r="X102" s="39">
        <v>0</v>
      </c>
      <c r="Y102" s="39">
        <v>522</v>
      </c>
      <c r="Z102" s="39">
        <v>522</v>
      </c>
      <c r="AA102" s="39">
        <v>0</v>
      </c>
      <c r="AB102" s="39">
        <v>0</v>
      </c>
      <c r="AC102" s="39">
        <v>0</v>
      </c>
      <c r="AD102" s="39">
        <v>0</v>
      </c>
      <c r="AE102" s="39">
        <v>0</v>
      </c>
      <c r="AF102" s="39">
        <v>0</v>
      </c>
      <c r="AG102" s="39">
        <v>0</v>
      </c>
      <c r="AH102" s="39">
        <v>0</v>
      </c>
      <c r="AI102" s="39">
        <v>0</v>
      </c>
      <c r="AJ102" s="39">
        <f>'Row data'!$S102+'Row data'!$T102+'Row data'!$U102+'Row data'!$W102+'Row data'!$X102+'Row data'!$Y102+'Row data'!$Z102+'Row data'!$AA102+'Row data'!$AB102+'Row data'!$AD102-'Row data'!$AC102-'Row data'!$AE102-'Row data'!$AF102-'Row data'!$AG102-'Row data'!$AH102-'Row data'!$AI102</f>
        <v>17406</v>
      </c>
      <c r="AK102" s="39">
        <v>17406</v>
      </c>
      <c r="AL102" s="39">
        <v>0</v>
      </c>
    </row>
    <row r="103" spans="1:38" x14ac:dyDescent="0.3">
      <c r="A103" s="40">
        <v>102</v>
      </c>
      <c r="B103" s="35" t="s">
        <v>237</v>
      </c>
      <c r="C103" s="35">
        <v>6822006</v>
      </c>
      <c r="D103" s="36" t="s">
        <v>330</v>
      </c>
      <c r="E103" s="35" t="s">
        <v>38</v>
      </c>
      <c r="F103" s="35" t="s">
        <v>326</v>
      </c>
      <c r="G103" s="35" t="s">
        <v>160</v>
      </c>
      <c r="H103" s="37" t="s">
        <v>331</v>
      </c>
      <c r="I103" s="38">
        <v>41161</v>
      </c>
      <c r="J103" s="38">
        <v>44562</v>
      </c>
      <c r="K103" s="17">
        <f>YEAR('Row data'!$J103)</f>
        <v>2022</v>
      </c>
      <c r="L103" s="38">
        <v>29545</v>
      </c>
      <c r="M103" s="35" t="str">
        <f ca="1">IF('Row data'!$J103="",DATEDIF('Row data'!$L103,TODAY(),"y"),"0")</f>
        <v>0</v>
      </c>
      <c r="N103" s="35" t="s">
        <v>42</v>
      </c>
      <c r="O103" s="35" t="s">
        <v>43</v>
      </c>
      <c r="P103" s="39" t="s">
        <v>44</v>
      </c>
      <c r="Q103" s="39">
        <v>20054</v>
      </c>
      <c r="R103" s="39">
        <v>20054</v>
      </c>
      <c r="S103" s="39">
        <v>12032</v>
      </c>
      <c r="T103" s="39">
        <v>6016</v>
      </c>
      <c r="U103" s="39">
        <v>802</v>
      </c>
      <c r="V103" s="39">
        <v>602</v>
      </c>
      <c r="W103" s="39">
        <v>0</v>
      </c>
      <c r="X103" s="39">
        <v>0</v>
      </c>
      <c r="Y103" s="39">
        <v>602</v>
      </c>
      <c r="Z103" s="39">
        <v>602</v>
      </c>
      <c r="AA103" s="39">
        <v>0</v>
      </c>
      <c r="AB103" s="39">
        <v>0</v>
      </c>
      <c r="AC103" s="39">
        <v>0</v>
      </c>
      <c r="AD103" s="39">
        <v>0</v>
      </c>
      <c r="AE103" s="39">
        <v>0</v>
      </c>
      <c r="AF103" s="39">
        <v>0</v>
      </c>
      <c r="AG103" s="39">
        <v>0</v>
      </c>
      <c r="AH103" s="39">
        <v>0</v>
      </c>
      <c r="AI103" s="39">
        <v>0</v>
      </c>
      <c r="AJ103" s="39">
        <f>'Row data'!$S103+'Row data'!$T103+'Row data'!$U103+'Row data'!$W103+'Row data'!$X103+'Row data'!$Y103+'Row data'!$Z103+'Row data'!$AA103+'Row data'!$AB103+'Row data'!$AD103-'Row data'!$AC103-'Row data'!$AE103-'Row data'!$AF103-'Row data'!$AG103-'Row data'!$AH103-'Row data'!$AI103</f>
        <v>20054</v>
      </c>
      <c r="AK103" s="39">
        <v>20054</v>
      </c>
      <c r="AL103" s="39">
        <v>0</v>
      </c>
    </row>
    <row r="104" spans="1:38" x14ac:dyDescent="0.3">
      <c r="A104" s="40">
        <v>103</v>
      </c>
      <c r="B104" s="35" t="s">
        <v>237</v>
      </c>
      <c r="C104" s="35">
        <v>5336453</v>
      </c>
      <c r="D104" s="36" t="s">
        <v>332</v>
      </c>
      <c r="E104" s="35" t="s">
        <v>38</v>
      </c>
      <c r="F104" s="35" t="s">
        <v>326</v>
      </c>
      <c r="G104" s="35" t="s">
        <v>185</v>
      </c>
      <c r="H104" s="37" t="s">
        <v>333</v>
      </c>
      <c r="I104" s="38">
        <v>44992</v>
      </c>
      <c r="J104" s="38">
        <v>44562</v>
      </c>
      <c r="K104" s="17">
        <f>YEAR('Row data'!$J104)</f>
        <v>2022</v>
      </c>
      <c r="L104" s="38">
        <v>37057</v>
      </c>
      <c r="M104" s="35" t="str">
        <f ca="1">IF('Row data'!$J104="",DATEDIF('Row data'!$L104,TODAY(),"y"),"0")</f>
        <v>0</v>
      </c>
      <c r="N104" s="35" t="s">
        <v>75</v>
      </c>
      <c r="O104" s="35" t="s">
        <v>43</v>
      </c>
      <c r="P104" s="39" t="s">
        <v>44</v>
      </c>
      <c r="Q104" s="39">
        <v>16048</v>
      </c>
      <c r="R104" s="39">
        <v>8024</v>
      </c>
      <c r="S104" s="39">
        <v>9629</v>
      </c>
      <c r="T104" s="39">
        <v>4815</v>
      </c>
      <c r="U104" s="39">
        <v>642</v>
      </c>
      <c r="V104" s="39">
        <v>481</v>
      </c>
      <c r="W104" s="39">
        <v>0</v>
      </c>
      <c r="X104" s="39">
        <v>0</v>
      </c>
      <c r="Y104" s="39">
        <v>481</v>
      </c>
      <c r="Z104" s="39">
        <v>481</v>
      </c>
      <c r="AA104" s="39">
        <v>0</v>
      </c>
      <c r="AB104" s="39">
        <v>0</v>
      </c>
      <c r="AC104" s="39">
        <v>-8024</v>
      </c>
      <c r="AD104" s="39">
        <v>0</v>
      </c>
      <c r="AE104" s="39">
        <v>0</v>
      </c>
      <c r="AF104" s="39">
        <v>0</v>
      </c>
      <c r="AG104" s="39">
        <v>0</v>
      </c>
      <c r="AH104" s="39">
        <v>0</v>
      </c>
      <c r="AI104" s="39">
        <v>0</v>
      </c>
      <c r="AJ104" s="39">
        <f>'Row data'!$S104+'Row data'!$T104+'Row data'!$U104+'Row data'!$W104+'Row data'!$X104+'Row data'!$Y104+'Row data'!$Z104+'Row data'!$AA104+'Row data'!$AB104+'Row data'!$AD104-'Row data'!$AC104-'Row data'!$AE104-'Row data'!$AF104-'Row data'!$AG104-'Row data'!$AH104-'Row data'!$AI104</f>
        <v>24072</v>
      </c>
      <c r="AK104" s="39">
        <v>8024</v>
      </c>
      <c r="AL104" s="39">
        <v>0</v>
      </c>
    </row>
    <row r="105" spans="1:38" x14ac:dyDescent="0.3">
      <c r="A105" s="40">
        <v>104</v>
      </c>
      <c r="B105" s="35" t="s">
        <v>237</v>
      </c>
      <c r="C105" s="35">
        <v>5279757</v>
      </c>
      <c r="D105" s="36" t="s">
        <v>334</v>
      </c>
      <c r="E105" s="35" t="s">
        <v>38</v>
      </c>
      <c r="F105" s="35" t="s">
        <v>326</v>
      </c>
      <c r="G105" s="35" t="s">
        <v>160</v>
      </c>
      <c r="H105" s="37" t="s">
        <v>335</v>
      </c>
      <c r="I105" s="38">
        <v>42409</v>
      </c>
      <c r="J105" s="38"/>
      <c r="K105" s="17"/>
      <c r="L105" s="38">
        <v>35222</v>
      </c>
      <c r="M105" s="35">
        <f ca="1">IF('Row data'!$J105="",DATEDIF('Row data'!$L105,TODAY(),"y"),"0")</f>
        <v>30</v>
      </c>
      <c r="N105" s="35" t="s">
        <v>42</v>
      </c>
      <c r="O105" s="35" t="s">
        <v>43</v>
      </c>
      <c r="P105" s="39" t="s">
        <v>44</v>
      </c>
      <c r="Q105" s="39">
        <v>17136</v>
      </c>
      <c r="R105" s="39">
        <v>14136</v>
      </c>
      <c r="S105" s="39">
        <v>10282</v>
      </c>
      <c r="T105" s="39">
        <v>5141</v>
      </c>
      <c r="U105" s="39">
        <v>685</v>
      </c>
      <c r="V105" s="39">
        <v>514</v>
      </c>
      <c r="W105" s="39">
        <v>0</v>
      </c>
      <c r="X105" s="39">
        <v>0</v>
      </c>
      <c r="Y105" s="39">
        <v>514</v>
      </c>
      <c r="Z105" s="39">
        <v>514</v>
      </c>
      <c r="AA105" s="39">
        <v>0</v>
      </c>
      <c r="AB105" s="39">
        <v>0</v>
      </c>
      <c r="AC105" s="39">
        <v>-3000</v>
      </c>
      <c r="AD105" s="39">
        <v>0</v>
      </c>
      <c r="AE105" s="39">
        <v>0</v>
      </c>
      <c r="AF105" s="39">
        <v>0</v>
      </c>
      <c r="AG105" s="39">
        <v>3000</v>
      </c>
      <c r="AH105" s="39">
        <v>0</v>
      </c>
      <c r="AI105" s="39">
        <v>0</v>
      </c>
      <c r="AJ105" s="39">
        <f>'Row data'!$S105+'Row data'!$T105+'Row data'!$U105+'Row data'!$W105+'Row data'!$X105+'Row data'!$Y105+'Row data'!$Z105+'Row data'!$AA105+'Row data'!$AB105+'Row data'!$AD105-'Row data'!$AC105-'Row data'!$AE105-'Row data'!$AF105-'Row data'!$AG105-'Row data'!$AH105-'Row data'!$AI105</f>
        <v>17136</v>
      </c>
      <c r="AK105" s="39">
        <v>11136</v>
      </c>
      <c r="AL105" s="39">
        <v>0</v>
      </c>
    </row>
    <row r="106" spans="1:38" x14ac:dyDescent="0.3">
      <c r="A106" s="40">
        <v>105</v>
      </c>
      <c r="B106" s="35" t="s">
        <v>237</v>
      </c>
      <c r="C106" s="35">
        <v>5186144</v>
      </c>
      <c r="D106" s="36" t="s">
        <v>336</v>
      </c>
      <c r="E106" s="35" t="s">
        <v>38</v>
      </c>
      <c r="F106" s="35" t="s">
        <v>326</v>
      </c>
      <c r="G106" s="35" t="s">
        <v>185</v>
      </c>
      <c r="H106" s="37" t="s">
        <v>337</v>
      </c>
      <c r="I106" s="38">
        <v>43834</v>
      </c>
      <c r="J106" s="38"/>
      <c r="K106" s="17"/>
      <c r="L106" s="38">
        <v>36074</v>
      </c>
      <c r="M106" s="35">
        <f ca="1">IF('Row data'!$J106="",DATEDIF('Row data'!$L106,TODAY(),"y"),"0")</f>
        <v>27</v>
      </c>
      <c r="N106" s="35" t="s">
        <v>42</v>
      </c>
      <c r="O106" s="35" t="s">
        <v>43</v>
      </c>
      <c r="P106" s="39" t="s">
        <v>44</v>
      </c>
      <c r="Q106" s="39">
        <v>16265</v>
      </c>
      <c r="R106" s="39">
        <v>16265</v>
      </c>
      <c r="S106" s="39">
        <v>9759</v>
      </c>
      <c r="T106" s="39">
        <v>4879</v>
      </c>
      <c r="U106" s="39">
        <v>651</v>
      </c>
      <c r="V106" s="39">
        <v>488</v>
      </c>
      <c r="W106" s="39">
        <v>0</v>
      </c>
      <c r="X106" s="39">
        <v>0</v>
      </c>
      <c r="Y106" s="39">
        <v>488</v>
      </c>
      <c r="Z106" s="39">
        <v>488</v>
      </c>
      <c r="AA106" s="39">
        <v>0</v>
      </c>
      <c r="AB106" s="39">
        <v>0</v>
      </c>
      <c r="AC106" s="39">
        <v>0</v>
      </c>
      <c r="AD106" s="39">
        <v>0</v>
      </c>
      <c r="AE106" s="39">
        <v>0</v>
      </c>
      <c r="AF106" s="39">
        <v>0</v>
      </c>
      <c r="AG106" s="39">
        <v>0</v>
      </c>
      <c r="AH106" s="39">
        <v>0</v>
      </c>
      <c r="AI106" s="39">
        <v>0</v>
      </c>
      <c r="AJ106" s="39">
        <f>'Row data'!$S106+'Row data'!$T106+'Row data'!$U106+'Row data'!$W106+'Row data'!$X106+'Row data'!$Y106+'Row data'!$Z106+'Row data'!$AA106+'Row data'!$AB106+'Row data'!$AD106-'Row data'!$AC106-'Row data'!$AE106-'Row data'!$AF106-'Row data'!$AG106-'Row data'!$AH106-'Row data'!$AI106</f>
        <v>16265</v>
      </c>
      <c r="AK106" s="39">
        <v>16265</v>
      </c>
      <c r="AL106" s="39">
        <v>0</v>
      </c>
    </row>
    <row r="107" spans="1:38" x14ac:dyDescent="0.3">
      <c r="A107" s="40">
        <v>106</v>
      </c>
      <c r="B107" s="35" t="s">
        <v>237</v>
      </c>
      <c r="C107" s="35">
        <v>9670094</v>
      </c>
      <c r="D107" s="36" t="s">
        <v>338</v>
      </c>
      <c r="E107" s="35" t="s">
        <v>38</v>
      </c>
      <c r="F107" s="35" t="s">
        <v>326</v>
      </c>
      <c r="G107" s="35" t="s">
        <v>185</v>
      </c>
      <c r="H107" s="37" t="s">
        <v>339</v>
      </c>
      <c r="I107" s="38">
        <v>43836</v>
      </c>
      <c r="J107" s="38"/>
      <c r="K107" s="17"/>
      <c r="L107" s="38">
        <v>36290</v>
      </c>
      <c r="M107" s="35">
        <f ca="1">IF('Row data'!$J107="",DATEDIF('Row data'!$L107,TODAY(),"y"),"0")</f>
        <v>27</v>
      </c>
      <c r="N107" s="35" t="s">
        <v>42</v>
      </c>
      <c r="O107" s="35" t="s">
        <v>43</v>
      </c>
      <c r="P107" s="39" t="s">
        <v>44</v>
      </c>
      <c r="Q107" s="39">
        <v>16265</v>
      </c>
      <c r="R107" s="39">
        <v>16265</v>
      </c>
      <c r="S107" s="39">
        <v>9759</v>
      </c>
      <c r="T107" s="39">
        <v>4879</v>
      </c>
      <c r="U107" s="39">
        <v>651</v>
      </c>
      <c r="V107" s="39">
        <v>488</v>
      </c>
      <c r="W107" s="39">
        <v>0</v>
      </c>
      <c r="X107" s="39">
        <v>0</v>
      </c>
      <c r="Y107" s="39">
        <v>488</v>
      </c>
      <c r="Z107" s="39">
        <v>488</v>
      </c>
      <c r="AA107" s="39">
        <v>0</v>
      </c>
      <c r="AB107" s="39">
        <v>0</v>
      </c>
      <c r="AC107" s="39">
        <v>0</v>
      </c>
      <c r="AD107" s="39">
        <v>0</v>
      </c>
      <c r="AE107" s="39">
        <v>0</v>
      </c>
      <c r="AF107" s="39">
        <v>0</v>
      </c>
      <c r="AG107" s="39">
        <v>0</v>
      </c>
      <c r="AH107" s="39">
        <v>0</v>
      </c>
      <c r="AI107" s="39">
        <v>0</v>
      </c>
      <c r="AJ107" s="39">
        <f>'Row data'!$S107+'Row data'!$T107+'Row data'!$U107+'Row data'!$W107+'Row data'!$X107+'Row data'!$Y107+'Row data'!$Z107+'Row data'!$AA107+'Row data'!$AB107+'Row data'!$AD107-'Row data'!$AC107-'Row data'!$AE107-'Row data'!$AF107-'Row data'!$AG107-'Row data'!$AH107-'Row data'!$AI107</f>
        <v>16265</v>
      </c>
      <c r="AK107" s="39">
        <v>16265</v>
      </c>
      <c r="AL107" s="39">
        <v>0</v>
      </c>
    </row>
    <row r="108" spans="1:38" x14ac:dyDescent="0.3">
      <c r="A108" s="40">
        <v>107</v>
      </c>
      <c r="B108" s="35" t="s">
        <v>237</v>
      </c>
      <c r="C108" s="35">
        <v>9288878</v>
      </c>
      <c r="D108" s="36" t="s">
        <v>340</v>
      </c>
      <c r="E108" s="35" t="s">
        <v>38</v>
      </c>
      <c r="F108" s="35" t="s">
        <v>326</v>
      </c>
      <c r="G108" s="35" t="s">
        <v>160</v>
      </c>
      <c r="H108" s="37" t="s">
        <v>341</v>
      </c>
      <c r="I108" s="38">
        <v>42446</v>
      </c>
      <c r="J108" s="38">
        <v>44905</v>
      </c>
      <c r="K108" s="17">
        <f>YEAR('Row data'!$J108)</f>
        <v>2022</v>
      </c>
      <c r="L108" s="38">
        <v>28469</v>
      </c>
      <c r="M108" s="35" t="str">
        <f ca="1">IF('Row data'!$J108="",DATEDIF('Row data'!$L108,TODAY(),"y"),"0")</f>
        <v>0</v>
      </c>
      <c r="N108" s="35" t="s">
        <v>75</v>
      </c>
      <c r="O108" s="35" t="s">
        <v>43</v>
      </c>
      <c r="P108" s="39" t="s">
        <v>44</v>
      </c>
      <c r="Q108" s="39">
        <v>17811</v>
      </c>
      <c r="R108" s="39">
        <v>17811</v>
      </c>
      <c r="S108" s="39">
        <v>10687</v>
      </c>
      <c r="T108" s="39">
        <v>5344</v>
      </c>
      <c r="U108" s="39">
        <v>712</v>
      </c>
      <c r="V108" s="39">
        <v>534</v>
      </c>
      <c r="W108" s="39">
        <v>0</v>
      </c>
      <c r="X108" s="39">
        <v>0</v>
      </c>
      <c r="Y108" s="39">
        <v>534</v>
      </c>
      <c r="Z108" s="39">
        <v>534</v>
      </c>
      <c r="AA108" s="39">
        <v>0</v>
      </c>
      <c r="AB108" s="39">
        <v>0</v>
      </c>
      <c r="AC108" s="39">
        <v>0</v>
      </c>
      <c r="AD108" s="39">
        <v>0</v>
      </c>
      <c r="AE108" s="39">
        <v>0</v>
      </c>
      <c r="AF108" s="39">
        <v>0</v>
      </c>
      <c r="AG108" s="39">
        <v>0</v>
      </c>
      <c r="AH108" s="39">
        <v>0</v>
      </c>
      <c r="AI108" s="39">
        <v>0</v>
      </c>
      <c r="AJ108" s="39">
        <f>'Row data'!$S108+'Row data'!$T108+'Row data'!$U108+'Row data'!$W108+'Row data'!$X108+'Row data'!$Y108+'Row data'!$Z108+'Row data'!$AA108+'Row data'!$AB108+'Row data'!$AD108-'Row data'!$AC108-'Row data'!$AE108-'Row data'!$AF108-'Row data'!$AG108-'Row data'!$AH108-'Row data'!$AI108</f>
        <v>17811</v>
      </c>
      <c r="AK108" s="39">
        <v>17811</v>
      </c>
      <c r="AL108" s="39">
        <v>0</v>
      </c>
    </row>
    <row r="109" spans="1:38" x14ac:dyDescent="0.3">
      <c r="A109" s="40">
        <v>108</v>
      </c>
      <c r="B109" s="35" t="s">
        <v>237</v>
      </c>
      <c r="C109" s="35">
        <v>5562863</v>
      </c>
      <c r="D109" s="36" t="s">
        <v>342</v>
      </c>
      <c r="E109" s="35" t="s">
        <v>38</v>
      </c>
      <c r="F109" s="35" t="s">
        <v>326</v>
      </c>
      <c r="G109" s="35" t="s">
        <v>160</v>
      </c>
      <c r="H109" s="37" t="s">
        <v>343</v>
      </c>
      <c r="I109" s="38">
        <v>41050</v>
      </c>
      <c r="J109" s="38"/>
      <c r="K109" s="17"/>
      <c r="L109" s="38">
        <v>22433</v>
      </c>
      <c r="M109" s="35">
        <f ca="1">IF('Row data'!$J109="",DATEDIF('Row data'!$L109,TODAY(),"y"),"0")</f>
        <v>65</v>
      </c>
      <c r="N109" s="35" t="s">
        <v>42</v>
      </c>
      <c r="O109" s="35" t="s">
        <v>43</v>
      </c>
      <c r="P109" s="39" t="s">
        <v>44</v>
      </c>
      <c r="Q109" s="39">
        <v>18533</v>
      </c>
      <c r="R109" s="39">
        <v>18533</v>
      </c>
      <c r="S109" s="39">
        <v>11120</v>
      </c>
      <c r="T109" s="39">
        <v>5560</v>
      </c>
      <c r="U109" s="39">
        <v>741</v>
      </c>
      <c r="V109" s="39">
        <v>556</v>
      </c>
      <c r="W109" s="39">
        <v>0</v>
      </c>
      <c r="X109" s="39">
        <v>0</v>
      </c>
      <c r="Y109" s="39">
        <v>556</v>
      </c>
      <c r="Z109" s="39">
        <v>556</v>
      </c>
      <c r="AA109" s="39">
        <v>0</v>
      </c>
      <c r="AB109" s="39">
        <v>0</v>
      </c>
      <c r="AC109" s="39">
        <v>0</v>
      </c>
      <c r="AD109" s="39">
        <v>0</v>
      </c>
      <c r="AE109" s="39">
        <v>0</v>
      </c>
      <c r="AF109" s="39">
        <v>0</v>
      </c>
      <c r="AG109" s="39">
        <v>0</v>
      </c>
      <c r="AH109" s="39">
        <v>0</v>
      </c>
      <c r="AI109" s="39">
        <v>0</v>
      </c>
      <c r="AJ109" s="39">
        <f>'Row data'!$S109+'Row data'!$T109+'Row data'!$U109+'Row data'!$W109+'Row data'!$X109+'Row data'!$Y109+'Row data'!$Z109+'Row data'!$AA109+'Row data'!$AB109+'Row data'!$AD109-'Row data'!$AC109-'Row data'!$AE109-'Row data'!$AF109-'Row data'!$AG109-'Row data'!$AH109-'Row data'!$AI109</f>
        <v>18533</v>
      </c>
      <c r="AK109" s="39">
        <v>18533</v>
      </c>
      <c r="AL109" s="39">
        <v>0</v>
      </c>
    </row>
    <row r="110" spans="1:38" x14ac:dyDescent="0.3">
      <c r="A110" s="40">
        <v>109</v>
      </c>
      <c r="B110" s="35" t="s">
        <v>237</v>
      </c>
      <c r="C110" s="35">
        <v>6258279</v>
      </c>
      <c r="D110" s="36" t="s">
        <v>344</v>
      </c>
      <c r="E110" s="35" t="s">
        <v>38</v>
      </c>
      <c r="F110" s="35" t="s">
        <v>345</v>
      </c>
      <c r="G110" s="35" t="s">
        <v>313</v>
      </c>
      <c r="H110" s="37" t="s">
        <v>346</v>
      </c>
      <c r="I110" s="38">
        <v>35957</v>
      </c>
      <c r="J110" s="38"/>
      <c r="K110" s="17"/>
      <c r="L110" s="38">
        <v>25731</v>
      </c>
      <c r="M110" s="35">
        <f ca="1">IF('Row data'!$J110="",DATEDIF('Row data'!$L110,TODAY(),"y"),"0")</f>
        <v>56</v>
      </c>
      <c r="N110" s="35" t="s">
        <v>42</v>
      </c>
      <c r="O110" s="35" t="s">
        <v>43</v>
      </c>
      <c r="P110" s="39" t="s">
        <v>44</v>
      </c>
      <c r="Q110" s="39">
        <v>82731</v>
      </c>
      <c r="R110" s="39">
        <v>82731</v>
      </c>
      <c r="S110" s="39">
        <v>49639</v>
      </c>
      <c r="T110" s="39">
        <v>24819</v>
      </c>
      <c r="U110" s="39">
        <v>3309</v>
      </c>
      <c r="V110" s="39">
        <v>2482</v>
      </c>
      <c r="W110" s="39">
        <v>0</v>
      </c>
      <c r="X110" s="39">
        <v>0</v>
      </c>
      <c r="Y110" s="39">
        <v>2482</v>
      </c>
      <c r="Z110" s="39">
        <v>2482</v>
      </c>
      <c r="AA110" s="39">
        <v>0</v>
      </c>
      <c r="AB110" s="39">
        <v>0</v>
      </c>
      <c r="AC110" s="39">
        <v>0</v>
      </c>
      <c r="AD110" s="39">
        <v>0</v>
      </c>
      <c r="AE110" s="39">
        <v>0</v>
      </c>
      <c r="AF110" s="39">
        <v>0</v>
      </c>
      <c r="AG110" s="39">
        <v>0</v>
      </c>
      <c r="AH110" s="39">
        <v>1500</v>
      </c>
      <c r="AI110" s="39">
        <v>0</v>
      </c>
      <c r="AJ110" s="39">
        <f>'Row data'!$S110+'Row data'!$T110+'Row data'!$U110+'Row data'!$W110+'Row data'!$X110+'Row data'!$Y110+'Row data'!$Z110+'Row data'!$AA110+'Row data'!$AB110+'Row data'!$AD110-'Row data'!$AC110-'Row data'!$AE110-'Row data'!$AF110-'Row data'!$AG110-'Row data'!$AH110-'Row data'!$AI110</f>
        <v>81231</v>
      </c>
      <c r="AK110" s="39">
        <v>81231</v>
      </c>
      <c r="AL110" s="39">
        <v>0</v>
      </c>
    </row>
    <row r="111" spans="1:38" x14ac:dyDescent="0.3">
      <c r="A111" s="40">
        <v>110</v>
      </c>
      <c r="B111" s="35" t="s">
        <v>237</v>
      </c>
      <c r="C111" s="35">
        <v>7630707</v>
      </c>
      <c r="D111" s="36" t="s">
        <v>347</v>
      </c>
      <c r="E111" s="35" t="s">
        <v>38</v>
      </c>
      <c r="F111" s="35" t="s">
        <v>345</v>
      </c>
      <c r="G111" s="35" t="s">
        <v>182</v>
      </c>
      <c r="H111" s="37" t="s">
        <v>348</v>
      </c>
      <c r="I111" s="38">
        <v>40726</v>
      </c>
      <c r="J111" s="38"/>
      <c r="K111" s="17"/>
      <c r="L111" s="38">
        <v>31026</v>
      </c>
      <c r="M111" s="35">
        <f ca="1">IF('Row data'!$J111="",DATEDIF('Row data'!$L111,TODAY(),"y"),"0")</f>
        <v>41</v>
      </c>
      <c r="N111" s="35" t="s">
        <v>42</v>
      </c>
      <c r="O111" s="35" t="s">
        <v>43</v>
      </c>
      <c r="P111" s="39" t="s">
        <v>44</v>
      </c>
      <c r="Q111" s="39">
        <v>25406</v>
      </c>
      <c r="R111" s="39">
        <v>23406</v>
      </c>
      <c r="S111" s="39">
        <v>15244</v>
      </c>
      <c r="T111" s="39">
        <v>7622</v>
      </c>
      <c r="U111" s="39">
        <v>1016</v>
      </c>
      <c r="V111" s="39">
        <v>762</v>
      </c>
      <c r="W111" s="39">
        <v>0</v>
      </c>
      <c r="X111" s="39">
        <v>0</v>
      </c>
      <c r="Y111" s="39">
        <v>762</v>
      </c>
      <c r="Z111" s="39">
        <v>762</v>
      </c>
      <c r="AA111" s="39">
        <v>0</v>
      </c>
      <c r="AB111" s="39">
        <v>0</v>
      </c>
      <c r="AC111" s="39">
        <v>-2000</v>
      </c>
      <c r="AD111" s="39">
        <v>0</v>
      </c>
      <c r="AE111" s="39">
        <v>0</v>
      </c>
      <c r="AF111" s="39">
        <v>0</v>
      </c>
      <c r="AG111" s="39">
        <v>0</v>
      </c>
      <c r="AH111" s="39">
        <v>0</v>
      </c>
      <c r="AI111" s="39">
        <v>0</v>
      </c>
      <c r="AJ111" s="39">
        <f>'Row data'!$S111+'Row data'!$T111+'Row data'!$U111+'Row data'!$W111+'Row data'!$X111+'Row data'!$Y111+'Row data'!$Z111+'Row data'!$AA111+'Row data'!$AB111+'Row data'!$AD111-'Row data'!$AC111-'Row data'!$AE111-'Row data'!$AF111-'Row data'!$AG111-'Row data'!$AH111-'Row data'!$AI111</f>
        <v>27406</v>
      </c>
      <c r="AK111" s="39">
        <v>23406</v>
      </c>
      <c r="AL111" s="39">
        <v>0</v>
      </c>
    </row>
    <row r="112" spans="1:38" x14ac:dyDescent="0.3">
      <c r="A112" s="40">
        <v>111</v>
      </c>
      <c r="B112" s="35" t="s">
        <v>237</v>
      </c>
      <c r="C112" s="35">
        <v>5923238</v>
      </c>
      <c r="D112" s="36" t="s">
        <v>349</v>
      </c>
      <c r="E112" s="35" t="s">
        <v>38</v>
      </c>
      <c r="F112" s="35" t="s">
        <v>345</v>
      </c>
      <c r="G112" s="35" t="s">
        <v>154</v>
      </c>
      <c r="H112" s="37" t="s">
        <v>350</v>
      </c>
      <c r="I112" s="38">
        <v>42140</v>
      </c>
      <c r="J112" s="38"/>
      <c r="K112" s="17"/>
      <c r="L112" s="38">
        <v>26748</v>
      </c>
      <c r="M112" s="35">
        <f ca="1">IF('Row data'!$J112="",DATEDIF('Row data'!$L112,TODAY(),"y"),"0")</f>
        <v>53</v>
      </c>
      <c r="N112" s="35" t="s">
        <v>42</v>
      </c>
      <c r="O112" s="35" t="s">
        <v>43</v>
      </c>
      <c r="P112" s="39" t="s">
        <v>44</v>
      </c>
      <c r="Q112" s="39">
        <v>29975</v>
      </c>
      <c r="R112" s="39">
        <v>29975</v>
      </c>
      <c r="S112" s="39">
        <v>17985</v>
      </c>
      <c r="T112" s="39">
        <v>8993</v>
      </c>
      <c r="U112" s="39">
        <v>1199</v>
      </c>
      <c r="V112" s="39">
        <v>899</v>
      </c>
      <c r="W112" s="39">
        <v>0</v>
      </c>
      <c r="X112" s="39">
        <v>0</v>
      </c>
      <c r="Y112" s="39">
        <v>899</v>
      </c>
      <c r="Z112" s="39">
        <v>899</v>
      </c>
      <c r="AA112" s="39">
        <v>0</v>
      </c>
      <c r="AB112" s="39">
        <v>0</v>
      </c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f>'Row data'!$S112+'Row data'!$T112+'Row data'!$U112+'Row data'!$W112+'Row data'!$X112+'Row data'!$Y112+'Row data'!$Z112+'Row data'!$AA112+'Row data'!$AB112+'Row data'!$AD112-'Row data'!$AC112-'Row data'!$AE112-'Row data'!$AF112-'Row data'!$AG112-'Row data'!$AH112-'Row data'!$AI112</f>
        <v>29975</v>
      </c>
      <c r="AK112" s="39">
        <v>29975</v>
      </c>
      <c r="AL112" s="39">
        <v>0</v>
      </c>
    </row>
    <row r="113" spans="1:38" x14ac:dyDescent="0.3">
      <c r="A113" s="40">
        <v>112</v>
      </c>
      <c r="B113" s="35" t="s">
        <v>237</v>
      </c>
      <c r="C113" s="35">
        <v>9279504</v>
      </c>
      <c r="D113" s="36" t="s">
        <v>351</v>
      </c>
      <c r="E113" s="35" t="s">
        <v>38</v>
      </c>
      <c r="F113" s="35" t="s">
        <v>352</v>
      </c>
      <c r="G113" s="35" t="s">
        <v>62</v>
      </c>
      <c r="H113" s="37" t="s">
        <v>353</v>
      </c>
      <c r="I113" s="38">
        <v>37874</v>
      </c>
      <c r="J113" s="38"/>
      <c r="K113" s="17"/>
      <c r="L113" s="38">
        <v>31844</v>
      </c>
      <c r="M113" s="35">
        <f ca="1">IF('Row data'!$J113="",DATEDIF('Row data'!$L113,TODAY(),"y"),"0")</f>
        <v>39</v>
      </c>
      <c r="N113" s="35" t="s">
        <v>42</v>
      </c>
      <c r="O113" s="35" t="s">
        <v>43</v>
      </c>
      <c r="P113" s="39" t="s">
        <v>44</v>
      </c>
      <c r="Q113" s="39">
        <v>37942</v>
      </c>
      <c r="R113" s="39">
        <v>37942</v>
      </c>
      <c r="S113" s="39">
        <v>22765</v>
      </c>
      <c r="T113" s="39">
        <v>11383</v>
      </c>
      <c r="U113" s="39">
        <v>1518</v>
      </c>
      <c r="V113" s="39">
        <v>1138</v>
      </c>
      <c r="W113" s="39">
        <v>0</v>
      </c>
      <c r="X113" s="39">
        <v>0</v>
      </c>
      <c r="Y113" s="39">
        <v>1138</v>
      </c>
      <c r="Z113" s="39">
        <v>1138</v>
      </c>
      <c r="AA113" s="39">
        <v>0</v>
      </c>
      <c r="AB113" s="39">
        <v>0</v>
      </c>
      <c r="AC113" s="39">
        <v>0</v>
      </c>
      <c r="AD113" s="39">
        <v>0</v>
      </c>
      <c r="AE113" s="39">
        <v>0</v>
      </c>
      <c r="AF113" s="39">
        <v>0</v>
      </c>
      <c r="AG113" s="39">
        <v>3000</v>
      </c>
      <c r="AH113" s="39">
        <v>0</v>
      </c>
      <c r="AI113" s="39">
        <v>0</v>
      </c>
      <c r="AJ113" s="39">
        <f>'Row data'!$S113+'Row data'!$T113+'Row data'!$U113+'Row data'!$W113+'Row data'!$X113+'Row data'!$Y113+'Row data'!$Z113+'Row data'!$AA113+'Row data'!$AB113+'Row data'!$AD113-'Row data'!$AC113-'Row data'!$AE113-'Row data'!$AF113-'Row data'!$AG113-'Row data'!$AH113-'Row data'!$AI113</f>
        <v>34942</v>
      </c>
      <c r="AK113" s="39">
        <v>34942</v>
      </c>
      <c r="AL113" s="39">
        <v>0</v>
      </c>
    </row>
    <row r="114" spans="1:38" x14ac:dyDescent="0.3">
      <c r="A114" s="40">
        <v>113</v>
      </c>
      <c r="B114" s="35" t="s">
        <v>237</v>
      </c>
      <c r="C114" s="35">
        <v>8727656</v>
      </c>
      <c r="D114" s="36" t="s">
        <v>354</v>
      </c>
      <c r="E114" s="35" t="s">
        <v>187</v>
      </c>
      <c r="F114" s="35" t="s">
        <v>187</v>
      </c>
      <c r="G114" s="35" t="s">
        <v>191</v>
      </c>
      <c r="H114" s="37" t="s">
        <v>355</v>
      </c>
      <c r="I114" s="38">
        <v>43025</v>
      </c>
      <c r="J114" s="38">
        <v>44654</v>
      </c>
      <c r="K114" s="17">
        <f>YEAR('Row data'!$J114)</f>
        <v>2022</v>
      </c>
      <c r="L114" s="38">
        <v>32236</v>
      </c>
      <c r="M114" s="35" t="str">
        <f ca="1">IF('Row data'!$J114="",DATEDIF('Row data'!$L114,TODAY(),"y"),"0")</f>
        <v>0</v>
      </c>
      <c r="N114" s="35" t="s">
        <v>42</v>
      </c>
      <c r="O114" s="35" t="s">
        <v>43</v>
      </c>
      <c r="P114" s="39" t="s">
        <v>44</v>
      </c>
      <c r="Q114" s="39">
        <v>26597</v>
      </c>
      <c r="R114" s="39">
        <v>21457</v>
      </c>
      <c r="S114" s="39">
        <v>15958</v>
      </c>
      <c r="T114" s="39">
        <v>7979</v>
      </c>
      <c r="U114" s="39">
        <v>1064</v>
      </c>
      <c r="V114" s="39">
        <v>798</v>
      </c>
      <c r="W114" s="39">
        <v>0</v>
      </c>
      <c r="X114" s="39">
        <v>0</v>
      </c>
      <c r="Y114" s="39">
        <v>798</v>
      </c>
      <c r="Z114" s="39">
        <v>798</v>
      </c>
      <c r="AA114" s="39">
        <v>0</v>
      </c>
      <c r="AB114" s="39">
        <v>0</v>
      </c>
      <c r="AC114" s="39">
        <v>-4000</v>
      </c>
      <c r="AD114" s="39">
        <v>0</v>
      </c>
      <c r="AE114" s="39">
        <v>1140</v>
      </c>
      <c r="AF114" s="39">
        <v>0</v>
      </c>
      <c r="AG114" s="39">
        <v>2000</v>
      </c>
      <c r="AH114" s="39">
        <v>0</v>
      </c>
      <c r="AI114" s="39">
        <v>0</v>
      </c>
      <c r="AJ114" s="39">
        <f>'Row data'!$S114+'Row data'!$T114+'Row data'!$U114+'Row data'!$W114+'Row data'!$X114+'Row data'!$Y114+'Row data'!$Z114+'Row data'!$AA114+'Row data'!$AB114+'Row data'!$AD114-'Row data'!$AC114-'Row data'!$AE114-'Row data'!$AF114-'Row data'!$AG114-'Row data'!$AH114-'Row data'!$AI114</f>
        <v>27457</v>
      </c>
      <c r="AK114" s="39">
        <v>19457</v>
      </c>
      <c r="AL114" s="39">
        <v>0</v>
      </c>
    </row>
    <row r="115" spans="1:38" x14ac:dyDescent="0.3">
      <c r="A115" s="40">
        <v>114</v>
      </c>
      <c r="B115" s="35" t="s">
        <v>237</v>
      </c>
      <c r="C115" s="35">
        <v>6742404</v>
      </c>
      <c r="D115" s="36" t="s">
        <v>356</v>
      </c>
      <c r="E115" s="35" t="s">
        <v>187</v>
      </c>
      <c r="F115" s="35" t="s">
        <v>187</v>
      </c>
      <c r="G115" s="35" t="s">
        <v>188</v>
      </c>
      <c r="H115" s="37" t="s">
        <v>357</v>
      </c>
      <c r="I115" s="38">
        <v>43162</v>
      </c>
      <c r="J115" s="38"/>
      <c r="K115" s="17"/>
      <c r="L115" s="38">
        <v>35937</v>
      </c>
      <c r="M115" s="35">
        <f ca="1">IF('Row data'!$J115="",DATEDIF('Row data'!$L115,TODAY(),"y"),"0")</f>
        <v>28</v>
      </c>
      <c r="N115" s="35" t="s">
        <v>42</v>
      </c>
      <c r="O115" s="35" t="s">
        <v>43</v>
      </c>
      <c r="P115" s="39" t="s">
        <v>44</v>
      </c>
      <c r="Q115" s="39">
        <v>19566</v>
      </c>
      <c r="R115" s="39">
        <v>19566</v>
      </c>
      <c r="S115" s="39">
        <v>11739</v>
      </c>
      <c r="T115" s="39">
        <v>5870</v>
      </c>
      <c r="U115" s="39">
        <v>783</v>
      </c>
      <c r="V115" s="39">
        <v>587</v>
      </c>
      <c r="W115" s="39">
        <v>0</v>
      </c>
      <c r="X115" s="39">
        <v>0</v>
      </c>
      <c r="Y115" s="39">
        <v>587</v>
      </c>
      <c r="Z115" s="39">
        <v>587</v>
      </c>
      <c r="AA115" s="39">
        <v>0</v>
      </c>
      <c r="AB115" s="39">
        <v>0</v>
      </c>
      <c r="AC115" s="39">
        <v>0</v>
      </c>
      <c r="AD115" s="39">
        <v>0</v>
      </c>
      <c r="AE115" s="39">
        <v>0</v>
      </c>
      <c r="AF115" s="39">
        <v>0</v>
      </c>
      <c r="AG115" s="39">
        <v>0</v>
      </c>
      <c r="AH115" s="39">
        <v>0</v>
      </c>
      <c r="AI115" s="39">
        <v>0</v>
      </c>
      <c r="AJ115" s="39">
        <f>'Row data'!$S115+'Row data'!$T115+'Row data'!$U115+'Row data'!$W115+'Row data'!$X115+'Row data'!$Y115+'Row data'!$Z115+'Row data'!$AA115+'Row data'!$AB115+'Row data'!$AD115-'Row data'!$AC115-'Row data'!$AE115-'Row data'!$AF115-'Row data'!$AG115-'Row data'!$AH115-'Row data'!$AI115</f>
        <v>19566</v>
      </c>
      <c r="AK115" s="39">
        <v>19566</v>
      </c>
      <c r="AL115" s="39">
        <v>0</v>
      </c>
    </row>
    <row r="116" spans="1:38" x14ac:dyDescent="0.3">
      <c r="A116" s="40">
        <v>115</v>
      </c>
      <c r="B116" s="35" t="s">
        <v>237</v>
      </c>
      <c r="C116" s="35">
        <v>6088827</v>
      </c>
      <c r="D116" s="36" t="s">
        <v>358</v>
      </c>
      <c r="E116" s="35" t="s">
        <v>187</v>
      </c>
      <c r="F116" s="35" t="s">
        <v>187</v>
      </c>
      <c r="G116" s="35" t="s">
        <v>359</v>
      </c>
      <c r="H116" s="37" t="s">
        <v>360</v>
      </c>
      <c r="I116" s="38">
        <v>45482</v>
      </c>
      <c r="J116" s="38">
        <v>44562</v>
      </c>
      <c r="K116" s="17">
        <f>YEAR('Row data'!$J116)</f>
        <v>2022</v>
      </c>
      <c r="L116" s="38">
        <v>35466</v>
      </c>
      <c r="M116" s="35" t="str">
        <f ca="1">IF('Row data'!$J116="",DATEDIF('Row data'!$L116,TODAY(),"y"),"0")</f>
        <v>0</v>
      </c>
      <c r="N116" s="35" t="s">
        <v>42</v>
      </c>
      <c r="O116" s="35" t="s">
        <v>43</v>
      </c>
      <c r="P116" s="39" t="s">
        <v>44</v>
      </c>
      <c r="Q116" s="39">
        <v>15000</v>
      </c>
      <c r="R116" s="39">
        <v>15000</v>
      </c>
      <c r="S116" s="39">
        <v>8700</v>
      </c>
      <c r="T116" s="39">
        <v>4350</v>
      </c>
      <c r="U116" s="39">
        <v>870</v>
      </c>
      <c r="V116" s="39">
        <v>1080</v>
      </c>
      <c r="W116" s="39">
        <v>0</v>
      </c>
      <c r="X116" s="39">
        <v>0</v>
      </c>
      <c r="Y116" s="39">
        <v>0</v>
      </c>
      <c r="Z116" s="39">
        <v>1080</v>
      </c>
      <c r="AA116" s="39">
        <v>0</v>
      </c>
      <c r="AB116" s="39">
        <v>0</v>
      </c>
      <c r="AC116" s="39">
        <v>0</v>
      </c>
      <c r="AD116" s="39">
        <v>0</v>
      </c>
      <c r="AE116" s="39">
        <v>0</v>
      </c>
      <c r="AF116" s="39">
        <v>0</v>
      </c>
      <c r="AG116" s="39">
        <v>0</v>
      </c>
      <c r="AH116" s="39">
        <v>0</v>
      </c>
      <c r="AI116" s="39">
        <v>0</v>
      </c>
      <c r="AJ116" s="39">
        <f>'Row data'!$S116+'Row data'!$T116+'Row data'!$U116+'Row data'!$W116+'Row data'!$X116+'Row data'!$Y116+'Row data'!$Z116+'Row data'!$AA116+'Row data'!$AB116+'Row data'!$AD116-'Row data'!$AC116-'Row data'!$AE116-'Row data'!$AF116-'Row data'!$AG116-'Row data'!$AH116-'Row data'!$AI116</f>
        <v>15000</v>
      </c>
      <c r="AK116" s="39">
        <v>15000</v>
      </c>
      <c r="AL116" s="39">
        <v>0</v>
      </c>
    </row>
    <row r="117" spans="1:38" x14ac:dyDescent="0.3">
      <c r="A117" s="40">
        <v>116</v>
      </c>
      <c r="B117" s="35" t="s">
        <v>237</v>
      </c>
      <c r="C117" s="35">
        <v>7448988</v>
      </c>
      <c r="D117" s="36" t="s">
        <v>361</v>
      </c>
      <c r="E117" s="35" t="s">
        <v>187</v>
      </c>
      <c r="F117" s="35" t="s">
        <v>187</v>
      </c>
      <c r="G117" s="35" t="s">
        <v>362</v>
      </c>
      <c r="H117" s="37" t="s">
        <v>363</v>
      </c>
      <c r="I117" s="38">
        <v>42768</v>
      </c>
      <c r="J117" s="38">
        <v>44562</v>
      </c>
      <c r="K117" s="17">
        <f>YEAR('Row data'!$J117)</f>
        <v>2022</v>
      </c>
      <c r="L117" s="38">
        <v>34806</v>
      </c>
      <c r="M117" s="35" t="str">
        <f ca="1">IF('Row data'!$J117="",DATEDIF('Row data'!$L117,TODAY(),"y"),"0")</f>
        <v>0</v>
      </c>
      <c r="N117" s="35" t="s">
        <v>42</v>
      </c>
      <c r="O117" s="35" t="s">
        <v>43</v>
      </c>
      <c r="P117" s="39" t="s">
        <v>44</v>
      </c>
      <c r="Q117" s="39">
        <v>25454</v>
      </c>
      <c r="R117" s="39">
        <v>25454</v>
      </c>
      <c r="S117" s="39">
        <v>15272</v>
      </c>
      <c r="T117" s="39">
        <v>7636</v>
      </c>
      <c r="U117" s="39">
        <v>1018</v>
      </c>
      <c r="V117" s="39">
        <v>764</v>
      </c>
      <c r="W117" s="39">
        <v>0</v>
      </c>
      <c r="X117" s="39">
        <v>0</v>
      </c>
      <c r="Y117" s="39">
        <v>764</v>
      </c>
      <c r="Z117" s="39">
        <v>764</v>
      </c>
      <c r="AA117" s="39">
        <v>0</v>
      </c>
      <c r="AB117" s="39">
        <v>0</v>
      </c>
      <c r="AC117" s="39">
        <v>0</v>
      </c>
      <c r="AD117" s="39">
        <v>0</v>
      </c>
      <c r="AE117" s="39">
        <v>0</v>
      </c>
      <c r="AF117" s="39">
        <v>0</v>
      </c>
      <c r="AG117" s="39">
        <v>0</v>
      </c>
      <c r="AH117" s="39">
        <v>0</v>
      </c>
      <c r="AI117" s="39">
        <v>0</v>
      </c>
      <c r="AJ117" s="39">
        <f>'Row data'!$S117+'Row data'!$T117+'Row data'!$U117+'Row data'!$W117+'Row data'!$X117+'Row data'!$Y117+'Row data'!$Z117+'Row data'!$AA117+'Row data'!$AB117+'Row data'!$AD117-'Row data'!$AC117-'Row data'!$AE117-'Row data'!$AF117-'Row data'!$AG117-'Row data'!$AH117-'Row data'!$AI117</f>
        <v>25454</v>
      </c>
      <c r="AK117" s="39">
        <v>25454</v>
      </c>
      <c r="AL117" s="39">
        <v>0</v>
      </c>
    </row>
    <row r="118" spans="1:38" x14ac:dyDescent="0.3">
      <c r="A118" s="40">
        <v>117</v>
      </c>
      <c r="B118" s="35" t="s">
        <v>237</v>
      </c>
      <c r="C118" s="35">
        <v>9389418</v>
      </c>
      <c r="D118" s="36" t="s">
        <v>364</v>
      </c>
      <c r="E118" s="35" t="s">
        <v>187</v>
      </c>
      <c r="F118" s="35" t="s">
        <v>187</v>
      </c>
      <c r="G118" s="35" t="s">
        <v>359</v>
      </c>
      <c r="H118" s="37" t="s">
        <v>365</v>
      </c>
      <c r="I118" s="38">
        <v>45116</v>
      </c>
      <c r="J118" s="38">
        <v>44562</v>
      </c>
      <c r="K118" s="17">
        <f>YEAR('Row data'!$J118)</f>
        <v>2022</v>
      </c>
      <c r="L118" s="38">
        <v>35944</v>
      </c>
      <c r="M118" s="35" t="str">
        <f ca="1">IF('Row data'!$J118="",DATEDIF('Row data'!$L118,TODAY(),"y"),"0")</f>
        <v>0</v>
      </c>
      <c r="N118" s="35" t="s">
        <v>42</v>
      </c>
      <c r="O118" s="35" t="s">
        <v>43</v>
      </c>
      <c r="P118" s="39" t="s">
        <v>44</v>
      </c>
      <c r="Q118" s="39">
        <v>19184</v>
      </c>
      <c r="R118" s="39">
        <v>19184</v>
      </c>
      <c r="S118" s="39">
        <v>11510</v>
      </c>
      <c r="T118" s="39">
        <v>5755</v>
      </c>
      <c r="U118" s="39">
        <v>767</v>
      </c>
      <c r="V118" s="39">
        <v>576</v>
      </c>
      <c r="W118" s="39">
        <v>0</v>
      </c>
      <c r="X118" s="39">
        <v>0</v>
      </c>
      <c r="Y118" s="39">
        <v>576</v>
      </c>
      <c r="Z118" s="39">
        <v>576</v>
      </c>
      <c r="AA118" s="39">
        <v>0</v>
      </c>
      <c r="AB118" s="39">
        <v>0</v>
      </c>
      <c r="AC118" s="39">
        <v>0</v>
      </c>
      <c r="AD118" s="39">
        <v>0</v>
      </c>
      <c r="AE118" s="39">
        <v>0</v>
      </c>
      <c r="AF118" s="39">
        <v>0</v>
      </c>
      <c r="AG118" s="39">
        <v>0</v>
      </c>
      <c r="AH118" s="39">
        <v>0</v>
      </c>
      <c r="AI118" s="39">
        <v>0</v>
      </c>
      <c r="AJ118" s="39">
        <f>'Row data'!$S118+'Row data'!$T118+'Row data'!$U118+'Row data'!$W118+'Row data'!$X118+'Row data'!$Y118+'Row data'!$Z118+'Row data'!$AA118+'Row data'!$AB118+'Row data'!$AD118-'Row data'!$AC118-'Row data'!$AE118-'Row data'!$AF118-'Row data'!$AG118-'Row data'!$AH118-'Row data'!$AI118</f>
        <v>19184</v>
      </c>
      <c r="AK118" s="39">
        <v>19184</v>
      </c>
      <c r="AL118" s="39">
        <v>0</v>
      </c>
    </row>
    <row r="119" spans="1:38" x14ac:dyDescent="0.3">
      <c r="A119" s="40">
        <v>118</v>
      </c>
      <c r="B119" s="35" t="s">
        <v>237</v>
      </c>
      <c r="C119" s="35">
        <v>7606365</v>
      </c>
      <c r="D119" s="36" t="s">
        <v>366</v>
      </c>
      <c r="E119" s="35" t="s">
        <v>65</v>
      </c>
      <c r="F119" s="35" t="s">
        <v>66</v>
      </c>
      <c r="G119" s="35" t="s">
        <v>67</v>
      </c>
      <c r="H119" s="37" t="s">
        <v>367</v>
      </c>
      <c r="I119" s="38">
        <v>45486</v>
      </c>
      <c r="J119" s="38">
        <v>44562</v>
      </c>
      <c r="K119" s="17">
        <f>YEAR('Row data'!$J119)</f>
        <v>2022</v>
      </c>
      <c r="L119" s="38">
        <v>33067</v>
      </c>
      <c r="M119" s="35" t="str">
        <f ca="1">IF('Row data'!$J119="",DATEDIF('Row data'!$L119,TODAY(),"y"),"0")</f>
        <v>0</v>
      </c>
      <c r="N119" s="35" t="s">
        <v>42</v>
      </c>
      <c r="O119" s="35" t="s">
        <v>43</v>
      </c>
      <c r="P119" s="39" t="s">
        <v>44</v>
      </c>
      <c r="Q119" s="39">
        <v>20000</v>
      </c>
      <c r="R119" s="39">
        <v>18000</v>
      </c>
      <c r="S119" s="39">
        <v>11600</v>
      </c>
      <c r="T119" s="39">
        <v>5800</v>
      </c>
      <c r="U119" s="39">
        <v>1160</v>
      </c>
      <c r="V119" s="39">
        <v>1440</v>
      </c>
      <c r="W119" s="39">
        <v>0</v>
      </c>
      <c r="X119" s="39">
        <v>0</v>
      </c>
      <c r="Y119" s="39">
        <v>0</v>
      </c>
      <c r="Z119" s="39">
        <v>1440</v>
      </c>
      <c r="AA119" s="39">
        <v>0</v>
      </c>
      <c r="AB119" s="39">
        <v>0</v>
      </c>
      <c r="AC119" s="39">
        <v>-2000</v>
      </c>
      <c r="AD119" s="39">
        <v>0</v>
      </c>
      <c r="AE119" s="39">
        <v>0</v>
      </c>
      <c r="AF119" s="39">
        <v>0</v>
      </c>
      <c r="AG119" s="39">
        <v>0</v>
      </c>
      <c r="AH119" s="39">
        <v>0</v>
      </c>
      <c r="AI119" s="39">
        <v>0</v>
      </c>
      <c r="AJ119" s="39">
        <f>'Row data'!$S119+'Row data'!$T119+'Row data'!$U119+'Row data'!$W119+'Row data'!$X119+'Row data'!$Y119+'Row data'!$Z119+'Row data'!$AA119+'Row data'!$AB119+'Row data'!$AD119-'Row data'!$AC119-'Row data'!$AE119-'Row data'!$AF119-'Row data'!$AG119-'Row data'!$AH119-'Row data'!$AI119</f>
        <v>22000</v>
      </c>
      <c r="AK119" s="39">
        <v>18000</v>
      </c>
      <c r="AL119" s="39">
        <v>0</v>
      </c>
    </row>
    <row r="120" spans="1:38" x14ac:dyDescent="0.3">
      <c r="A120" s="40">
        <v>119</v>
      </c>
      <c r="B120" s="35" t="s">
        <v>237</v>
      </c>
      <c r="C120" s="35">
        <v>6432769</v>
      </c>
      <c r="D120" s="36" t="s">
        <v>368</v>
      </c>
      <c r="E120" s="35" t="s">
        <v>65</v>
      </c>
      <c r="F120" s="35" t="s">
        <v>66</v>
      </c>
      <c r="G120" s="35" t="s">
        <v>243</v>
      </c>
      <c r="H120" s="37" t="s">
        <v>369</v>
      </c>
      <c r="I120" s="38">
        <v>42430</v>
      </c>
      <c r="J120" s="38"/>
      <c r="K120" s="17"/>
      <c r="L120" s="38">
        <v>33254</v>
      </c>
      <c r="M120" s="35">
        <f ca="1">IF('Row data'!$J120="",DATEDIF('Row data'!$L120,TODAY(),"y"),"0")</f>
        <v>35</v>
      </c>
      <c r="N120" s="35" t="s">
        <v>42</v>
      </c>
      <c r="O120" s="35" t="s">
        <v>43</v>
      </c>
      <c r="P120" s="39" t="s">
        <v>44</v>
      </c>
      <c r="Q120" s="39">
        <v>60496</v>
      </c>
      <c r="R120" s="39">
        <v>60496</v>
      </c>
      <c r="S120" s="39">
        <v>36297</v>
      </c>
      <c r="T120" s="39">
        <v>18149</v>
      </c>
      <c r="U120" s="39">
        <v>2420</v>
      </c>
      <c r="V120" s="39">
        <v>1815</v>
      </c>
      <c r="W120" s="39">
        <v>0</v>
      </c>
      <c r="X120" s="39">
        <v>0</v>
      </c>
      <c r="Y120" s="39">
        <v>1815</v>
      </c>
      <c r="Z120" s="39">
        <v>1815</v>
      </c>
      <c r="AA120" s="39">
        <v>0</v>
      </c>
      <c r="AB120" s="39">
        <v>0</v>
      </c>
      <c r="AC120" s="39">
        <v>0</v>
      </c>
      <c r="AD120" s="39">
        <v>0</v>
      </c>
      <c r="AE120" s="39">
        <v>0</v>
      </c>
      <c r="AF120" s="39">
        <v>0</v>
      </c>
      <c r="AG120" s="39">
        <v>0</v>
      </c>
      <c r="AH120" s="39">
        <v>350</v>
      </c>
      <c r="AI120" s="39">
        <v>0</v>
      </c>
      <c r="AJ120" s="39">
        <f>'Row data'!$S120+'Row data'!$T120+'Row data'!$U120+'Row data'!$W120+'Row data'!$X120+'Row data'!$Y120+'Row data'!$Z120+'Row data'!$AA120+'Row data'!$AB120+'Row data'!$AD120-'Row data'!$AC120-'Row data'!$AE120-'Row data'!$AF120-'Row data'!$AG120-'Row data'!$AH120-'Row data'!$AI120</f>
        <v>60146</v>
      </c>
      <c r="AK120" s="39">
        <v>60146</v>
      </c>
      <c r="AL120" s="39">
        <v>0</v>
      </c>
    </row>
    <row r="121" spans="1:38" x14ac:dyDescent="0.3">
      <c r="A121" s="40">
        <v>120</v>
      </c>
      <c r="B121" s="35" t="s">
        <v>237</v>
      </c>
      <c r="C121" s="35">
        <v>7862388</v>
      </c>
      <c r="D121" s="36" t="s">
        <v>370</v>
      </c>
      <c r="E121" s="35" t="s">
        <v>65</v>
      </c>
      <c r="F121" s="35" t="s">
        <v>66</v>
      </c>
      <c r="G121" s="35" t="s">
        <v>205</v>
      </c>
      <c r="H121" s="37" t="s">
        <v>371</v>
      </c>
      <c r="I121" s="38">
        <v>43353</v>
      </c>
      <c r="J121" s="38"/>
      <c r="K121" s="17"/>
      <c r="L121" s="38">
        <v>33429</v>
      </c>
      <c r="M121" s="35">
        <f ca="1">IF('Row data'!$J121="",DATEDIF('Row data'!$L121,TODAY(),"y"),"0")</f>
        <v>35</v>
      </c>
      <c r="N121" s="35" t="s">
        <v>42</v>
      </c>
      <c r="O121" s="35" t="s">
        <v>43</v>
      </c>
      <c r="P121" s="39" t="s">
        <v>44</v>
      </c>
      <c r="Q121" s="39">
        <v>21800</v>
      </c>
      <c r="R121" s="39">
        <v>21800</v>
      </c>
      <c r="S121" s="39">
        <v>13080</v>
      </c>
      <c r="T121" s="39">
        <v>6540</v>
      </c>
      <c r="U121" s="39">
        <v>872</v>
      </c>
      <c r="V121" s="39">
        <v>654</v>
      </c>
      <c r="W121" s="39">
        <v>0</v>
      </c>
      <c r="X121" s="39">
        <v>0</v>
      </c>
      <c r="Y121" s="39">
        <v>654</v>
      </c>
      <c r="Z121" s="39">
        <v>654</v>
      </c>
      <c r="AA121" s="39">
        <v>0</v>
      </c>
      <c r="AB121" s="39">
        <v>0</v>
      </c>
      <c r="AC121" s="39">
        <v>0</v>
      </c>
      <c r="AD121" s="39">
        <v>0</v>
      </c>
      <c r="AE121" s="39">
        <v>0</v>
      </c>
      <c r="AF121" s="39">
        <v>0</v>
      </c>
      <c r="AG121" s="39">
        <v>0</v>
      </c>
      <c r="AH121" s="39">
        <v>0</v>
      </c>
      <c r="AI121" s="39">
        <v>0</v>
      </c>
      <c r="AJ121" s="39">
        <f>'Row data'!$S121+'Row data'!$T121+'Row data'!$U121+'Row data'!$W121+'Row data'!$X121+'Row data'!$Y121+'Row data'!$Z121+'Row data'!$AA121+'Row data'!$AB121+'Row data'!$AD121-'Row data'!$AC121-'Row data'!$AE121-'Row data'!$AF121-'Row data'!$AG121-'Row data'!$AH121-'Row data'!$AI121</f>
        <v>21800</v>
      </c>
      <c r="AK121" s="39">
        <v>21800</v>
      </c>
      <c r="AL121" s="39">
        <v>0</v>
      </c>
    </row>
    <row r="122" spans="1:38" x14ac:dyDescent="0.3">
      <c r="A122" s="40">
        <v>121</v>
      </c>
      <c r="B122" s="35" t="s">
        <v>237</v>
      </c>
      <c r="C122" s="35">
        <v>9918017</v>
      </c>
      <c r="D122" s="36" t="s">
        <v>372</v>
      </c>
      <c r="E122" s="35" t="s">
        <v>65</v>
      </c>
      <c r="F122" s="35" t="s">
        <v>223</v>
      </c>
      <c r="G122" s="35" t="s">
        <v>373</v>
      </c>
      <c r="H122" s="37" t="s">
        <v>374</v>
      </c>
      <c r="I122" s="38">
        <v>40400</v>
      </c>
      <c r="J122" s="38"/>
      <c r="K122" s="17"/>
      <c r="L122" s="38">
        <v>29151</v>
      </c>
      <c r="M122" s="35">
        <f ca="1">IF('Row data'!$J122="",DATEDIF('Row data'!$L122,TODAY(),"y"),"0")</f>
        <v>46</v>
      </c>
      <c r="N122" s="35" t="s">
        <v>42</v>
      </c>
      <c r="O122" s="35" t="s">
        <v>43</v>
      </c>
      <c r="P122" s="39" t="s">
        <v>44</v>
      </c>
      <c r="Q122" s="39">
        <v>54500</v>
      </c>
      <c r="R122" s="39">
        <v>54500</v>
      </c>
      <c r="S122" s="39">
        <v>32700</v>
      </c>
      <c r="T122" s="39">
        <v>16350</v>
      </c>
      <c r="U122" s="39">
        <v>2180</v>
      </c>
      <c r="V122" s="39">
        <v>1635</v>
      </c>
      <c r="W122" s="39">
        <v>0</v>
      </c>
      <c r="X122" s="39">
        <v>0</v>
      </c>
      <c r="Y122" s="39">
        <v>1635</v>
      </c>
      <c r="Z122" s="39">
        <v>1635</v>
      </c>
      <c r="AA122" s="39">
        <v>0</v>
      </c>
      <c r="AB122" s="39">
        <v>0</v>
      </c>
      <c r="AC122" s="39">
        <v>0</v>
      </c>
      <c r="AD122" s="39">
        <v>0</v>
      </c>
      <c r="AE122" s="39">
        <v>0</v>
      </c>
      <c r="AF122" s="39">
        <v>0</v>
      </c>
      <c r="AG122" s="39">
        <v>0</v>
      </c>
      <c r="AH122" s="39">
        <v>333</v>
      </c>
      <c r="AI122" s="39">
        <v>0</v>
      </c>
      <c r="AJ122" s="39">
        <f>'Row data'!$S122+'Row data'!$T122+'Row data'!$U122+'Row data'!$W122+'Row data'!$X122+'Row data'!$Y122+'Row data'!$Z122+'Row data'!$AA122+'Row data'!$AB122+'Row data'!$AD122-'Row data'!$AC122-'Row data'!$AE122-'Row data'!$AF122-'Row data'!$AG122-'Row data'!$AH122-'Row data'!$AI122</f>
        <v>54167</v>
      </c>
      <c r="AK122" s="39">
        <v>54167</v>
      </c>
      <c r="AL122" s="39">
        <v>0</v>
      </c>
    </row>
    <row r="123" spans="1:38" x14ac:dyDescent="0.3">
      <c r="A123" s="40">
        <v>122</v>
      </c>
      <c r="B123" s="35" t="s">
        <v>375</v>
      </c>
      <c r="C123" s="35">
        <v>9056007</v>
      </c>
      <c r="D123" s="36" t="s">
        <v>376</v>
      </c>
      <c r="E123" s="35" t="s">
        <v>71</v>
      </c>
      <c r="F123" s="35" t="s">
        <v>90</v>
      </c>
      <c r="G123" s="35" t="s">
        <v>377</v>
      </c>
      <c r="H123" s="37" t="s">
        <v>378</v>
      </c>
      <c r="I123" s="38">
        <v>45678</v>
      </c>
      <c r="J123" s="38">
        <v>44562</v>
      </c>
      <c r="K123" s="17">
        <f>YEAR('Row data'!$J123)</f>
        <v>2022</v>
      </c>
      <c r="L123" s="38">
        <v>35206</v>
      </c>
      <c r="M123" s="35" t="str">
        <f ca="1">IF('Row data'!$J123="",DATEDIF('Row data'!$L123,TODAY(),"y"),"0")</f>
        <v>0</v>
      </c>
      <c r="N123" s="35" t="s">
        <v>42</v>
      </c>
      <c r="O123" s="35" t="s">
        <v>43</v>
      </c>
      <c r="P123" s="39" t="s">
        <v>44</v>
      </c>
      <c r="Q123" s="39">
        <v>14500</v>
      </c>
      <c r="R123" s="39">
        <v>14500</v>
      </c>
      <c r="S123" s="39">
        <v>8700</v>
      </c>
      <c r="T123" s="39">
        <v>4350</v>
      </c>
      <c r="U123" s="39">
        <v>580</v>
      </c>
      <c r="V123" s="39">
        <v>435</v>
      </c>
      <c r="W123" s="39">
        <v>0</v>
      </c>
      <c r="X123" s="39">
        <v>0</v>
      </c>
      <c r="Y123" s="39">
        <v>435</v>
      </c>
      <c r="Z123" s="39">
        <v>435</v>
      </c>
      <c r="AA123" s="39">
        <v>0</v>
      </c>
      <c r="AB123" s="39">
        <v>0</v>
      </c>
      <c r="AC123" s="39">
        <v>0</v>
      </c>
      <c r="AD123" s="39">
        <v>0</v>
      </c>
      <c r="AE123" s="39">
        <v>0</v>
      </c>
      <c r="AF123" s="39">
        <v>0</v>
      </c>
      <c r="AG123" s="39">
        <v>0</v>
      </c>
      <c r="AH123" s="39">
        <v>0</v>
      </c>
      <c r="AI123" s="39">
        <v>0</v>
      </c>
      <c r="AJ123" s="39">
        <f>'Row data'!$S123+'Row data'!$T123+'Row data'!$U123+'Row data'!$W123+'Row data'!$X123+'Row data'!$Y123+'Row data'!$Z123+'Row data'!$AA123+'Row data'!$AB123+'Row data'!$AD123-'Row data'!$AC123-'Row data'!$AE123-'Row data'!$AF123-'Row data'!$AG123-'Row data'!$AH123-'Row data'!$AI123</f>
        <v>14500</v>
      </c>
      <c r="AK123" s="39">
        <v>14500</v>
      </c>
      <c r="AL123" s="39">
        <v>0</v>
      </c>
    </row>
    <row r="124" spans="1:38" x14ac:dyDescent="0.3">
      <c r="A124" s="40">
        <v>123</v>
      </c>
      <c r="B124" s="35" t="s">
        <v>375</v>
      </c>
      <c r="C124" s="35">
        <v>6992184</v>
      </c>
      <c r="D124" s="36" t="s">
        <v>379</v>
      </c>
      <c r="E124" s="35" t="s">
        <v>71</v>
      </c>
      <c r="F124" s="35" t="s">
        <v>90</v>
      </c>
      <c r="G124" s="35" t="s">
        <v>377</v>
      </c>
      <c r="H124" s="37" t="s">
        <v>380</v>
      </c>
      <c r="I124" s="38">
        <v>45678</v>
      </c>
      <c r="J124" s="38">
        <v>44562</v>
      </c>
      <c r="K124" s="17">
        <f>YEAR('Row data'!$J124)</f>
        <v>2022</v>
      </c>
      <c r="L124" s="38">
        <v>37838</v>
      </c>
      <c r="M124" s="35" t="str">
        <f ca="1">IF('Row data'!$J124="",DATEDIF('Row data'!$L124,TODAY(),"y"),"0")</f>
        <v>0</v>
      </c>
      <c r="N124" s="35" t="s">
        <v>42</v>
      </c>
      <c r="O124" s="35" t="s">
        <v>43</v>
      </c>
      <c r="P124" s="39" t="s">
        <v>44</v>
      </c>
      <c r="Q124" s="39">
        <v>14500</v>
      </c>
      <c r="R124" s="39">
        <v>14500</v>
      </c>
      <c r="S124" s="39">
        <v>8700</v>
      </c>
      <c r="T124" s="39">
        <v>4350</v>
      </c>
      <c r="U124" s="39">
        <v>580</v>
      </c>
      <c r="V124" s="39">
        <v>435</v>
      </c>
      <c r="W124" s="39">
        <v>0</v>
      </c>
      <c r="X124" s="39">
        <v>0</v>
      </c>
      <c r="Y124" s="39">
        <v>435</v>
      </c>
      <c r="Z124" s="39">
        <v>435</v>
      </c>
      <c r="AA124" s="39">
        <v>0</v>
      </c>
      <c r="AB124" s="39">
        <v>0</v>
      </c>
      <c r="AC124" s="39">
        <v>0</v>
      </c>
      <c r="AD124" s="39">
        <v>0</v>
      </c>
      <c r="AE124" s="39">
        <v>0</v>
      </c>
      <c r="AF124" s="39">
        <v>0</v>
      </c>
      <c r="AG124" s="39">
        <v>0</v>
      </c>
      <c r="AH124" s="39">
        <v>0</v>
      </c>
      <c r="AI124" s="39">
        <v>0</v>
      </c>
      <c r="AJ124" s="39">
        <f>'Row data'!$S124+'Row data'!$T124+'Row data'!$U124+'Row data'!$W124+'Row data'!$X124+'Row data'!$Y124+'Row data'!$Z124+'Row data'!$AA124+'Row data'!$AB124+'Row data'!$AD124-'Row data'!$AC124-'Row data'!$AE124-'Row data'!$AF124-'Row data'!$AG124-'Row data'!$AH124-'Row data'!$AI124</f>
        <v>14500</v>
      </c>
      <c r="AK124" s="39">
        <v>14500</v>
      </c>
      <c r="AL124" s="39">
        <v>0</v>
      </c>
    </row>
    <row r="125" spans="1:38" x14ac:dyDescent="0.3">
      <c r="A125" s="40">
        <v>124</v>
      </c>
      <c r="B125" s="35" t="s">
        <v>375</v>
      </c>
      <c r="C125" s="35">
        <v>6173490</v>
      </c>
      <c r="D125" s="36" t="s">
        <v>381</v>
      </c>
      <c r="E125" s="35" t="s">
        <v>71</v>
      </c>
      <c r="F125" s="35" t="s">
        <v>90</v>
      </c>
      <c r="G125" s="35" t="s">
        <v>377</v>
      </c>
      <c r="H125" s="37" t="s">
        <v>382</v>
      </c>
      <c r="I125" s="38">
        <v>45678</v>
      </c>
      <c r="J125" s="38">
        <v>44562</v>
      </c>
      <c r="K125" s="17">
        <f>YEAR('Row data'!$J125)</f>
        <v>2022</v>
      </c>
      <c r="L125" s="38">
        <v>36067</v>
      </c>
      <c r="M125" s="35" t="str">
        <f ca="1">IF('Row data'!$J125="",DATEDIF('Row data'!$L125,TODAY(),"y"),"0")</f>
        <v>0</v>
      </c>
      <c r="N125" s="35" t="s">
        <v>42</v>
      </c>
      <c r="O125" s="35" t="s">
        <v>43</v>
      </c>
      <c r="P125" s="39" t="s">
        <v>44</v>
      </c>
      <c r="Q125" s="39">
        <v>14500</v>
      </c>
      <c r="R125" s="39">
        <v>12636</v>
      </c>
      <c r="S125" s="39">
        <v>8700</v>
      </c>
      <c r="T125" s="39">
        <v>4350</v>
      </c>
      <c r="U125" s="39">
        <v>580</v>
      </c>
      <c r="V125" s="39">
        <v>435</v>
      </c>
      <c r="W125" s="39">
        <v>0</v>
      </c>
      <c r="X125" s="39">
        <v>0</v>
      </c>
      <c r="Y125" s="39">
        <v>435</v>
      </c>
      <c r="Z125" s="39">
        <v>435</v>
      </c>
      <c r="AA125" s="39">
        <v>0</v>
      </c>
      <c r="AB125" s="39">
        <v>0</v>
      </c>
      <c r="AC125" s="39">
        <v>0</v>
      </c>
      <c r="AD125" s="39">
        <v>0</v>
      </c>
      <c r="AE125" s="39">
        <v>1864</v>
      </c>
      <c r="AF125" s="39">
        <v>0</v>
      </c>
      <c r="AG125" s="39">
        <v>0</v>
      </c>
      <c r="AH125" s="39">
        <v>0</v>
      </c>
      <c r="AI125" s="39">
        <v>10</v>
      </c>
      <c r="AJ125" s="39">
        <f>'Row data'!$S125+'Row data'!$T125+'Row data'!$U125+'Row data'!$W125+'Row data'!$X125+'Row data'!$Y125+'Row data'!$Z125+'Row data'!$AA125+'Row data'!$AB125+'Row data'!$AD125-'Row data'!$AC125-'Row data'!$AE125-'Row data'!$AF125-'Row data'!$AG125-'Row data'!$AH125-'Row data'!$AI125</f>
        <v>12626</v>
      </c>
      <c r="AK125" s="39">
        <v>0</v>
      </c>
      <c r="AL125" s="39">
        <v>12626</v>
      </c>
    </row>
    <row r="126" spans="1:38" x14ac:dyDescent="0.3">
      <c r="A126" s="40">
        <v>125</v>
      </c>
      <c r="B126" s="35" t="s">
        <v>375</v>
      </c>
      <c r="C126" s="35">
        <v>8671534</v>
      </c>
      <c r="D126" s="36" t="s">
        <v>383</v>
      </c>
      <c r="E126" s="35" t="s">
        <v>71</v>
      </c>
      <c r="F126" s="35" t="s">
        <v>90</v>
      </c>
      <c r="G126" s="35" t="s">
        <v>377</v>
      </c>
      <c r="H126" s="37" t="s">
        <v>384</v>
      </c>
      <c r="I126" s="38">
        <v>45678</v>
      </c>
      <c r="J126" s="38">
        <v>44562</v>
      </c>
      <c r="K126" s="17">
        <f>YEAR('Row data'!$J126)</f>
        <v>2022</v>
      </c>
      <c r="L126" s="38">
        <v>37403</v>
      </c>
      <c r="M126" s="35" t="str">
        <f ca="1">IF('Row data'!$J126="",DATEDIF('Row data'!$L126,TODAY(),"y"),"0")</f>
        <v>0</v>
      </c>
      <c r="N126" s="35" t="s">
        <v>42</v>
      </c>
      <c r="O126" s="35" t="s">
        <v>43</v>
      </c>
      <c r="P126" s="39" t="s">
        <v>44</v>
      </c>
      <c r="Q126" s="39">
        <v>14500</v>
      </c>
      <c r="R126" s="39">
        <v>14500</v>
      </c>
      <c r="S126" s="39">
        <v>8700</v>
      </c>
      <c r="T126" s="39">
        <v>4350</v>
      </c>
      <c r="U126" s="39">
        <v>580</v>
      </c>
      <c r="V126" s="39">
        <v>435</v>
      </c>
      <c r="W126" s="39">
        <v>0</v>
      </c>
      <c r="X126" s="39">
        <v>0</v>
      </c>
      <c r="Y126" s="39">
        <v>435</v>
      </c>
      <c r="Z126" s="39">
        <v>435</v>
      </c>
      <c r="AA126" s="39">
        <v>0</v>
      </c>
      <c r="AB126" s="39">
        <v>0</v>
      </c>
      <c r="AC126" s="39">
        <v>0</v>
      </c>
      <c r="AD126" s="39">
        <v>0</v>
      </c>
      <c r="AE126" s="39">
        <v>0</v>
      </c>
      <c r="AF126" s="39">
        <v>0</v>
      </c>
      <c r="AG126" s="39">
        <v>0</v>
      </c>
      <c r="AH126" s="39">
        <v>0</v>
      </c>
      <c r="AI126" s="39">
        <v>0</v>
      </c>
      <c r="AJ126" s="39">
        <f>'Row data'!$S126+'Row data'!$T126+'Row data'!$U126+'Row data'!$W126+'Row data'!$X126+'Row data'!$Y126+'Row data'!$Z126+'Row data'!$AA126+'Row data'!$AB126+'Row data'!$AD126-'Row data'!$AC126-'Row data'!$AE126-'Row data'!$AF126-'Row data'!$AG126-'Row data'!$AH126-'Row data'!$AI126</f>
        <v>14500</v>
      </c>
      <c r="AK126" s="39">
        <v>14500</v>
      </c>
      <c r="AL126" s="39">
        <v>0</v>
      </c>
    </row>
    <row r="127" spans="1:38" x14ac:dyDescent="0.3">
      <c r="A127" s="40">
        <v>126</v>
      </c>
      <c r="B127" s="35" t="s">
        <v>375</v>
      </c>
      <c r="C127" s="35">
        <v>9194082</v>
      </c>
      <c r="D127" s="36" t="s">
        <v>385</v>
      </c>
      <c r="E127" s="35" t="s">
        <v>71</v>
      </c>
      <c r="F127" s="35" t="s">
        <v>90</v>
      </c>
      <c r="G127" s="35" t="s">
        <v>262</v>
      </c>
      <c r="H127" s="37" t="s">
        <v>386</v>
      </c>
      <c r="I127" s="38">
        <v>43135</v>
      </c>
      <c r="J127" s="38">
        <v>44562</v>
      </c>
      <c r="K127" s="17">
        <f>YEAR('Row data'!$J127)</f>
        <v>2022</v>
      </c>
      <c r="L127" s="38">
        <v>28500</v>
      </c>
      <c r="M127" s="35" t="str">
        <f ca="1">IF('Row data'!$J127="",DATEDIF('Row data'!$L127,TODAY(),"y"),"0")</f>
        <v>0</v>
      </c>
      <c r="N127" s="35" t="s">
        <v>42</v>
      </c>
      <c r="O127" s="35" t="s">
        <v>43</v>
      </c>
      <c r="P127" s="39" t="s">
        <v>44</v>
      </c>
      <c r="Q127" s="39">
        <v>17576</v>
      </c>
      <c r="R127" s="39">
        <v>17576</v>
      </c>
      <c r="S127" s="39">
        <v>10546</v>
      </c>
      <c r="T127" s="39">
        <v>5273</v>
      </c>
      <c r="U127" s="39">
        <v>703</v>
      </c>
      <c r="V127" s="39">
        <v>527</v>
      </c>
      <c r="W127" s="39">
        <v>0</v>
      </c>
      <c r="X127" s="39">
        <v>0</v>
      </c>
      <c r="Y127" s="39">
        <v>527</v>
      </c>
      <c r="Z127" s="39">
        <v>527</v>
      </c>
      <c r="AA127" s="39">
        <v>0</v>
      </c>
      <c r="AB127" s="39">
        <v>0</v>
      </c>
      <c r="AC127" s="39">
        <v>0</v>
      </c>
      <c r="AD127" s="39">
        <v>0</v>
      </c>
      <c r="AE127" s="39">
        <v>0</v>
      </c>
      <c r="AF127" s="39">
        <v>0</v>
      </c>
      <c r="AG127" s="39">
        <v>0</v>
      </c>
      <c r="AH127" s="39">
        <v>0</v>
      </c>
      <c r="AI127" s="39">
        <v>0</v>
      </c>
      <c r="AJ127" s="39">
        <f>'Row data'!$S127+'Row data'!$T127+'Row data'!$U127+'Row data'!$W127+'Row data'!$X127+'Row data'!$Y127+'Row data'!$Z127+'Row data'!$AA127+'Row data'!$AB127+'Row data'!$AD127-'Row data'!$AC127-'Row data'!$AE127-'Row data'!$AF127-'Row data'!$AG127-'Row data'!$AH127-'Row data'!$AI127</f>
        <v>17576</v>
      </c>
      <c r="AK127" s="39">
        <v>17576</v>
      </c>
      <c r="AL127" s="39">
        <v>0</v>
      </c>
    </row>
    <row r="128" spans="1:38" x14ac:dyDescent="0.3">
      <c r="A128" s="40">
        <v>127</v>
      </c>
      <c r="B128" s="35" t="s">
        <v>375</v>
      </c>
      <c r="C128" s="35">
        <v>9698134</v>
      </c>
      <c r="D128" s="36" t="s">
        <v>387</v>
      </c>
      <c r="E128" s="35" t="s">
        <v>71</v>
      </c>
      <c r="F128" s="35" t="s">
        <v>90</v>
      </c>
      <c r="G128" s="35" t="s">
        <v>262</v>
      </c>
      <c r="H128" s="37" t="s">
        <v>388</v>
      </c>
      <c r="I128" s="38">
        <v>43001</v>
      </c>
      <c r="J128" s="38">
        <v>44562</v>
      </c>
      <c r="K128" s="17">
        <f>YEAR('Row data'!$J128)</f>
        <v>2022</v>
      </c>
      <c r="L128" s="38">
        <v>26557</v>
      </c>
      <c r="M128" s="35" t="str">
        <f ca="1">IF('Row data'!$J128="",DATEDIF('Row data'!$L128,TODAY(),"y"),"0")</f>
        <v>0</v>
      </c>
      <c r="N128" s="35" t="s">
        <v>42</v>
      </c>
      <c r="O128" s="35" t="s">
        <v>43</v>
      </c>
      <c r="P128" s="39" t="s">
        <v>44</v>
      </c>
      <c r="Q128" s="39">
        <v>17989</v>
      </c>
      <c r="R128" s="39">
        <v>17989</v>
      </c>
      <c r="S128" s="39">
        <v>10793</v>
      </c>
      <c r="T128" s="39">
        <v>5396</v>
      </c>
      <c r="U128" s="39">
        <v>720</v>
      </c>
      <c r="V128" s="39">
        <v>540</v>
      </c>
      <c r="W128" s="39">
        <v>0</v>
      </c>
      <c r="X128" s="39">
        <v>0</v>
      </c>
      <c r="Y128" s="39">
        <v>540</v>
      </c>
      <c r="Z128" s="39">
        <v>540</v>
      </c>
      <c r="AA128" s="39">
        <v>0</v>
      </c>
      <c r="AB128" s="39">
        <v>0</v>
      </c>
      <c r="AC128" s="39">
        <v>0</v>
      </c>
      <c r="AD128" s="39">
        <v>0</v>
      </c>
      <c r="AE128" s="39">
        <v>0</v>
      </c>
      <c r="AF128" s="39">
        <v>0</v>
      </c>
      <c r="AG128" s="39">
        <v>0</v>
      </c>
      <c r="AH128" s="39">
        <v>0</v>
      </c>
      <c r="AI128" s="39">
        <v>0</v>
      </c>
      <c r="AJ128" s="39">
        <f>'Row data'!$S128+'Row data'!$T128+'Row data'!$U128+'Row data'!$W128+'Row data'!$X128+'Row data'!$Y128+'Row data'!$Z128+'Row data'!$AA128+'Row data'!$AB128+'Row data'!$AD128-'Row data'!$AC128-'Row data'!$AE128-'Row data'!$AF128-'Row data'!$AG128-'Row data'!$AH128-'Row data'!$AI128</f>
        <v>17989</v>
      </c>
      <c r="AK128" s="39">
        <v>17989</v>
      </c>
      <c r="AL128" s="39">
        <v>0</v>
      </c>
    </row>
    <row r="129" spans="1:38" x14ac:dyDescent="0.3">
      <c r="A129" s="40">
        <v>128</v>
      </c>
      <c r="B129" s="35" t="s">
        <v>375</v>
      </c>
      <c r="C129" s="35">
        <v>8226008</v>
      </c>
      <c r="D129" s="36" t="s">
        <v>389</v>
      </c>
      <c r="E129" s="35" t="s">
        <v>71</v>
      </c>
      <c r="F129" s="35" t="s">
        <v>90</v>
      </c>
      <c r="G129" s="35" t="s">
        <v>262</v>
      </c>
      <c r="H129" s="37" t="s">
        <v>390</v>
      </c>
      <c r="I129" s="38">
        <v>42918</v>
      </c>
      <c r="J129" s="38"/>
      <c r="K129" s="17"/>
      <c r="L129" s="38">
        <v>26440</v>
      </c>
      <c r="M129" s="35">
        <f ca="1">IF('Row data'!$J129="",DATEDIF('Row data'!$L129,TODAY(),"y"),"0")</f>
        <v>54</v>
      </c>
      <c r="N129" s="35" t="s">
        <v>42</v>
      </c>
      <c r="O129" s="35" t="s">
        <v>43</v>
      </c>
      <c r="P129" s="39" t="s">
        <v>44</v>
      </c>
      <c r="Q129" s="39">
        <v>17989</v>
      </c>
      <c r="R129" s="39">
        <v>17989</v>
      </c>
      <c r="S129" s="39">
        <v>10793</v>
      </c>
      <c r="T129" s="39">
        <v>5396</v>
      </c>
      <c r="U129" s="39">
        <v>720</v>
      </c>
      <c r="V129" s="39">
        <v>540</v>
      </c>
      <c r="W129" s="39">
        <v>0</v>
      </c>
      <c r="X129" s="39">
        <v>0</v>
      </c>
      <c r="Y129" s="39">
        <v>540</v>
      </c>
      <c r="Z129" s="39">
        <v>540</v>
      </c>
      <c r="AA129" s="39">
        <v>0</v>
      </c>
      <c r="AB129" s="39">
        <v>0</v>
      </c>
      <c r="AC129" s="39">
        <v>0</v>
      </c>
      <c r="AD129" s="39">
        <v>0</v>
      </c>
      <c r="AE129" s="39">
        <v>0</v>
      </c>
      <c r="AF129" s="39">
        <v>0</v>
      </c>
      <c r="AG129" s="39">
        <v>0</v>
      </c>
      <c r="AH129" s="39">
        <v>0</v>
      </c>
      <c r="AI129" s="39">
        <v>0</v>
      </c>
      <c r="AJ129" s="39">
        <f>'Row data'!$S129+'Row data'!$T129+'Row data'!$U129+'Row data'!$W129+'Row data'!$X129+'Row data'!$Y129+'Row data'!$Z129+'Row data'!$AA129+'Row data'!$AB129+'Row data'!$AD129-'Row data'!$AC129-'Row data'!$AE129-'Row data'!$AF129-'Row data'!$AG129-'Row data'!$AH129-'Row data'!$AI129</f>
        <v>17989</v>
      </c>
      <c r="AK129" s="39">
        <v>17989</v>
      </c>
      <c r="AL129" s="39">
        <v>0</v>
      </c>
    </row>
    <row r="130" spans="1:38" x14ac:dyDescent="0.3">
      <c r="A130" s="40">
        <v>129</v>
      </c>
      <c r="B130" s="35" t="s">
        <v>375</v>
      </c>
      <c r="C130" s="35">
        <v>6207276</v>
      </c>
      <c r="D130" s="36" t="s">
        <v>391</v>
      </c>
      <c r="E130" s="35" t="s">
        <v>71</v>
      </c>
      <c r="F130" s="35" t="s">
        <v>90</v>
      </c>
      <c r="G130" s="35" t="s">
        <v>262</v>
      </c>
      <c r="H130" s="37" t="s">
        <v>392</v>
      </c>
      <c r="I130" s="38">
        <v>42117</v>
      </c>
      <c r="J130" s="38">
        <v>44562</v>
      </c>
      <c r="K130" s="17">
        <f>YEAR('Row data'!$J130)</f>
        <v>2022</v>
      </c>
      <c r="L130" s="38">
        <v>29222</v>
      </c>
      <c r="M130" s="35" t="str">
        <f ca="1">IF('Row data'!$J130="",DATEDIF('Row data'!$L130,TODAY(),"y"),"0")</f>
        <v>0</v>
      </c>
      <c r="N130" s="35" t="s">
        <v>42</v>
      </c>
      <c r="O130" s="35" t="s">
        <v>43</v>
      </c>
      <c r="P130" s="39" t="s">
        <v>44</v>
      </c>
      <c r="Q130" s="39">
        <v>20241</v>
      </c>
      <c r="R130" s="39">
        <v>20241</v>
      </c>
      <c r="S130" s="39">
        <v>12145</v>
      </c>
      <c r="T130" s="39">
        <v>6072</v>
      </c>
      <c r="U130" s="39">
        <v>810</v>
      </c>
      <c r="V130" s="39">
        <v>607</v>
      </c>
      <c r="W130" s="39">
        <v>0</v>
      </c>
      <c r="X130" s="39">
        <v>0</v>
      </c>
      <c r="Y130" s="39">
        <v>607</v>
      </c>
      <c r="Z130" s="39">
        <v>607</v>
      </c>
      <c r="AA130" s="39">
        <v>0</v>
      </c>
      <c r="AB130" s="39">
        <v>0</v>
      </c>
      <c r="AC130" s="39">
        <v>0</v>
      </c>
      <c r="AD130" s="39">
        <v>0</v>
      </c>
      <c r="AE130" s="39">
        <v>0</v>
      </c>
      <c r="AF130" s="39">
        <v>0</v>
      </c>
      <c r="AG130" s="39">
        <v>0</v>
      </c>
      <c r="AH130" s="39">
        <v>0</v>
      </c>
      <c r="AI130" s="39">
        <v>0</v>
      </c>
      <c r="AJ130" s="39">
        <f>'Row data'!$S130+'Row data'!$T130+'Row data'!$U130+'Row data'!$W130+'Row data'!$X130+'Row data'!$Y130+'Row data'!$Z130+'Row data'!$AA130+'Row data'!$AB130+'Row data'!$AD130-'Row data'!$AC130-'Row data'!$AE130-'Row data'!$AF130-'Row data'!$AG130-'Row data'!$AH130-'Row data'!$AI130</f>
        <v>20241</v>
      </c>
      <c r="AK130" s="39">
        <v>20241</v>
      </c>
      <c r="AL130" s="39">
        <v>0</v>
      </c>
    </row>
    <row r="131" spans="1:38" x14ac:dyDescent="0.3">
      <c r="A131" s="40">
        <v>130</v>
      </c>
      <c r="B131" s="35" t="s">
        <v>375</v>
      </c>
      <c r="C131" s="35">
        <v>8231907</v>
      </c>
      <c r="D131" s="36" t="s">
        <v>393</v>
      </c>
      <c r="E131" s="35" t="s">
        <v>71</v>
      </c>
      <c r="F131" s="35" t="s">
        <v>90</v>
      </c>
      <c r="G131" s="35" t="s">
        <v>262</v>
      </c>
      <c r="H131" s="37" t="s">
        <v>394</v>
      </c>
      <c r="I131" s="38">
        <v>42126</v>
      </c>
      <c r="J131" s="38">
        <v>44562</v>
      </c>
      <c r="K131" s="17">
        <f>YEAR('Row data'!$J131)</f>
        <v>2022</v>
      </c>
      <c r="L131" s="38">
        <v>29222</v>
      </c>
      <c r="M131" s="35" t="str">
        <f ca="1">IF('Row data'!$J131="",DATEDIF('Row data'!$L131,TODAY(),"y"),"0")</f>
        <v>0</v>
      </c>
      <c r="N131" s="35" t="s">
        <v>42</v>
      </c>
      <c r="O131" s="35" t="s">
        <v>43</v>
      </c>
      <c r="P131" s="39" t="s">
        <v>44</v>
      </c>
      <c r="Q131" s="39">
        <v>20241</v>
      </c>
      <c r="R131" s="39">
        <v>15241</v>
      </c>
      <c r="S131" s="39">
        <v>12145</v>
      </c>
      <c r="T131" s="39">
        <v>6072</v>
      </c>
      <c r="U131" s="39">
        <v>810</v>
      </c>
      <c r="V131" s="39">
        <v>607</v>
      </c>
      <c r="W131" s="39">
        <v>0</v>
      </c>
      <c r="X131" s="39">
        <v>0</v>
      </c>
      <c r="Y131" s="39">
        <v>607</v>
      </c>
      <c r="Z131" s="39">
        <v>607</v>
      </c>
      <c r="AA131" s="39">
        <v>0</v>
      </c>
      <c r="AB131" s="39">
        <v>0</v>
      </c>
      <c r="AC131" s="39">
        <v>-5000</v>
      </c>
      <c r="AD131" s="39">
        <v>0</v>
      </c>
      <c r="AE131" s="39">
        <v>0</v>
      </c>
      <c r="AF131" s="39">
        <v>0</v>
      </c>
      <c r="AG131" s="39">
        <v>0</v>
      </c>
      <c r="AH131" s="39">
        <v>0</v>
      </c>
      <c r="AI131" s="39">
        <v>0</v>
      </c>
      <c r="AJ131" s="39">
        <f>'Row data'!$S131+'Row data'!$T131+'Row data'!$U131+'Row data'!$W131+'Row data'!$X131+'Row data'!$Y131+'Row data'!$Z131+'Row data'!$AA131+'Row data'!$AB131+'Row data'!$AD131-'Row data'!$AC131-'Row data'!$AE131-'Row data'!$AF131-'Row data'!$AG131-'Row data'!$AH131-'Row data'!$AI131</f>
        <v>25241</v>
      </c>
      <c r="AK131" s="39">
        <v>15241</v>
      </c>
      <c r="AL131" s="39">
        <v>0</v>
      </c>
    </row>
    <row r="132" spans="1:38" x14ac:dyDescent="0.3">
      <c r="A132" s="40">
        <v>131</v>
      </c>
      <c r="B132" s="35" t="s">
        <v>375</v>
      </c>
      <c r="C132" s="35">
        <v>8347161</v>
      </c>
      <c r="D132" s="36" t="s">
        <v>395</v>
      </c>
      <c r="E132" s="35" t="s">
        <v>71</v>
      </c>
      <c r="F132" s="35" t="s">
        <v>90</v>
      </c>
      <c r="G132" s="35" t="s">
        <v>262</v>
      </c>
      <c r="H132" s="37" t="s">
        <v>396</v>
      </c>
      <c r="I132" s="38">
        <v>42764</v>
      </c>
      <c r="J132" s="38">
        <v>44562</v>
      </c>
      <c r="K132" s="17">
        <f>YEAR('Row data'!$J132)</f>
        <v>2022</v>
      </c>
      <c r="L132" s="38">
        <v>29222</v>
      </c>
      <c r="M132" s="35" t="str">
        <f ca="1">IF('Row data'!$J132="",DATEDIF('Row data'!$L132,TODAY(),"y"),"0")</f>
        <v>0</v>
      </c>
      <c r="N132" s="35" t="s">
        <v>42</v>
      </c>
      <c r="O132" s="35" t="s">
        <v>43</v>
      </c>
      <c r="P132" s="39" t="s">
        <v>44</v>
      </c>
      <c r="Q132" s="39">
        <v>19792</v>
      </c>
      <c r="R132" s="39">
        <v>19792</v>
      </c>
      <c r="S132" s="39">
        <v>11875</v>
      </c>
      <c r="T132" s="39">
        <v>5937</v>
      </c>
      <c r="U132" s="39">
        <v>792</v>
      </c>
      <c r="V132" s="39">
        <v>594</v>
      </c>
      <c r="W132" s="39">
        <v>0</v>
      </c>
      <c r="X132" s="39">
        <v>0</v>
      </c>
      <c r="Y132" s="39">
        <v>594</v>
      </c>
      <c r="Z132" s="39">
        <v>594</v>
      </c>
      <c r="AA132" s="39">
        <v>0</v>
      </c>
      <c r="AB132" s="39">
        <v>0</v>
      </c>
      <c r="AC132" s="39">
        <v>0</v>
      </c>
      <c r="AD132" s="39">
        <v>0</v>
      </c>
      <c r="AE132" s="39">
        <v>0</v>
      </c>
      <c r="AF132" s="39">
        <v>0</v>
      </c>
      <c r="AG132" s="39">
        <v>0</v>
      </c>
      <c r="AH132" s="39">
        <v>0</v>
      </c>
      <c r="AI132" s="39">
        <v>0</v>
      </c>
      <c r="AJ132" s="39">
        <f>'Row data'!$S132+'Row data'!$T132+'Row data'!$U132+'Row data'!$W132+'Row data'!$X132+'Row data'!$Y132+'Row data'!$Z132+'Row data'!$AA132+'Row data'!$AB132+'Row data'!$AD132-'Row data'!$AC132-'Row data'!$AE132-'Row data'!$AF132-'Row data'!$AG132-'Row data'!$AH132-'Row data'!$AI132</f>
        <v>19792</v>
      </c>
      <c r="AK132" s="39">
        <v>19792</v>
      </c>
      <c r="AL132" s="39">
        <v>0</v>
      </c>
    </row>
    <row r="133" spans="1:38" x14ac:dyDescent="0.3">
      <c r="A133" s="40">
        <v>132</v>
      </c>
      <c r="B133" s="35" t="s">
        <v>375</v>
      </c>
      <c r="C133" s="35">
        <v>8754943</v>
      </c>
      <c r="D133" s="36" t="s">
        <v>397</v>
      </c>
      <c r="E133" s="35" t="s">
        <v>71</v>
      </c>
      <c r="F133" s="35" t="s">
        <v>90</v>
      </c>
      <c r="G133" s="35" t="s">
        <v>262</v>
      </c>
      <c r="H133" s="37" t="s">
        <v>398</v>
      </c>
      <c r="I133" s="38">
        <v>42950</v>
      </c>
      <c r="J133" s="38">
        <v>44684</v>
      </c>
      <c r="K133" s="17">
        <f>YEAR('Row data'!$J133)</f>
        <v>2022</v>
      </c>
      <c r="L133" s="38">
        <v>25326</v>
      </c>
      <c r="M133" s="35" t="str">
        <f ca="1">IF('Row data'!$J133="",DATEDIF('Row data'!$L133,TODAY(),"y"),"0")</f>
        <v>0</v>
      </c>
      <c r="N133" s="35" t="s">
        <v>42</v>
      </c>
      <c r="O133" s="35" t="s">
        <v>43</v>
      </c>
      <c r="P133" s="39" t="s">
        <v>44</v>
      </c>
      <c r="Q133" s="39">
        <v>17989</v>
      </c>
      <c r="R133" s="39">
        <v>17989</v>
      </c>
      <c r="S133" s="39">
        <v>10793</v>
      </c>
      <c r="T133" s="39">
        <v>5396</v>
      </c>
      <c r="U133" s="39">
        <v>720</v>
      </c>
      <c r="V133" s="39">
        <v>540</v>
      </c>
      <c r="W133" s="39">
        <v>0</v>
      </c>
      <c r="X133" s="39">
        <v>0</v>
      </c>
      <c r="Y133" s="39">
        <v>540</v>
      </c>
      <c r="Z133" s="39">
        <v>540</v>
      </c>
      <c r="AA133" s="39">
        <v>0</v>
      </c>
      <c r="AB133" s="39">
        <v>0</v>
      </c>
      <c r="AC133" s="39">
        <v>0</v>
      </c>
      <c r="AD133" s="39">
        <v>0</v>
      </c>
      <c r="AE133" s="39">
        <v>0</v>
      </c>
      <c r="AF133" s="39">
        <v>0</v>
      </c>
      <c r="AG133" s="39">
        <v>0</v>
      </c>
      <c r="AH133" s="39">
        <v>0</v>
      </c>
      <c r="AI133" s="39">
        <v>0</v>
      </c>
      <c r="AJ133" s="39">
        <f>'Row data'!$S133+'Row data'!$T133+'Row data'!$U133+'Row data'!$W133+'Row data'!$X133+'Row data'!$Y133+'Row data'!$Z133+'Row data'!$AA133+'Row data'!$AB133+'Row data'!$AD133-'Row data'!$AC133-'Row data'!$AE133-'Row data'!$AF133-'Row data'!$AG133-'Row data'!$AH133-'Row data'!$AI133</f>
        <v>17989</v>
      </c>
      <c r="AK133" s="39">
        <v>17989</v>
      </c>
      <c r="AL133" s="39">
        <v>0</v>
      </c>
    </row>
    <row r="134" spans="1:38" x14ac:dyDescent="0.3">
      <c r="A134" s="40">
        <v>133</v>
      </c>
      <c r="B134" s="35" t="s">
        <v>375</v>
      </c>
      <c r="C134" s="35">
        <v>9604784</v>
      </c>
      <c r="D134" s="36" t="s">
        <v>399</v>
      </c>
      <c r="E134" s="35" t="s">
        <v>71</v>
      </c>
      <c r="F134" s="35" t="s">
        <v>90</v>
      </c>
      <c r="G134" s="35" t="s">
        <v>262</v>
      </c>
      <c r="H134" s="37" t="s">
        <v>400</v>
      </c>
      <c r="I134" s="38">
        <v>45049</v>
      </c>
      <c r="J134" s="38">
        <v>44562</v>
      </c>
      <c r="K134" s="17">
        <f>YEAR('Row data'!$J134)</f>
        <v>2022</v>
      </c>
      <c r="L134" s="38">
        <v>35359</v>
      </c>
      <c r="M134" s="35" t="str">
        <f ca="1">IF('Row data'!$J134="",DATEDIF('Row data'!$L134,TODAY(),"y"),"0")</f>
        <v>0</v>
      </c>
      <c r="N134" s="35" t="s">
        <v>42</v>
      </c>
      <c r="O134" s="35" t="s">
        <v>43</v>
      </c>
      <c r="P134" s="39" t="s">
        <v>44</v>
      </c>
      <c r="Q134" s="39">
        <v>16568</v>
      </c>
      <c r="R134" s="39">
        <v>16568</v>
      </c>
      <c r="S134" s="39">
        <v>9941</v>
      </c>
      <c r="T134" s="39">
        <v>4970</v>
      </c>
      <c r="U134" s="39">
        <v>663</v>
      </c>
      <c r="V134" s="39">
        <v>497</v>
      </c>
      <c r="W134" s="39">
        <v>0</v>
      </c>
      <c r="X134" s="39">
        <v>0</v>
      </c>
      <c r="Y134" s="39">
        <v>497</v>
      </c>
      <c r="Z134" s="39">
        <v>497</v>
      </c>
      <c r="AA134" s="39">
        <v>0</v>
      </c>
      <c r="AB134" s="39">
        <v>0</v>
      </c>
      <c r="AC134" s="39">
        <v>0</v>
      </c>
      <c r="AD134" s="39">
        <v>0</v>
      </c>
      <c r="AE134" s="39">
        <v>0</v>
      </c>
      <c r="AF134" s="39">
        <v>0</v>
      </c>
      <c r="AG134" s="39">
        <v>0</v>
      </c>
      <c r="AH134" s="39">
        <v>0</v>
      </c>
      <c r="AI134" s="39">
        <v>0</v>
      </c>
      <c r="AJ134" s="39">
        <f>'Row data'!$S134+'Row data'!$T134+'Row data'!$U134+'Row data'!$W134+'Row data'!$X134+'Row data'!$Y134+'Row data'!$Z134+'Row data'!$AA134+'Row data'!$AB134+'Row data'!$AD134-'Row data'!$AC134-'Row data'!$AE134-'Row data'!$AF134-'Row data'!$AG134-'Row data'!$AH134-'Row data'!$AI134</f>
        <v>16568</v>
      </c>
      <c r="AK134" s="39">
        <v>16568</v>
      </c>
      <c r="AL134" s="39">
        <v>0</v>
      </c>
    </row>
    <row r="135" spans="1:38" x14ac:dyDescent="0.3">
      <c r="A135" s="40">
        <v>134</v>
      </c>
      <c r="B135" s="35" t="s">
        <v>375</v>
      </c>
      <c r="C135" s="35">
        <v>7054904</v>
      </c>
      <c r="D135" s="36" t="s">
        <v>401</v>
      </c>
      <c r="E135" s="35" t="s">
        <v>71</v>
      </c>
      <c r="F135" s="35" t="s">
        <v>90</v>
      </c>
      <c r="G135" s="35" t="s">
        <v>377</v>
      </c>
      <c r="H135" s="37" t="s">
        <v>402</v>
      </c>
      <c r="I135" s="38">
        <v>45339</v>
      </c>
      <c r="J135" s="38">
        <v>44562</v>
      </c>
      <c r="K135" s="17">
        <f>YEAR('Row data'!$J135)</f>
        <v>2022</v>
      </c>
      <c r="L135" s="38">
        <v>37047</v>
      </c>
      <c r="M135" s="35" t="str">
        <f ca="1">IF('Row data'!$J135="",DATEDIF('Row data'!$L135,TODAY(),"y"),"0")</f>
        <v>0</v>
      </c>
      <c r="N135" s="35" t="s">
        <v>42</v>
      </c>
      <c r="O135" s="35" t="s">
        <v>43</v>
      </c>
      <c r="P135" s="39" t="s">
        <v>44</v>
      </c>
      <c r="Q135" s="39">
        <v>15000</v>
      </c>
      <c r="R135" s="39">
        <v>15000</v>
      </c>
      <c r="S135" s="39">
        <v>9000</v>
      </c>
      <c r="T135" s="39">
        <v>4500</v>
      </c>
      <c r="U135" s="39">
        <v>600</v>
      </c>
      <c r="V135" s="39">
        <v>450</v>
      </c>
      <c r="W135" s="39">
        <v>0</v>
      </c>
      <c r="X135" s="39">
        <v>0</v>
      </c>
      <c r="Y135" s="39">
        <v>450</v>
      </c>
      <c r="Z135" s="39">
        <v>450</v>
      </c>
      <c r="AA135" s="39">
        <v>0</v>
      </c>
      <c r="AB135" s="39">
        <v>0</v>
      </c>
      <c r="AC135" s="39">
        <v>0</v>
      </c>
      <c r="AD135" s="39">
        <v>0</v>
      </c>
      <c r="AE135" s="39">
        <v>0</v>
      </c>
      <c r="AF135" s="39">
        <v>0</v>
      </c>
      <c r="AG135" s="39">
        <v>0</v>
      </c>
      <c r="AH135" s="39">
        <v>0</v>
      </c>
      <c r="AI135" s="39">
        <v>0</v>
      </c>
      <c r="AJ135" s="39">
        <f>'Row data'!$S135+'Row data'!$T135+'Row data'!$U135+'Row data'!$W135+'Row data'!$X135+'Row data'!$Y135+'Row data'!$Z135+'Row data'!$AA135+'Row data'!$AB135+'Row data'!$AD135-'Row data'!$AC135-'Row data'!$AE135-'Row data'!$AF135-'Row data'!$AG135-'Row data'!$AH135-'Row data'!$AI135</f>
        <v>15000</v>
      </c>
      <c r="AK135" s="39">
        <v>15000</v>
      </c>
      <c r="AL135" s="39">
        <v>0</v>
      </c>
    </row>
    <row r="136" spans="1:38" x14ac:dyDescent="0.3">
      <c r="A136" s="40">
        <v>135</v>
      </c>
      <c r="B136" s="35" t="s">
        <v>375</v>
      </c>
      <c r="C136" s="35">
        <v>6488897</v>
      </c>
      <c r="D136" s="36" t="s">
        <v>403</v>
      </c>
      <c r="E136" s="35" t="s">
        <v>71</v>
      </c>
      <c r="F136" s="35" t="s">
        <v>90</v>
      </c>
      <c r="G136" s="35" t="s">
        <v>404</v>
      </c>
      <c r="H136" s="37" t="s">
        <v>405</v>
      </c>
      <c r="I136" s="38">
        <v>45353</v>
      </c>
      <c r="J136" s="38">
        <v>44562</v>
      </c>
      <c r="K136" s="17">
        <f>YEAR('Row data'!$J136)</f>
        <v>2022</v>
      </c>
      <c r="L136" s="38">
        <v>29828</v>
      </c>
      <c r="M136" s="35" t="str">
        <f ca="1">IF('Row data'!$J136="",DATEDIF('Row data'!$L136,TODAY(),"y"),"0")</f>
        <v>0</v>
      </c>
      <c r="N136" s="35" t="s">
        <v>42</v>
      </c>
      <c r="O136" s="35" t="s">
        <v>43</v>
      </c>
      <c r="P136" s="39" t="s">
        <v>44</v>
      </c>
      <c r="Q136" s="39">
        <v>18570</v>
      </c>
      <c r="R136" s="39">
        <v>18570</v>
      </c>
      <c r="S136" s="39">
        <v>11142</v>
      </c>
      <c r="T136" s="39">
        <v>5571</v>
      </c>
      <c r="U136" s="39">
        <v>743</v>
      </c>
      <c r="V136" s="39">
        <v>557</v>
      </c>
      <c r="W136" s="39">
        <v>0</v>
      </c>
      <c r="X136" s="39">
        <v>0</v>
      </c>
      <c r="Y136" s="39">
        <v>557</v>
      </c>
      <c r="Z136" s="39">
        <v>557</v>
      </c>
      <c r="AA136" s="39">
        <v>0</v>
      </c>
      <c r="AB136" s="39">
        <v>0</v>
      </c>
      <c r="AC136" s="39">
        <v>0</v>
      </c>
      <c r="AD136" s="39">
        <v>0</v>
      </c>
      <c r="AE136" s="39">
        <v>0</v>
      </c>
      <c r="AF136" s="39">
        <v>0</v>
      </c>
      <c r="AG136" s="39">
        <v>0</v>
      </c>
      <c r="AH136" s="39">
        <v>0</v>
      </c>
      <c r="AI136" s="39">
        <v>0</v>
      </c>
      <c r="AJ136" s="39">
        <f>'Row data'!$S136+'Row data'!$T136+'Row data'!$U136+'Row data'!$W136+'Row data'!$X136+'Row data'!$Y136+'Row data'!$Z136+'Row data'!$AA136+'Row data'!$AB136+'Row data'!$AD136-'Row data'!$AC136-'Row data'!$AE136-'Row data'!$AF136-'Row data'!$AG136-'Row data'!$AH136-'Row data'!$AI136</f>
        <v>18570</v>
      </c>
      <c r="AK136" s="39">
        <v>18570</v>
      </c>
      <c r="AL136" s="39">
        <v>0</v>
      </c>
    </row>
    <row r="137" spans="1:38" x14ac:dyDescent="0.3">
      <c r="A137" s="40">
        <v>136</v>
      </c>
      <c r="B137" s="35" t="s">
        <v>375</v>
      </c>
      <c r="C137" s="35">
        <v>7618823</v>
      </c>
      <c r="D137" s="36" t="s">
        <v>406</v>
      </c>
      <c r="E137" s="35" t="s">
        <v>71</v>
      </c>
      <c r="F137" s="35" t="s">
        <v>90</v>
      </c>
      <c r="G137" s="35" t="s">
        <v>262</v>
      </c>
      <c r="H137" s="37" t="s">
        <v>407</v>
      </c>
      <c r="I137" s="38">
        <v>45049</v>
      </c>
      <c r="J137" s="38">
        <v>45292</v>
      </c>
      <c r="K137" s="17">
        <f>YEAR('Row data'!$J137)</f>
        <v>2024</v>
      </c>
      <c r="L137" s="38">
        <v>33217</v>
      </c>
      <c r="M137" s="35" t="str">
        <f ca="1">IF('Row data'!$J137="",DATEDIF('Row data'!$L137,TODAY(),"y"),"0")</f>
        <v>0</v>
      </c>
      <c r="N137" s="35" t="s">
        <v>42</v>
      </c>
      <c r="O137" s="35" t="s">
        <v>43</v>
      </c>
      <c r="P137" s="39" t="s">
        <v>44</v>
      </c>
      <c r="Q137" s="39">
        <v>16568</v>
      </c>
      <c r="R137" s="39">
        <v>16568</v>
      </c>
      <c r="S137" s="39">
        <v>9941</v>
      </c>
      <c r="T137" s="39">
        <v>4970</v>
      </c>
      <c r="U137" s="39">
        <v>663</v>
      </c>
      <c r="V137" s="39">
        <v>497</v>
      </c>
      <c r="W137" s="39">
        <v>0</v>
      </c>
      <c r="X137" s="39">
        <v>0</v>
      </c>
      <c r="Y137" s="39">
        <v>497</v>
      </c>
      <c r="Z137" s="39">
        <v>497</v>
      </c>
      <c r="AA137" s="39">
        <v>0</v>
      </c>
      <c r="AB137" s="39">
        <v>0</v>
      </c>
      <c r="AC137" s="39">
        <v>0</v>
      </c>
      <c r="AD137" s="39">
        <v>0</v>
      </c>
      <c r="AE137" s="39">
        <v>0</v>
      </c>
      <c r="AF137" s="39">
        <v>0</v>
      </c>
      <c r="AG137" s="39">
        <v>0</v>
      </c>
      <c r="AH137" s="39">
        <v>0</v>
      </c>
      <c r="AI137" s="39">
        <v>0</v>
      </c>
      <c r="AJ137" s="39">
        <f>'Row data'!$S137+'Row data'!$T137+'Row data'!$U137+'Row data'!$W137+'Row data'!$X137+'Row data'!$Y137+'Row data'!$Z137+'Row data'!$AA137+'Row data'!$AB137+'Row data'!$AD137-'Row data'!$AC137-'Row data'!$AE137-'Row data'!$AF137-'Row data'!$AG137-'Row data'!$AH137-'Row data'!$AI137</f>
        <v>16568</v>
      </c>
      <c r="AK137" s="39">
        <v>16568</v>
      </c>
      <c r="AL137" s="39">
        <v>0</v>
      </c>
    </row>
    <row r="138" spans="1:38" x14ac:dyDescent="0.3">
      <c r="A138" s="40">
        <v>137</v>
      </c>
      <c r="B138" s="35" t="s">
        <v>375</v>
      </c>
      <c r="C138" s="35">
        <v>5754799</v>
      </c>
      <c r="D138" s="36" t="s">
        <v>408</v>
      </c>
      <c r="E138" s="35" t="s">
        <v>71</v>
      </c>
      <c r="F138" s="35" t="s">
        <v>90</v>
      </c>
      <c r="G138" s="35" t="s">
        <v>262</v>
      </c>
      <c r="H138" s="37" t="s">
        <v>409</v>
      </c>
      <c r="I138" s="38">
        <v>45206</v>
      </c>
      <c r="J138" s="38">
        <v>45292</v>
      </c>
      <c r="K138" s="17">
        <f>YEAR('Row data'!$J138)</f>
        <v>2024</v>
      </c>
      <c r="L138" s="38">
        <v>30578</v>
      </c>
      <c r="M138" s="35" t="str">
        <f ca="1">IF('Row data'!$J138="",DATEDIF('Row data'!$L138,TODAY(),"y"),"0")</f>
        <v>0</v>
      </c>
      <c r="N138" s="35" t="s">
        <v>42</v>
      </c>
      <c r="O138" s="35" t="s">
        <v>43</v>
      </c>
      <c r="P138" s="39" t="s">
        <v>44</v>
      </c>
      <c r="Q138" s="39">
        <v>16568</v>
      </c>
      <c r="R138" s="39">
        <v>16568</v>
      </c>
      <c r="S138" s="39">
        <v>9941</v>
      </c>
      <c r="T138" s="39">
        <v>4970</v>
      </c>
      <c r="U138" s="39">
        <v>663</v>
      </c>
      <c r="V138" s="39">
        <v>497</v>
      </c>
      <c r="W138" s="39">
        <v>0</v>
      </c>
      <c r="X138" s="39">
        <v>0</v>
      </c>
      <c r="Y138" s="39">
        <v>497</v>
      </c>
      <c r="Z138" s="39">
        <v>497</v>
      </c>
      <c r="AA138" s="39">
        <v>0</v>
      </c>
      <c r="AB138" s="39">
        <v>0</v>
      </c>
      <c r="AC138" s="39">
        <v>0</v>
      </c>
      <c r="AD138" s="39">
        <v>0</v>
      </c>
      <c r="AE138" s="39">
        <v>0</v>
      </c>
      <c r="AF138" s="39">
        <v>0</v>
      </c>
      <c r="AG138" s="39">
        <v>0</v>
      </c>
      <c r="AH138" s="39">
        <v>0</v>
      </c>
      <c r="AI138" s="39">
        <v>0</v>
      </c>
      <c r="AJ138" s="39">
        <f>'Row data'!$S138+'Row data'!$T138+'Row data'!$U138+'Row data'!$W138+'Row data'!$X138+'Row data'!$Y138+'Row data'!$Z138+'Row data'!$AA138+'Row data'!$AB138+'Row data'!$AD138-'Row data'!$AC138-'Row data'!$AE138-'Row data'!$AF138-'Row data'!$AG138-'Row data'!$AH138-'Row data'!$AI138</f>
        <v>16568</v>
      </c>
      <c r="AK138" s="39">
        <v>16568</v>
      </c>
      <c r="AL138" s="39">
        <v>0</v>
      </c>
    </row>
    <row r="139" spans="1:38" x14ac:dyDescent="0.3">
      <c r="A139" s="40">
        <v>138</v>
      </c>
      <c r="B139" s="35" t="s">
        <v>375</v>
      </c>
      <c r="C139" s="35">
        <v>8247819</v>
      </c>
      <c r="D139" s="36" t="s">
        <v>410</v>
      </c>
      <c r="E139" s="35" t="s">
        <v>71</v>
      </c>
      <c r="F139" s="35" t="s">
        <v>90</v>
      </c>
      <c r="G139" s="35" t="s">
        <v>262</v>
      </c>
      <c r="H139" s="37" t="s">
        <v>411</v>
      </c>
      <c r="I139" s="38">
        <v>45215</v>
      </c>
      <c r="J139" s="38">
        <v>45292</v>
      </c>
      <c r="K139" s="17">
        <f>YEAR('Row data'!$J139)</f>
        <v>2024</v>
      </c>
      <c r="L139" s="38">
        <v>35719</v>
      </c>
      <c r="M139" s="35" t="str">
        <f ca="1">IF('Row data'!$J139="",DATEDIF('Row data'!$L139,TODAY(),"y"),"0")</f>
        <v>0</v>
      </c>
      <c r="N139" s="35" t="s">
        <v>42</v>
      </c>
      <c r="O139" s="35" t="s">
        <v>43</v>
      </c>
      <c r="P139" s="39" t="s">
        <v>44</v>
      </c>
      <c r="Q139" s="39">
        <v>16568</v>
      </c>
      <c r="R139" s="39">
        <v>16568</v>
      </c>
      <c r="S139" s="39">
        <v>9941</v>
      </c>
      <c r="T139" s="39">
        <v>4970</v>
      </c>
      <c r="U139" s="39">
        <v>663</v>
      </c>
      <c r="V139" s="39">
        <v>497</v>
      </c>
      <c r="W139" s="39">
        <v>0</v>
      </c>
      <c r="X139" s="39">
        <v>0</v>
      </c>
      <c r="Y139" s="39">
        <v>497</v>
      </c>
      <c r="Z139" s="39">
        <v>497</v>
      </c>
      <c r="AA139" s="39">
        <v>0</v>
      </c>
      <c r="AB139" s="39">
        <v>0</v>
      </c>
      <c r="AC139" s="39">
        <v>0</v>
      </c>
      <c r="AD139" s="39">
        <v>0</v>
      </c>
      <c r="AE139" s="39">
        <v>0</v>
      </c>
      <c r="AF139" s="39">
        <v>0</v>
      </c>
      <c r="AG139" s="39">
        <v>0</v>
      </c>
      <c r="AH139" s="39">
        <v>0</v>
      </c>
      <c r="AI139" s="39">
        <v>0</v>
      </c>
      <c r="AJ139" s="39">
        <f>'Row data'!$S139+'Row data'!$T139+'Row data'!$U139+'Row data'!$W139+'Row data'!$X139+'Row data'!$Y139+'Row data'!$Z139+'Row data'!$AA139+'Row data'!$AB139+'Row data'!$AD139-'Row data'!$AC139-'Row data'!$AE139-'Row data'!$AF139-'Row data'!$AG139-'Row data'!$AH139-'Row data'!$AI139</f>
        <v>16568</v>
      </c>
      <c r="AK139" s="39">
        <v>16568</v>
      </c>
      <c r="AL139" s="39">
        <v>0</v>
      </c>
    </row>
    <row r="140" spans="1:38" x14ac:dyDescent="0.3">
      <c r="A140" s="40">
        <v>139</v>
      </c>
      <c r="B140" s="35" t="s">
        <v>375</v>
      </c>
      <c r="C140" s="35">
        <v>8428443</v>
      </c>
      <c r="D140" s="36" t="s">
        <v>412</v>
      </c>
      <c r="E140" s="35" t="s">
        <v>71</v>
      </c>
      <c r="F140" s="35" t="s">
        <v>94</v>
      </c>
      <c r="G140" s="35" t="s">
        <v>413</v>
      </c>
      <c r="H140" s="37" t="s">
        <v>414</v>
      </c>
      <c r="I140" s="38">
        <v>44774</v>
      </c>
      <c r="J140" s="38">
        <v>45292</v>
      </c>
      <c r="K140" s="17">
        <f>YEAR('Row data'!$J140)</f>
        <v>2024</v>
      </c>
      <c r="L140" s="38">
        <v>32298</v>
      </c>
      <c r="M140" s="35" t="str">
        <f ca="1">IF('Row data'!$J140="",DATEDIF('Row data'!$L140,TODAY(),"y"),"0")</f>
        <v>0</v>
      </c>
      <c r="N140" s="35" t="s">
        <v>42</v>
      </c>
      <c r="O140" s="35" t="s">
        <v>43</v>
      </c>
      <c r="P140" s="39" t="s">
        <v>44</v>
      </c>
      <c r="Q140" s="39">
        <v>15904</v>
      </c>
      <c r="R140" s="39">
        <v>15904</v>
      </c>
      <c r="S140" s="39">
        <v>9543</v>
      </c>
      <c r="T140" s="39">
        <v>4771</v>
      </c>
      <c r="U140" s="39">
        <v>636</v>
      </c>
      <c r="V140" s="39">
        <v>477</v>
      </c>
      <c r="W140" s="39">
        <v>0</v>
      </c>
      <c r="X140" s="39">
        <v>0</v>
      </c>
      <c r="Y140" s="39">
        <v>477</v>
      </c>
      <c r="Z140" s="39">
        <v>477</v>
      </c>
      <c r="AA140" s="39">
        <v>0</v>
      </c>
      <c r="AB140" s="39">
        <v>0</v>
      </c>
      <c r="AC140" s="39">
        <v>0</v>
      </c>
      <c r="AD140" s="39">
        <v>0</v>
      </c>
      <c r="AE140" s="39">
        <v>0</v>
      </c>
      <c r="AF140" s="39">
        <v>0</v>
      </c>
      <c r="AG140" s="39">
        <v>0</v>
      </c>
      <c r="AH140" s="39">
        <v>0</v>
      </c>
      <c r="AI140" s="39">
        <v>0</v>
      </c>
      <c r="AJ140" s="39">
        <f>'Row data'!$S140+'Row data'!$T140+'Row data'!$U140+'Row data'!$W140+'Row data'!$X140+'Row data'!$Y140+'Row data'!$Z140+'Row data'!$AA140+'Row data'!$AB140+'Row data'!$AD140-'Row data'!$AC140-'Row data'!$AE140-'Row data'!$AF140-'Row data'!$AG140-'Row data'!$AH140-'Row data'!$AI140</f>
        <v>15904</v>
      </c>
      <c r="AK140" s="39">
        <v>15904</v>
      </c>
      <c r="AL140" s="39">
        <v>0</v>
      </c>
    </row>
    <row r="141" spans="1:38" x14ac:dyDescent="0.3">
      <c r="A141" s="40">
        <v>140</v>
      </c>
      <c r="B141" s="35" t="s">
        <v>375</v>
      </c>
      <c r="C141" s="35">
        <v>8065887</v>
      </c>
      <c r="D141" s="36" t="s">
        <v>415</v>
      </c>
      <c r="E141" s="35" t="s">
        <v>71</v>
      </c>
      <c r="F141" s="35" t="s">
        <v>94</v>
      </c>
      <c r="G141" s="35" t="s">
        <v>413</v>
      </c>
      <c r="H141" s="37" t="s">
        <v>416</v>
      </c>
      <c r="I141" s="38">
        <v>45123</v>
      </c>
      <c r="J141" s="38">
        <v>45292</v>
      </c>
      <c r="K141" s="17">
        <f>YEAR('Row data'!$J141)</f>
        <v>2024</v>
      </c>
      <c r="L141" s="38">
        <v>34700</v>
      </c>
      <c r="M141" s="35" t="str">
        <f ca="1">IF('Row data'!$J141="",DATEDIF('Row data'!$L141,TODAY(),"y"),"0")</f>
        <v>0</v>
      </c>
      <c r="N141" s="35" t="s">
        <v>42</v>
      </c>
      <c r="O141" s="35" t="s">
        <v>43</v>
      </c>
      <c r="P141" s="39" t="s">
        <v>44</v>
      </c>
      <c r="Q141" s="39">
        <v>15904</v>
      </c>
      <c r="R141" s="39">
        <v>15904</v>
      </c>
      <c r="S141" s="39">
        <v>9543</v>
      </c>
      <c r="T141" s="39">
        <v>4771</v>
      </c>
      <c r="U141" s="39">
        <v>636</v>
      </c>
      <c r="V141" s="39">
        <v>477</v>
      </c>
      <c r="W141" s="39">
        <v>0</v>
      </c>
      <c r="X141" s="39">
        <v>0</v>
      </c>
      <c r="Y141" s="39">
        <v>477</v>
      </c>
      <c r="Z141" s="39">
        <v>477</v>
      </c>
      <c r="AA141" s="39">
        <v>0</v>
      </c>
      <c r="AB141" s="39">
        <v>0</v>
      </c>
      <c r="AC141" s="39">
        <v>0</v>
      </c>
      <c r="AD141" s="39">
        <v>0</v>
      </c>
      <c r="AE141" s="39">
        <v>0</v>
      </c>
      <c r="AF141" s="39">
        <v>0</v>
      </c>
      <c r="AG141" s="39">
        <v>0</v>
      </c>
      <c r="AH141" s="39">
        <v>0</v>
      </c>
      <c r="AI141" s="39">
        <v>0</v>
      </c>
      <c r="AJ141" s="39">
        <f>'Row data'!$S141+'Row data'!$T141+'Row data'!$U141+'Row data'!$W141+'Row data'!$X141+'Row data'!$Y141+'Row data'!$Z141+'Row data'!$AA141+'Row data'!$AB141+'Row data'!$AD141-'Row data'!$AC141-'Row data'!$AE141-'Row data'!$AF141-'Row data'!$AG141-'Row data'!$AH141-'Row data'!$AI141</f>
        <v>15904</v>
      </c>
      <c r="AK141" s="39">
        <v>15904</v>
      </c>
      <c r="AL141" s="39">
        <v>0</v>
      </c>
    </row>
    <row r="142" spans="1:38" x14ac:dyDescent="0.3">
      <c r="A142" s="40">
        <v>141</v>
      </c>
      <c r="B142" s="35" t="s">
        <v>375</v>
      </c>
      <c r="C142" s="35">
        <v>9608580</v>
      </c>
      <c r="D142" s="36" t="s">
        <v>417</v>
      </c>
      <c r="E142" s="35" t="s">
        <v>71</v>
      </c>
      <c r="F142" s="35" t="s">
        <v>94</v>
      </c>
      <c r="G142" s="35" t="s">
        <v>413</v>
      </c>
      <c r="H142" s="37" t="s">
        <v>418</v>
      </c>
      <c r="I142" s="38">
        <v>44940</v>
      </c>
      <c r="J142" s="38">
        <v>45292</v>
      </c>
      <c r="K142" s="17">
        <f>YEAR('Row data'!$J142)</f>
        <v>2024</v>
      </c>
      <c r="L142" s="38">
        <v>24838</v>
      </c>
      <c r="M142" s="35" t="str">
        <f ca="1">IF('Row data'!$J142="",DATEDIF('Row data'!$L142,TODAY(),"y"),"0")</f>
        <v>0</v>
      </c>
      <c r="N142" s="35" t="s">
        <v>42</v>
      </c>
      <c r="O142" s="35" t="s">
        <v>43</v>
      </c>
      <c r="P142" s="39" t="s">
        <v>44</v>
      </c>
      <c r="Q142" s="39">
        <v>15904</v>
      </c>
      <c r="R142" s="39">
        <v>15563</v>
      </c>
      <c r="S142" s="39">
        <v>9543</v>
      </c>
      <c r="T142" s="39">
        <v>4771</v>
      </c>
      <c r="U142" s="39">
        <v>636</v>
      </c>
      <c r="V142" s="39">
        <v>477</v>
      </c>
      <c r="W142" s="39">
        <v>0</v>
      </c>
      <c r="X142" s="39">
        <v>0</v>
      </c>
      <c r="Y142" s="39">
        <v>477</v>
      </c>
      <c r="Z142" s="39">
        <v>477</v>
      </c>
      <c r="AA142" s="39">
        <v>0</v>
      </c>
      <c r="AB142" s="39">
        <v>0</v>
      </c>
      <c r="AC142" s="39">
        <v>0</v>
      </c>
      <c r="AD142" s="39">
        <v>0</v>
      </c>
      <c r="AE142" s="39">
        <v>341</v>
      </c>
      <c r="AF142" s="39">
        <v>0</v>
      </c>
      <c r="AG142" s="39">
        <v>500</v>
      </c>
      <c r="AH142" s="39">
        <v>0</v>
      </c>
      <c r="AI142" s="39">
        <v>0</v>
      </c>
      <c r="AJ142" s="39">
        <f>'Row data'!$S142+'Row data'!$T142+'Row data'!$U142+'Row data'!$W142+'Row data'!$X142+'Row data'!$Y142+'Row data'!$Z142+'Row data'!$AA142+'Row data'!$AB142+'Row data'!$AD142-'Row data'!$AC142-'Row data'!$AE142-'Row data'!$AF142-'Row data'!$AG142-'Row data'!$AH142-'Row data'!$AI142</f>
        <v>15063</v>
      </c>
      <c r="AK142" s="39">
        <v>15063</v>
      </c>
      <c r="AL142" s="39">
        <v>0</v>
      </c>
    </row>
    <row r="143" spans="1:38" x14ac:dyDescent="0.3">
      <c r="A143" s="40">
        <v>142</v>
      </c>
      <c r="B143" s="35" t="s">
        <v>375</v>
      </c>
      <c r="C143" s="35">
        <v>7271915</v>
      </c>
      <c r="D143" s="36" t="s">
        <v>419</v>
      </c>
      <c r="E143" s="35" t="s">
        <v>71</v>
      </c>
      <c r="F143" s="35" t="s">
        <v>94</v>
      </c>
      <c r="G143" s="35" t="s">
        <v>413</v>
      </c>
      <c r="H143" s="37" t="s">
        <v>420</v>
      </c>
      <c r="I143" s="38">
        <v>45090</v>
      </c>
      <c r="J143" s="38">
        <v>45292</v>
      </c>
      <c r="K143" s="17">
        <f>YEAR('Row data'!$J143)</f>
        <v>2024</v>
      </c>
      <c r="L143" s="38">
        <v>32382</v>
      </c>
      <c r="M143" s="35" t="str">
        <f ca="1">IF('Row data'!$J143="",DATEDIF('Row data'!$L143,TODAY(),"y"),"0")</f>
        <v>0</v>
      </c>
      <c r="N143" s="35" t="s">
        <v>42</v>
      </c>
      <c r="O143" s="35" t="s">
        <v>43</v>
      </c>
      <c r="P143" s="39" t="s">
        <v>44</v>
      </c>
      <c r="Q143" s="39">
        <v>16197</v>
      </c>
      <c r="R143" s="39">
        <v>14462</v>
      </c>
      <c r="S143" s="39">
        <v>9718</v>
      </c>
      <c r="T143" s="39">
        <v>4859</v>
      </c>
      <c r="U143" s="39">
        <v>648</v>
      </c>
      <c r="V143" s="39">
        <v>486</v>
      </c>
      <c r="W143" s="39">
        <v>0</v>
      </c>
      <c r="X143" s="39">
        <v>0</v>
      </c>
      <c r="Y143" s="39">
        <v>486</v>
      </c>
      <c r="Z143" s="39">
        <v>486</v>
      </c>
      <c r="AA143" s="39">
        <v>0</v>
      </c>
      <c r="AB143" s="39">
        <v>0</v>
      </c>
      <c r="AC143" s="39">
        <v>0</v>
      </c>
      <c r="AD143" s="39">
        <v>0</v>
      </c>
      <c r="AE143" s="39">
        <v>1735</v>
      </c>
      <c r="AF143" s="39">
        <v>0</v>
      </c>
      <c r="AG143" s="39">
        <v>0</v>
      </c>
      <c r="AH143" s="39">
        <v>0</v>
      </c>
      <c r="AI143" s="39">
        <v>0</v>
      </c>
      <c r="AJ143" s="39">
        <f>'Row data'!$S143+'Row data'!$T143+'Row data'!$U143+'Row data'!$W143+'Row data'!$X143+'Row data'!$Y143+'Row data'!$Z143+'Row data'!$AA143+'Row data'!$AB143+'Row data'!$AD143-'Row data'!$AC143-'Row data'!$AE143-'Row data'!$AF143-'Row data'!$AG143-'Row data'!$AH143-'Row data'!$AI143</f>
        <v>14462</v>
      </c>
      <c r="AK143" s="39">
        <v>14462</v>
      </c>
      <c r="AL143" s="39">
        <v>0</v>
      </c>
    </row>
    <row r="144" spans="1:38" x14ac:dyDescent="0.3">
      <c r="A144" s="40">
        <v>143</v>
      </c>
      <c r="B144" s="35" t="s">
        <v>375</v>
      </c>
      <c r="C144" s="35">
        <v>8402321</v>
      </c>
      <c r="D144" s="36" t="s">
        <v>421</v>
      </c>
      <c r="E144" s="35" t="s">
        <v>71</v>
      </c>
      <c r="F144" s="35" t="s">
        <v>94</v>
      </c>
      <c r="G144" s="35" t="s">
        <v>413</v>
      </c>
      <c r="H144" s="37" t="s">
        <v>422</v>
      </c>
      <c r="I144" s="38">
        <v>45475</v>
      </c>
      <c r="J144" s="38">
        <v>45292</v>
      </c>
      <c r="K144" s="17">
        <f>YEAR('Row data'!$J144)</f>
        <v>2024</v>
      </c>
      <c r="L144" s="38">
        <v>36870</v>
      </c>
      <c r="M144" s="35" t="str">
        <f ca="1">IF('Row data'!$J144="",DATEDIF('Row data'!$L144,TODAY(),"y"),"0")</f>
        <v>0</v>
      </c>
      <c r="N144" s="35" t="s">
        <v>42</v>
      </c>
      <c r="O144" s="35" t="s">
        <v>43</v>
      </c>
      <c r="P144" s="39" t="s">
        <v>44</v>
      </c>
      <c r="Q144" s="39">
        <v>15000</v>
      </c>
      <c r="R144" s="39">
        <v>15000</v>
      </c>
      <c r="S144" s="39">
        <v>9000</v>
      </c>
      <c r="T144" s="39">
        <v>4500</v>
      </c>
      <c r="U144" s="39">
        <v>600</v>
      </c>
      <c r="V144" s="39">
        <v>450</v>
      </c>
      <c r="W144" s="39">
        <v>0</v>
      </c>
      <c r="X144" s="39">
        <v>0</v>
      </c>
      <c r="Y144" s="39">
        <v>450</v>
      </c>
      <c r="Z144" s="39">
        <v>450</v>
      </c>
      <c r="AA144" s="39">
        <v>0</v>
      </c>
      <c r="AB144" s="39">
        <v>0</v>
      </c>
      <c r="AC144" s="39">
        <v>0</v>
      </c>
      <c r="AD144" s="39">
        <v>0</v>
      </c>
      <c r="AE144" s="39">
        <v>0</v>
      </c>
      <c r="AF144" s="39">
        <v>0</v>
      </c>
      <c r="AG144" s="39">
        <v>0</v>
      </c>
      <c r="AH144" s="39">
        <v>0</v>
      </c>
      <c r="AI144" s="39">
        <v>0</v>
      </c>
      <c r="AJ144" s="39">
        <f>'Row data'!$S144+'Row data'!$T144+'Row data'!$U144+'Row data'!$W144+'Row data'!$X144+'Row data'!$Y144+'Row data'!$Z144+'Row data'!$AA144+'Row data'!$AB144+'Row data'!$AD144-'Row data'!$AC144-'Row data'!$AE144-'Row data'!$AF144-'Row data'!$AG144-'Row data'!$AH144-'Row data'!$AI144</f>
        <v>15000</v>
      </c>
      <c r="AK144" s="39">
        <v>15000</v>
      </c>
      <c r="AL144" s="39">
        <v>0</v>
      </c>
    </row>
    <row r="145" spans="1:38" x14ac:dyDescent="0.3">
      <c r="A145" s="40">
        <v>144</v>
      </c>
      <c r="B145" s="35" t="s">
        <v>375</v>
      </c>
      <c r="C145" s="35">
        <v>6309817</v>
      </c>
      <c r="D145" s="36" t="s">
        <v>423</v>
      </c>
      <c r="E145" s="35" t="s">
        <v>71</v>
      </c>
      <c r="F145" s="35" t="s">
        <v>94</v>
      </c>
      <c r="G145" s="35" t="s">
        <v>413</v>
      </c>
      <c r="H145" s="37" t="s">
        <v>424</v>
      </c>
      <c r="I145" s="38">
        <v>45476</v>
      </c>
      <c r="J145" s="38">
        <v>45292</v>
      </c>
      <c r="K145" s="17">
        <f>YEAR('Row data'!$J145)</f>
        <v>2024</v>
      </c>
      <c r="L145" s="38">
        <v>34063</v>
      </c>
      <c r="M145" s="35" t="str">
        <f ca="1">IF('Row data'!$J145="",DATEDIF('Row data'!$L145,TODAY(),"y"),"0")</f>
        <v>0</v>
      </c>
      <c r="N145" s="35" t="s">
        <v>42</v>
      </c>
      <c r="O145" s="35" t="s">
        <v>43</v>
      </c>
      <c r="P145" s="39" t="s">
        <v>44</v>
      </c>
      <c r="Q145" s="39">
        <v>15000</v>
      </c>
      <c r="R145" s="39">
        <v>15000</v>
      </c>
      <c r="S145" s="39">
        <v>9000</v>
      </c>
      <c r="T145" s="39">
        <v>4500</v>
      </c>
      <c r="U145" s="39">
        <v>600</v>
      </c>
      <c r="V145" s="39">
        <v>450</v>
      </c>
      <c r="W145" s="39">
        <v>0</v>
      </c>
      <c r="X145" s="39">
        <v>0</v>
      </c>
      <c r="Y145" s="39">
        <v>450</v>
      </c>
      <c r="Z145" s="39">
        <v>450</v>
      </c>
      <c r="AA145" s="39">
        <v>0</v>
      </c>
      <c r="AB145" s="39">
        <v>0</v>
      </c>
      <c r="AC145" s="39">
        <v>0</v>
      </c>
      <c r="AD145" s="39">
        <v>0</v>
      </c>
      <c r="AE145" s="39">
        <v>0</v>
      </c>
      <c r="AF145" s="39">
        <v>0</v>
      </c>
      <c r="AG145" s="39">
        <v>0</v>
      </c>
      <c r="AH145" s="39">
        <v>0</v>
      </c>
      <c r="AI145" s="39">
        <v>0</v>
      </c>
      <c r="AJ145" s="39">
        <f>'Row data'!$S145+'Row data'!$T145+'Row data'!$U145+'Row data'!$W145+'Row data'!$X145+'Row data'!$Y145+'Row data'!$Z145+'Row data'!$AA145+'Row data'!$AB145+'Row data'!$AD145-'Row data'!$AC145-'Row data'!$AE145-'Row data'!$AF145-'Row data'!$AG145-'Row data'!$AH145-'Row data'!$AI145</f>
        <v>15000</v>
      </c>
      <c r="AK145" s="39">
        <v>15000</v>
      </c>
      <c r="AL145" s="39">
        <v>0</v>
      </c>
    </row>
    <row r="146" spans="1:38" x14ac:dyDescent="0.3">
      <c r="A146" s="40">
        <v>145</v>
      </c>
      <c r="B146" s="35" t="s">
        <v>375</v>
      </c>
      <c r="C146" s="35">
        <v>6226741</v>
      </c>
      <c r="D146" s="36" t="s">
        <v>425</v>
      </c>
      <c r="E146" s="35" t="s">
        <v>71</v>
      </c>
      <c r="F146" s="35" t="s">
        <v>94</v>
      </c>
      <c r="G146" s="35" t="s">
        <v>413</v>
      </c>
      <c r="H146" s="37" t="s">
        <v>426</v>
      </c>
      <c r="I146" s="38">
        <v>45049</v>
      </c>
      <c r="J146" s="38">
        <v>45292</v>
      </c>
      <c r="K146" s="17">
        <f>YEAR('Row data'!$J146)</f>
        <v>2024</v>
      </c>
      <c r="L146" s="38">
        <v>34678</v>
      </c>
      <c r="M146" s="35" t="str">
        <f ca="1">IF('Row data'!$J146="",DATEDIF('Row data'!$L146,TODAY(),"y"),"0")</f>
        <v>0</v>
      </c>
      <c r="N146" s="35" t="s">
        <v>42</v>
      </c>
      <c r="O146" s="35" t="s">
        <v>43</v>
      </c>
      <c r="P146" s="39" t="s">
        <v>44</v>
      </c>
      <c r="Q146" s="39">
        <v>16197</v>
      </c>
      <c r="R146" s="39">
        <v>15197</v>
      </c>
      <c r="S146" s="39">
        <v>9718</v>
      </c>
      <c r="T146" s="39">
        <v>4859</v>
      </c>
      <c r="U146" s="39">
        <v>648</v>
      </c>
      <c r="V146" s="39">
        <v>486</v>
      </c>
      <c r="W146" s="39">
        <v>0</v>
      </c>
      <c r="X146" s="39">
        <v>0</v>
      </c>
      <c r="Y146" s="39">
        <v>486</v>
      </c>
      <c r="Z146" s="39">
        <v>486</v>
      </c>
      <c r="AA146" s="39">
        <v>0</v>
      </c>
      <c r="AB146" s="39">
        <v>0</v>
      </c>
      <c r="AC146" s="39">
        <v>-1000</v>
      </c>
      <c r="AD146" s="39">
        <v>0</v>
      </c>
      <c r="AE146" s="39">
        <v>0</v>
      </c>
      <c r="AF146" s="39">
        <v>0</v>
      </c>
      <c r="AG146" s="39">
        <v>0</v>
      </c>
      <c r="AH146" s="39">
        <v>0</v>
      </c>
      <c r="AI146" s="39">
        <v>0</v>
      </c>
      <c r="AJ146" s="39">
        <f>'Row data'!$S146+'Row data'!$T146+'Row data'!$U146+'Row data'!$W146+'Row data'!$X146+'Row data'!$Y146+'Row data'!$Z146+'Row data'!$AA146+'Row data'!$AB146+'Row data'!$AD146-'Row data'!$AC146-'Row data'!$AE146-'Row data'!$AF146-'Row data'!$AG146-'Row data'!$AH146-'Row data'!$AI146</f>
        <v>17197</v>
      </c>
      <c r="AK146" s="39">
        <v>15197</v>
      </c>
      <c r="AL146" s="39">
        <v>0</v>
      </c>
    </row>
    <row r="147" spans="1:38" x14ac:dyDescent="0.3">
      <c r="A147" s="40">
        <v>146</v>
      </c>
      <c r="B147" s="35" t="s">
        <v>375</v>
      </c>
      <c r="C147" s="35">
        <v>7106841</v>
      </c>
      <c r="D147" s="36" t="s">
        <v>427</v>
      </c>
      <c r="E147" s="35" t="s">
        <v>71</v>
      </c>
      <c r="F147" s="35" t="s">
        <v>94</v>
      </c>
      <c r="G147" s="35" t="s">
        <v>413</v>
      </c>
      <c r="H147" s="37" t="s">
        <v>428</v>
      </c>
      <c r="I147" s="38">
        <v>44256</v>
      </c>
      <c r="J147" s="38"/>
      <c r="K147" s="17"/>
      <c r="L147" s="38">
        <v>33429</v>
      </c>
      <c r="M147" s="35">
        <f ca="1">IF('Row data'!$J147="",DATEDIF('Row data'!$L147,TODAY(),"y"),"0")</f>
        <v>35</v>
      </c>
      <c r="N147" s="35" t="s">
        <v>42</v>
      </c>
      <c r="O147" s="35" t="s">
        <v>43</v>
      </c>
      <c r="P147" s="39" t="s">
        <v>44</v>
      </c>
      <c r="Q147" s="39">
        <v>16197</v>
      </c>
      <c r="R147" s="39">
        <v>16197</v>
      </c>
      <c r="S147" s="39">
        <v>9718</v>
      </c>
      <c r="T147" s="39">
        <v>4859</v>
      </c>
      <c r="U147" s="39">
        <v>648</v>
      </c>
      <c r="V147" s="39">
        <v>486</v>
      </c>
      <c r="W147" s="39">
        <v>0</v>
      </c>
      <c r="X147" s="39">
        <v>0</v>
      </c>
      <c r="Y147" s="39">
        <v>486</v>
      </c>
      <c r="Z147" s="39">
        <v>486</v>
      </c>
      <c r="AA147" s="39">
        <v>0</v>
      </c>
      <c r="AB147" s="39">
        <v>0</v>
      </c>
      <c r="AC147" s="39">
        <v>0</v>
      </c>
      <c r="AD147" s="39">
        <v>0</v>
      </c>
      <c r="AE147" s="39">
        <v>0</v>
      </c>
      <c r="AF147" s="39">
        <v>0</v>
      </c>
      <c r="AG147" s="39">
        <v>0</v>
      </c>
      <c r="AH147" s="39">
        <v>0</v>
      </c>
      <c r="AI147" s="39">
        <v>0</v>
      </c>
      <c r="AJ147" s="39">
        <f>'Row data'!$S147+'Row data'!$T147+'Row data'!$U147+'Row data'!$W147+'Row data'!$X147+'Row data'!$Y147+'Row data'!$Z147+'Row data'!$AA147+'Row data'!$AB147+'Row data'!$AD147-'Row data'!$AC147-'Row data'!$AE147-'Row data'!$AF147-'Row data'!$AG147-'Row data'!$AH147-'Row data'!$AI147</f>
        <v>16197</v>
      </c>
      <c r="AK147" s="39">
        <v>16197</v>
      </c>
      <c r="AL147" s="39">
        <v>0</v>
      </c>
    </row>
    <row r="148" spans="1:38" x14ac:dyDescent="0.3">
      <c r="A148" s="40">
        <v>147</v>
      </c>
      <c r="B148" s="35" t="s">
        <v>375</v>
      </c>
      <c r="C148" s="35">
        <v>8119457</v>
      </c>
      <c r="D148" s="36" t="s">
        <v>429</v>
      </c>
      <c r="E148" s="35" t="s">
        <v>71</v>
      </c>
      <c r="F148" s="35" t="s">
        <v>94</v>
      </c>
      <c r="G148" s="35" t="s">
        <v>413</v>
      </c>
      <c r="H148" s="37" t="s">
        <v>430</v>
      </c>
      <c r="I148" s="38">
        <v>44052</v>
      </c>
      <c r="J148" s="38">
        <v>44727</v>
      </c>
      <c r="K148" s="17">
        <f>YEAR('Row data'!$J148)</f>
        <v>2022</v>
      </c>
      <c r="L148" s="38">
        <v>31943</v>
      </c>
      <c r="M148" s="35" t="str">
        <f ca="1">IF('Row data'!$J148="",DATEDIF('Row data'!$L148,TODAY(),"y"),"0")</f>
        <v>0</v>
      </c>
      <c r="N148" s="35" t="s">
        <v>42</v>
      </c>
      <c r="O148" s="35" t="s">
        <v>43</v>
      </c>
      <c r="P148" s="39" t="s">
        <v>44</v>
      </c>
      <c r="Q148" s="39">
        <v>16197</v>
      </c>
      <c r="R148" s="39">
        <v>16197</v>
      </c>
      <c r="S148" s="39">
        <v>9718</v>
      </c>
      <c r="T148" s="39">
        <v>4859</v>
      </c>
      <c r="U148" s="39">
        <v>648</v>
      </c>
      <c r="V148" s="39">
        <v>486</v>
      </c>
      <c r="W148" s="39">
        <v>0</v>
      </c>
      <c r="X148" s="39">
        <v>0</v>
      </c>
      <c r="Y148" s="39">
        <v>486</v>
      </c>
      <c r="Z148" s="39">
        <v>486</v>
      </c>
      <c r="AA148" s="39">
        <v>0</v>
      </c>
      <c r="AB148" s="39">
        <v>0</v>
      </c>
      <c r="AC148" s="39">
        <v>0</v>
      </c>
      <c r="AD148" s="39">
        <v>0</v>
      </c>
      <c r="AE148" s="39">
        <v>0</v>
      </c>
      <c r="AF148" s="39">
        <v>0</v>
      </c>
      <c r="AG148" s="39">
        <v>0</v>
      </c>
      <c r="AH148" s="39">
        <v>0</v>
      </c>
      <c r="AI148" s="39">
        <v>0</v>
      </c>
      <c r="AJ148" s="39">
        <f>'Row data'!$S148+'Row data'!$T148+'Row data'!$U148+'Row data'!$W148+'Row data'!$X148+'Row data'!$Y148+'Row data'!$Z148+'Row data'!$AA148+'Row data'!$AB148+'Row data'!$AD148-'Row data'!$AC148-'Row data'!$AE148-'Row data'!$AF148-'Row data'!$AG148-'Row data'!$AH148-'Row data'!$AI148</f>
        <v>16197</v>
      </c>
      <c r="AK148" s="39">
        <v>16197</v>
      </c>
      <c r="AL148" s="39">
        <v>0</v>
      </c>
    </row>
    <row r="149" spans="1:38" x14ac:dyDescent="0.3">
      <c r="A149" s="40">
        <v>148</v>
      </c>
      <c r="B149" s="35" t="s">
        <v>375</v>
      </c>
      <c r="C149" s="35">
        <v>6707378</v>
      </c>
      <c r="D149" s="36" t="s">
        <v>431</v>
      </c>
      <c r="E149" s="35" t="s">
        <v>71</v>
      </c>
      <c r="F149" s="35" t="s">
        <v>94</v>
      </c>
      <c r="G149" s="35" t="s">
        <v>95</v>
      </c>
      <c r="H149" s="37" t="s">
        <v>432</v>
      </c>
      <c r="I149" s="38">
        <v>37561</v>
      </c>
      <c r="J149" s="38">
        <v>44562</v>
      </c>
      <c r="K149" s="17">
        <f>YEAR('Row data'!$J149)</f>
        <v>2022</v>
      </c>
      <c r="L149" s="38">
        <v>26360</v>
      </c>
      <c r="M149" s="35" t="str">
        <f ca="1">IF('Row data'!$J149="",DATEDIF('Row data'!$L149,TODAY(),"y"),"0")</f>
        <v>0</v>
      </c>
      <c r="N149" s="35" t="s">
        <v>42</v>
      </c>
      <c r="O149" s="35" t="s">
        <v>43</v>
      </c>
      <c r="P149" s="39" t="s">
        <v>44</v>
      </c>
      <c r="Q149" s="39">
        <v>24447</v>
      </c>
      <c r="R149" s="39">
        <v>24447</v>
      </c>
      <c r="S149" s="39">
        <v>14669</v>
      </c>
      <c r="T149" s="39">
        <v>7334</v>
      </c>
      <c r="U149" s="39">
        <v>978</v>
      </c>
      <c r="V149" s="39">
        <v>733</v>
      </c>
      <c r="W149" s="39">
        <v>0</v>
      </c>
      <c r="X149" s="39">
        <v>0</v>
      </c>
      <c r="Y149" s="39">
        <v>733</v>
      </c>
      <c r="Z149" s="39">
        <v>733</v>
      </c>
      <c r="AA149" s="39">
        <v>350</v>
      </c>
      <c r="AB149" s="39">
        <v>0</v>
      </c>
      <c r="AC149" s="39">
        <v>0</v>
      </c>
      <c r="AD149" s="39">
        <v>0</v>
      </c>
      <c r="AE149" s="39">
        <v>0</v>
      </c>
      <c r="AF149" s="39">
        <v>0</v>
      </c>
      <c r="AG149" s="39">
        <v>0</v>
      </c>
      <c r="AH149" s="39">
        <v>0</v>
      </c>
      <c r="AI149" s="39">
        <v>0</v>
      </c>
      <c r="AJ149" s="39">
        <f>'Row data'!$S149+'Row data'!$T149+'Row data'!$U149+'Row data'!$W149+'Row data'!$X149+'Row data'!$Y149+'Row data'!$Z149+'Row data'!$AA149+'Row data'!$AB149+'Row data'!$AD149-'Row data'!$AC149-'Row data'!$AE149-'Row data'!$AF149-'Row data'!$AG149-'Row data'!$AH149-'Row data'!$AI149</f>
        <v>24797</v>
      </c>
      <c r="AK149" s="39">
        <v>24797</v>
      </c>
      <c r="AL149" s="39">
        <v>0</v>
      </c>
    </row>
    <row r="150" spans="1:38" x14ac:dyDescent="0.3">
      <c r="A150" s="40">
        <v>149</v>
      </c>
      <c r="B150" s="35" t="s">
        <v>375</v>
      </c>
      <c r="C150" s="35">
        <v>9946869</v>
      </c>
      <c r="D150" s="36" t="s">
        <v>433</v>
      </c>
      <c r="E150" s="35" t="s">
        <v>71</v>
      </c>
      <c r="F150" s="35" t="s">
        <v>94</v>
      </c>
      <c r="G150" s="35" t="s">
        <v>434</v>
      </c>
      <c r="H150" s="37" t="s">
        <v>435</v>
      </c>
      <c r="I150" s="38">
        <v>37043</v>
      </c>
      <c r="J150" s="38">
        <v>44562</v>
      </c>
      <c r="K150" s="17">
        <f>YEAR('Row data'!$J150)</f>
        <v>2022</v>
      </c>
      <c r="L150" s="38">
        <v>31505</v>
      </c>
      <c r="M150" s="35" t="str">
        <f ca="1">IF('Row data'!$J150="",DATEDIF('Row data'!$L150,TODAY(),"y"),"0")</f>
        <v>0</v>
      </c>
      <c r="N150" s="35" t="s">
        <v>42</v>
      </c>
      <c r="O150" s="35" t="s">
        <v>43</v>
      </c>
      <c r="P150" s="39" t="s">
        <v>44</v>
      </c>
      <c r="Q150" s="39">
        <v>25461</v>
      </c>
      <c r="R150" s="39">
        <v>25461</v>
      </c>
      <c r="S150" s="39">
        <v>15277</v>
      </c>
      <c r="T150" s="39">
        <v>7638</v>
      </c>
      <c r="U150" s="39">
        <v>1018</v>
      </c>
      <c r="V150" s="39">
        <v>764</v>
      </c>
      <c r="W150" s="39">
        <v>0</v>
      </c>
      <c r="X150" s="39">
        <v>0</v>
      </c>
      <c r="Y150" s="39">
        <v>764</v>
      </c>
      <c r="Z150" s="39">
        <v>764</v>
      </c>
      <c r="AA150" s="39">
        <v>0</v>
      </c>
      <c r="AB150" s="39">
        <v>0</v>
      </c>
      <c r="AC150" s="39">
        <v>0</v>
      </c>
      <c r="AD150" s="39">
        <v>0</v>
      </c>
      <c r="AE150" s="39">
        <v>0</v>
      </c>
      <c r="AF150" s="39">
        <v>0</v>
      </c>
      <c r="AG150" s="39">
        <v>5000</v>
      </c>
      <c r="AH150" s="39">
        <v>0</v>
      </c>
      <c r="AI150" s="39">
        <v>0</v>
      </c>
      <c r="AJ150" s="39">
        <f>'Row data'!$S150+'Row data'!$T150+'Row data'!$U150+'Row data'!$W150+'Row data'!$X150+'Row data'!$Y150+'Row data'!$Z150+'Row data'!$AA150+'Row data'!$AB150+'Row data'!$AD150-'Row data'!$AC150-'Row data'!$AE150-'Row data'!$AF150-'Row data'!$AG150-'Row data'!$AH150-'Row data'!$AI150</f>
        <v>20461</v>
      </c>
      <c r="AK150" s="39">
        <v>20461</v>
      </c>
      <c r="AL150" s="39">
        <v>0</v>
      </c>
    </row>
    <row r="151" spans="1:38" x14ac:dyDescent="0.3">
      <c r="A151" s="40">
        <v>150</v>
      </c>
      <c r="B151" s="35" t="s">
        <v>375</v>
      </c>
      <c r="C151" s="35">
        <v>8498230</v>
      </c>
      <c r="D151" s="36" t="s">
        <v>436</v>
      </c>
      <c r="E151" s="35" t="s">
        <v>71</v>
      </c>
      <c r="F151" s="35" t="s">
        <v>94</v>
      </c>
      <c r="G151" s="35" t="s">
        <v>437</v>
      </c>
      <c r="H151" s="37" t="s">
        <v>438</v>
      </c>
      <c r="I151" s="38">
        <v>39541</v>
      </c>
      <c r="J151" s="38">
        <v>44670</v>
      </c>
      <c r="K151" s="17">
        <f>YEAR('Row data'!$J151)</f>
        <v>2022</v>
      </c>
      <c r="L151" s="38">
        <v>31886</v>
      </c>
      <c r="M151" s="35" t="str">
        <f ca="1">IF('Row data'!$J151="",DATEDIF('Row data'!$L151,TODAY(),"y"),"0")</f>
        <v>0</v>
      </c>
      <c r="N151" s="35" t="s">
        <v>42</v>
      </c>
      <c r="O151" s="35" t="s">
        <v>43</v>
      </c>
      <c r="P151" s="39" t="s">
        <v>44</v>
      </c>
      <c r="Q151" s="39">
        <v>22345</v>
      </c>
      <c r="R151" s="39">
        <v>17545</v>
      </c>
      <c r="S151" s="39">
        <v>13407</v>
      </c>
      <c r="T151" s="39">
        <v>6704</v>
      </c>
      <c r="U151" s="39">
        <v>894</v>
      </c>
      <c r="V151" s="39">
        <v>670</v>
      </c>
      <c r="W151" s="39">
        <v>0</v>
      </c>
      <c r="X151" s="39">
        <v>0</v>
      </c>
      <c r="Y151" s="39">
        <v>670</v>
      </c>
      <c r="Z151" s="39">
        <v>670</v>
      </c>
      <c r="AA151" s="39">
        <v>0</v>
      </c>
      <c r="AB151" s="39">
        <v>0</v>
      </c>
      <c r="AC151" s="39">
        <v>-4800</v>
      </c>
      <c r="AD151" s="39">
        <v>0</v>
      </c>
      <c r="AE151" s="39">
        <v>0</v>
      </c>
      <c r="AF151" s="39">
        <v>0</v>
      </c>
      <c r="AG151" s="39">
        <v>1000</v>
      </c>
      <c r="AH151" s="39">
        <v>0</v>
      </c>
      <c r="AI151" s="39">
        <v>0</v>
      </c>
      <c r="AJ151" s="39">
        <f>'Row data'!$S151+'Row data'!$T151+'Row data'!$U151+'Row data'!$W151+'Row data'!$X151+'Row data'!$Y151+'Row data'!$Z151+'Row data'!$AA151+'Row data'!$AB151+'Row data'!$AD151-'Row data'!$AC151-'Row data'!$AE151-'Row data'!$AF151-'Row data'!$AG151-'Row data'!$AH151-'Row data'!$AI151</f>
        <v>26145</v>
      </c>
      <c r="AK151" s="39">
        <v>16545</v>
      </c>
      <c r="AL151" s="39">
        <v>0</v>
      </c>
    </row>
    <row r="152" spans="1:38" x14ac:dyDescent="0.3">
      <c r="A152" s="40">
        <v>151</v>
      </c>
      <c r="B152" s="35" t="s">
        <v>375</v>
      </c>
      <c r="C152" s="35">
        <v>7377773</v>
      </c>
      <c r="D152" s="36" t="s">
        <v>439</v>
      </c>
      <c r="E152" s="35" t="s">
        <v>71</v>
      </c>
      <c r="F152" s="35" t="s">
        <v>94</v>
      </c>
      <c r="G152" s="35" t="s">
        <v>437</v>
      </c>
      <c r="H152" s="37" t="s">
        <v>440</v>
      </c>
      <c r="I152" s="38">
        <v>41772</v>
      </c>
      <c r="J152" s="38">
        <v>44562</v>
      </c>
      <c r="K152" s="17">
        <f>YEAR('Row data'!$J152)</f>
        <v>2022</v>
      </c>
      <c r="L152" s="38">
        <v>27125</v>
      </c>
      <c r="M152" s="35" t="str">
        <f ca="1">IF('Row data'!$J152="",DATEDIF('Row data'!$L152,TODAY(),"y"),"0")</f>
        <v>0</v>
      </c>
      <c r="N152" s="35" t="s">
        <v>42</v>
      </c>
      <c r="O152" s="35" t="s">
        <v>43</v>
      </c>
      <c r="P152" s="39" t="s">
        <v>44</v>
      </c>
      <c r="Q152" s="39">
        <v>18586</v>
      </c>
      <c r="R152" s="39">
        <v>18586</v>
      </c>
      <c r="S152" s="39">
        <v>11151</v>
      </c>
      <c r="T152" s="39">
        <v>5576</v>
      </c>
      <c r="U152" s="39">
        <v>743</v>
      </c>
      <c r="V152" s="39">
        <v>558</v>
      </c>
      <c r="W152" s="39">
        <v>0</v>
      </c>
      <c r="X152" s="39">
        <v>0</v>
      </c>
      <c r="Y152" s="39">
        <v>558</v>
      </c>
      <c r="Z152" s="39">
        <v>558</v>
      </c>
      <c r="AA152" s="39">
        <v>0</v>
      </c>
      <c r="AB152" s="39">
        <v>0</v>
      </c>
      <c r="AC152" s="39">
        <v>0</v>
      </c>
      <c r="AD152" s="39">
        <v>0</v>
      </c>
      <c r="AE152" s="39">
        <v>0</v>
      </c>
      <c r="AF152" s="39">
        <v>0</v>
      </c>
      <c r="AG152" s="39">
        <v>0</v>
      </c>
      <c r="AH152" s="39">
        <v>0</v>
      </c>
      <c r="AI152" s="39">
        <v>0</v>
      </c>
      <c r="AJ152" s="39">
        <f>'Row data'!$S152+'Row data'!$T152+'Row data'!$U152+'Row data'!$W152+'Row data'!$X152+'Row data'!$Y152+'Row data'!$Z152+'Row data'!$AA152+'Row data'!$AB152+'Row data'!$AD152-'Row data'!$AC152-'Row data'!$AE152-'Row data'!$AF152-'Row data'!$AG152-'Row data'!$AH152-'Row data'!$AI152</f>
        <v>18586</v>
      </c>
      <c r="AK152" s="39">
        <v>18586</v>
      </c>
      <c r="AL152" s="39">
        <v>0</v>
      </c>
    </row>
    <row r="153" spans="1:38" x14ac:dyDescent="0.3">
      <c r="A153" s="40">
        <v>152</v>
      </c>
      <c r="B153" s="35" t="s">
        <v>375</v>
      </c>
      <c r="C153" s="35">
        <v>5435280</v>
      </c>
      <c r="D153" s="36" t="s">
        <v>441</v>
      </c>
      <c r="E153" s="35" t="s">
        <v>71</v>
      </c>
      <c r="F153" s="35" t="s">
        <v>106</v>
      </c>
      <c r="G153" s="35" t="s">
        <v>107</v>
      </c>
      <c r="H153" s="37" t="s">
        <v>442</v>
      </c>
      <c r="I153" s="38">
        <v>45549</v>
      </c>
      <c r="J153" s="38">
        <v>44562</v>
      </c>
      <c r="K153" s="17">
        <f>YEAR('Row data'!$J153)</f>
        <v>2022</v>
      </c>
      <c r="L153" s="38">
        <v>27395</v>
      </c>
      <c r="M153" s="35" t="str">
        <f ca="1">IF('Row data'!$J153="",DATEDIF('Row data'!$L153,TODAY(),"y"),"0")</f>
        <v>0</v>
      </c>
      <c r="N153" s="35" t="s">
        <v>42</v>
      </c>
      <c r="O153" s="35" t="s">
        <v>43</v>
      </c>
      <c r="P153" s="39" t="s">
        <v>44</v>
      </c>
      <c r="Q153" s="39">
        <v>18000</v>
      </c>
      <c r="R153" s="39">
        <v>17453</v>
      </c>
      <c r="S153" s="39">
        <v>10440</v>
      </c>
      <c r="T153" s="39">
        <v>5220</v>
      </c>
      <c r="U153" s="39">
        <v>1044</v>
      </c>
      <c r="V153" s="39">
        <v>1296</v>
      </c>
      <c r="W153" s="39">
        <v>0</v>
      </c>
      <c r="X153" s="39">
        <v>0</v>
      </c>
      <c r="Y153" s="39">
        <v>0</v>
      </c>
      <c r="Z153" s="39">
        <v>1296</v>
      </c>
      <c r="AA153" s="39">
        <v>0</v>
      </c>
      <c r="AB153" s="39">
        <v>0</v>
      </c>
      <c r="AC153" s="39">
        <v>-174</v>
      </c>
      <c r="AD153" s="39">
        <v>0</v>
      </c>
      <c r="AE153" s="39">
        <v>0</v>
      </c>
      <c r="AF153" s="39">
        <v>373</v>
      </c>
      <c r="AG153" s="39">
        <v>0</v>
      </c>
      <c r="AH153" s="39">
        <v>0</v>
      </c>
      <c r="AI153" s="39">
        <v>0</v>
      </c>
      <c r="AJ153" s="39">
        <f>'Row data'!$S153+'Row data'!$T153+'Row data'!$U153+'Row data'!$W153+'Row data'!$X153+'Row data'!$Y153+'Row data'!$Z153+'Row data'!$AA153+'Row data'!$AB153+'Row data'!$AD153-'Row data'!$AC153-'Row data'!$AE153-'Row data'!$AF153-'Row data'!$AG153-'Row data'!$AH153-'Row data'!$AI153</f>
        <v>17801</v>
      </c>
      <c r="AK153" s="39">
        <v>17453</v>
      </c>
      <c r="AL153" s="39">
        <v>0</v>
      </c>
    </row>
    <row r="154" spans="1:38" x14ac:dyDescent="0.3">
      <c r="A154" s="40">
        <v>153</v>
      </c>
      <c r="B154" s="35" t="s">
        <v>375</v>
      </c>
      <c r="C154" s="35">
        <v>5787443</v>
      </c>
      <c r="D154" s="36" t="s">
        <v>443</v>
      </c>
      <c r="E154" s="35" t="s">
        <v>71</v>
      </c>
      <c r="F154" s="35" t="s">
        <v>106</v>
      </c>
      <c r="G154" s="35" t="s">
        <v>107</v>
      </c>
      <c r="H154" s="37" t="s">
        <v>444</v>
      </c>
      <c r="I154" s="38">
        <v>45566</v>
      </c>
      <c r="J154" s="38">
        <v>44562</v>
      </c>
      <c r="K154" s="17">
        <f>YEAR('Row data'!$J154)</f>
        <v>2022</v>
      </c>
      <c r="L154" s="38">
        <v>26247</v>
      </c>
      <c r="M154" s="35" t="str">
        <f ca="1">IF('Row data'!$J154="",DATEDIF('Row data'!$L154,TODAY(),"y"),"0")</f>
        <v>0</v>
      </c>
      <c r="N154" s="35" t="s">
        <v>42</v>
      </c>
      <c r="O154" s="35" t="s">
        <v>43</v>
      </c>
      <c r="P154" s="39" t="s">
        <v>44</v>
      </c>
      <c r="Q154" s="39">
        <v>18000</v>
      </c>
      <c r="R154" s="39">
        <v>18000</v>
      </c>
      <c r="S154" s="39">
        <v>10440</v>
      </c>
      <c r="T154" s="39">
        <v>5220</v>
      </c>
      <c r="U154" s="39">
        <v>1044</v>
      </c>
      <c r="V154" s="39">
        <v>1296</v>
      </c>
      <c r="W154" s="39">
        <v>0</v>
      </c>
      <c r="X154" s="39">
        <v>0</v>
      </c>
      <c r="Y154" s="39">
        <v>0</v>
      </c>
      <c r="Z154" s="39">
        <v>1296</v>
      </c>
      <c r="AA154" s="39">
        <v>0</v>
      </c>
      <c r="AB154" s="39">
        <v>0</v>
      </c>
      <c r="AC154" s="39">
        <v>0</v>
      </c>
      <c r="AD154" s="39">
        <v>0</v>
      </c>
      <c r="AE154" s="39">
        <v>0</v>
      </c>
      <c r="AF154" s="39">
        <v>0</v>
      </c>
      <c r="AG154" s="39">
        <v>0</v>
      </c>
      <c r="AH154" s="39">
        <v>0</v>
      </c>
      <c r="AI154" s="39">
        <v>0</v>
      </c>
      <c r="AJ154" s="39">
        <f>'Row data'!$S154+'Row data'!$T154+'Row data'!$U154+'Row data'!$W154+'Row data'!$X154+'Row data'!$Y154+'Row data'!$Z154+'Row data'!$AA154+'Row data'!$AB154+'Row data'!$AD154-'Row data'!$AC154-'Row data'!$AE154-'Row data'!$AF154-'Row data'!$AG154-'Row data'!$AH154-'Row data'!$AI154</f>
        <v>18000</v>
      </c>
      <c r="AK154" s="39">
        <v>18000</v>
      </c>
      <c r="AL154" s="39">
        <v>0</v>
      </c>
    </row>
    <row r="155" spans="1:38" x14ac:dyDescent="0.3">
      <c r="A155" s="40">
        <v>154</v>
      </c>
      <c r="B155" s="35" t="s">
        <v>375</v>
      </c>
      <c r="C155" s="35">
        <v>6610072</v>
      </c>
      <c r="D155" s="36" t="s">
        <v>445</v>
      </c>
      <c r="E155" s="35" t="s">
        <v>71</v>
      </c>
      <c r="F155" s="35" t="s">
        <v>106</v>
      </c>
      <c r="G155" s="35" t="s">
        <v>107</v>
      </c>
      <c r="H155" s="37" t="s">
        <v>446</v>
      </c>
      <c r="I155" s="38">
        <v>37031</v>
      </c>
      <c r="J155" s="38">
        <v>44853</v>
      </c>
      <c r="K155" s="17">
        <f>YEAR('Row data'!$J155)</f>
        <v>2022</v>
      </c>
      <c r="L155" s="38">
        <v>30243</v>
      </c>
      <c r="M155" s="35" t="str">
        <f ca="1">IF('Row data'!$J155="",DATEDIF('Row data'!$L155,TODAY(),"y"),"0")</f>
        <v>0</v>
      </c>
      <c r="N155" s="35" t="s">
        <v>42</v>
      </c>
      <c r="O155" s="35" t="s">
        <v>43</v>
      </c>
      <c r="P155" s="39" t="s">
        <v>44</v>
      </c>
      <c r="Q155" s="39">
        <v>30521</v>
      </c>
      <c r="R155" s="39">
        <v>30521</v>
      </c>
      <c r="S155" s="39">
        <v>18312</v>
      </c>
      <c r="T155" s="39">
        <v>9156</v>
      </c>
      <c r="U155" s="39">
        <v>1221</v>
      </c>
      <c r="V155" s="39">
        <v>916</v>
      </c>
      <c r="W155" s="39">
        <v>0</v>
      </c>
      <c r="X155" s="39">
        <v>0</v>
      </c>
      <c r="Y155" s="39">
        <v>916</v>
      </c>
      <c r="Z155" s="39">
        <v>916</v>
      </c>
      <c r="AA155" s="39">
        <v>0</v>
      </c>
      <c r="AB155" s="39">
        <v>0</v>
      </c>
      <c r="AC155" s="39">
        <v>0</v>
      </c>
      <c r="AD155" s="39">
        <v>0</v>
      </c>
      <c r="AE155" s="39">
        <v>0</v>
      </c>
      <c r="AF155" s="39">
        <v>0</v>
      </c>
      <c r="AG155" s="39">
        <v>0</v>
      </c>
      <c r="AH155" s="39">
        <v>0</v>
      </c>
      <c r="AI155" s="39">
        <v>0</v>
      </c>
      <c r="AJ155" s="39">
        <f>'Row data'!$S155+'Row data'!$T155+'Row data'!$U155+'Row data'!$W155+'Row data'!$X155+'Row data'!$Y155+'Row data'!$Z155+'Row data'!$AA155+'Row data'!$AB155+'Row data'!$AD155-'Row data'!$AC155-'Row data'!$AE155-'Row data'!$AF155-'Row data'!$AG155-'Row data'!$AH155-'Row data'!$AI155</f>
        <v>30521</v>
      </c>
      <c r="AK155" s="39">
        <v>30521</v>
      </c>
      <c r="AL155" s="39">
        <v>0</v>
      </c>
    </row>
    <row r="156" spans="1:38" x14ac:dyDescent="0.3">
      <c r="A156" s="40">
        <v>155</v>
      </c>
      <c r="B156" s="35" t="s">
        <v>375</v>
      </c>
      <c r="C156" s="35">
        <v>7598218</v>
      </c>
      <c r="D156" s="36" t="s">
        <v>447</v>
      </c>
      <c r="E156" s="35" t="s">
        <v>71</v>
      </c>
      <c r="F156" s="35" t="s">
        <v>106</v>
      </c>
      <c r="G156" s="35" t="s">
        <v>107</v>
      </c>
      <c r="H156" s="37" t="s">
        <v>448</v>
      </c>
      <c r="I156" s="38">
        <v>43070</v>
      </c>
      <c r="J156" s="38">
        <v>44696</v>
      </c>
      <c r="K156" s="17">
        <f>YEAR('Row data'!$J156)</f>
        <v>2022</v>
      </c>
      <c r="L156" s="38">
        <v>30451</v>
      </c>
      <c r="M156" s="35" t="str">
        <f ca="1">IF('Row data'!$J156="",DATEDIF('Row data'!$L156,TODAY(),"y"),"0")</f>
        <v>0</v>
      </c>
      <c r="N156" s="35" t="s">
        <v>42</v>
      </c>
      <c r="O156" s="35" t="s">
        <v>43</v>
      </c>
      <c r="P156" s="39" t="s">
        <v>44</v>
      </c>
      <c r="Q156" s="39">
        <v>26705</v>
      </c>
      <c r="R156" s="39">
        <v>26705</v>
      </c>
      <c r="S156" s="39">
        <v>16023</v>
      </c>
      <c r="T156" s="39">
        <v>8012</v>
      </c>
      <c r="U156" s="39">
        <v>1068</v>
      </c>
      <c r="V156" s="39">
        <v>801</v>
      </c>
      <c r="W156" s="39">
        <v>0</v>
      </c>
      <c r="X156" s="39">
        <v>0</v>
      </c>
      <c r="Y156" s="39">
        <v>801</v>
      </c>
      <c r="Z156" s="39">
        <v>801</v>
      </c>
      <c r="AA156" s="39">
        <v>0</v>
      </c>
      <c r="AB156" s="39">
        <v>0</v>
      </c>
      <c r="AC156" s="39">
        <v>0</v>
      </c>
      <c r="AD156" s="39">
        <v>0</v>
      </c>
      <c r="AE156" s="39">
        <v>0</v>
      </c>
      <c r="AF156" s="39">
        <v>0</v>
      </c>
      <c r="AG156" s="39">
        <v>0</v>
      </c>
      <c r="AH156" s="39">
        <v>0</v>
      </c>
      <c r="AI156" s="39">
        <v>0</v>
      </c>
      <c r="AJ156" s="39">
        <f>'Row data'!$S156+'Row data'!$T156+'Row data'!$U156+'Row data'!$W156+'Row data'!$X156+'Row data'!$Y156+'Row data'!$Z156+'Row data'!$AA156+'Row data'!$AB156+'Row data'!$AD156-'Row data'!$AC156-'Row data'!$AE156-'Row data'!$AF156-'Row data'!$AG156-'Row data'!$AH156-'Row data'!$AI156</f>
        <v>26705</v>
      </c>
      <c r="AK156" s="39">
        <v>26705</v>
      </c>
      <c r="AL156" s="39">
        <v>0</v>
      </c>
    </row>
    <row r="157" spans="1:38" x14ac:dyDescent="0.3">
      <c r="A157" s="40">
        <v>156</v>
      </c>
      <c r="B157" s="35" t="s">
        <v>375</v>
      </c>
      <c r="C157" s="35">
        <v>8678054</v>
      </c>
      <c r="D157" s="36" t="s">
        <v>449</v>
      </c>
      <c r="E157" s="35" t="s">
        <v>71</v>
      </c>
      <c r="F157" s="35" t="s">
        <v>106</v>
      </c>
      <c r="G157" s="35" t="s">
        <v>450</v>
      </c>
      <c r="H157" s="37" t="s">
        <v>451</v>
      </c>
      <c r="I157" s="38">
        <v>44353</v>
      </c>
      <c r="J157" s="38"/>
      <c r="K157" s="17"/>
      <c r="L157" s="38">
        <v>37475</v>
      </c>
      <c r="M157" s="35">
        <f ca="1">IF('Row data'!$J157="",DATEDIF('Row data'!$L157,TODAY(),"y"),"0")</f>
        <v>24</v>
      </c>
      <c r="N157" s="35" t="s">
        <v>42</v>
      </c>
      <c r="O157" s="35" t="s">
        <v>43</v>
      </c>
      <c r="P157" s="39" t="s">
        <v>44</v>
      </c>
      <c r="Q157" s="39">
        <v>15260</v>
      </c>
      <c r="R157" s="39">
        <v>15260</v>
      </c>
      <c r="S157" s="39">
        <v>9156</v>
      </c>
      <c r="T157" s="39">
        <v>4578</v>
      </c>
      <c r="U157" s="39">
        <v>610</v>
      </c>
      <c r="V157" s="39">
        <v>458</v>
      </c>
      <c r="W157" s="39">
        <v>0</v>
      </c>
      <c r="X157" s="39">
        <v>0</v>
      </c>
      <c r="Y157" s="39">
        <v>458</v>
      </c>
      <c r="Z157" s="39">
        <v>458</v>
      </c>
      <c r="AA157" s="39">
        <v>0</v>
      </c>
      <c r="AB157" s="39">
        <v>0</v>
      </c>
      <c r="AC157" s="39">
        <v>0</v>
      </c>
      <c r="AD157" s="39">
        <v>0</v>
      </c>
      <c r="AE157" s="39">
        <v>0</v>
      </c>
      <c r="AF157" s="39">
        <v>0</v>
      </c>
      <c r="AG157" s="39">
        <v>0</v>
      </c>
      <c r="AH157" s="39">
        <v>0</v>
      </c>
      <c r="AI157" s="39">
        <v>0</v>
      </c>
      <c r="AJ157" s="39">
        <f>'Row data'!$S157+'Row data'!$T157+'Row data'!$U157+'Row data'!$W157+'Row data'!$X157+'Row data'!$Y157+'Row data'!$Z157+'Row data'!$AA157+'Row data'!$AB157+'Row data'!$AD157-'Row data'!$AC157-'Row data'!$AE157-'Row data'!$AF157-'Row data'!$AG157-'Row data'!$AH157-'Row data'!$AI157</f>
        <v>15260</v>
      </c>
      <c r="AK157" s="39">
        <v>15260</v>
      </c>
      <c r="AL157" s="39">
        <v>0</v>
      </c>
    </row>
    <row r="158" spans="1:38" x14ac:dyDescent="0.3">
      <c r="A158" s="40">
        <v>157</v>
      </c>
      <c r="B158" s="35" t="s">
        <v>375</v>
      </c>
      <c r="C158" s="35">
        <v>5823974</v>
      </c>
      <c r="D158" s="36" t="s">
        <v>452</v>
      </c>
      <c r="E158" s="35" t="s">
        <v>71</v>
      </c>
      <c r="F158" s="35" t="s">
        <v>106</v>
      </c>
      <c r="G158" s="35" t="s">
        <v>450</v>
      </c>
      <c r="H158" s="37" t="s">
        <v>453</v>
      </c>
      <c r="I158" s="38">
        <v>44867</v>
      </c>
      <c r="J158" s="38"/>
      <c r="K158" s="17"/>
      <c r="L158" s="38">
        <v>30135</v>
      </c>
      <c r="M158" s="35">
        <f ca="1">IF('Row data'!$J158="",DATEDIF('Row data'!$L158,TODAY(),"y"),"0")</f>
        <v>44</v>
      </c>
      <c r="N158" s="35" t="s">
        <v>42</v>
      </c>
      <c r="O158" s="35" t="s">
        <v>43</v>
      </c>
      <c r="P158" s="39" t="s">
        <v>44</v>
      </c>
      <c r="Q158" s="39">
        <v>15260</v>
      </c>
      <c r="R158" s="39">
        <v>15260</v>
      </c>
      <c r="S158" s="39">
        <v>9156</v>
      </c>
      <c r="T158" s="39">
        <v>4578</v>
      </c>
      <c r="U158" s="39">
        <v>610</v>
      </c>
      <c r="V158" s="39">
        <v>458</v>
      </c>
      <c r="W158" s="39">
        <v>0</v>
      </c>
      <c r="X158" s="39">
        <v>0</v>
      </c>
      <c r="Y158" s="39">
        <v>458</v>
      </c>
      <c r="Z158" s="39">
        <v>458</v>
      </c>
      <c r="AA158" s="39">
        <v>0</v>
      </c>
      <c r="AB158" s="39">
        <v>0</v>
      </c>
      <c r="AC158" s="39">
        <v>0</v>
      </c>
      <c r="AD158" s="39">
        <v>0</v>
      </c>
      <c r="AE158" s="39">
        <v>0</v>
      </c>
      <c r="AF158" s="39">
        <v>0</v>
      </c>
      <c r="AG158" s="39">
        <v>0</v>
      </c>
      <c r="AH158" s="39">
        <v>0</v>
      </c>
      <c r="AI158" s="39">
        <v>0</v>
      </c>
      <c r="AJ158" s="39">
        <f>'Row data'!$S158+'Row data'!$T158+'Row data'!$U158+'Row data'!$W158+'Row data'!$X158+'Row data'!$Y158+'Row data'!$Z158+'Row data'!$AA158+'Row data'!$AB158+'Row data'!$AD158-'Row data'!$AC158-'Row data'!$AE158-'Row data'!$AF158-'Row data'!$AG158-'Row data'!$AH158-'Row data'!$AI158</f>
        <v>15260</v>
      </c>
      <c r="AK158" s="39">
        <v>15260</v>
      </c>
      <c r="AL158" s="39">
        <v>0</v>
      </c>
    </row>
    <row r="159" spans="1:38" x14ac:dyDescent="0.3">
      <c r="A159" s="40">
        <v>158</v>
      </c>
      <c r="B159" s="35" t="s">
        <v>375</v>
      </c>
      <c r="C159" s="35">
        <v>5430866</v>
      </c>
      <c r="D159" s="36" t="s">
        <v>454</v>
      </c>
      <c r="E159" s="35" t="s">
        <v>71</v>
      </c>
      <c r="F159" s="35" t="s">
        <v>106</v>
      </c>
      <c r="G159" s="35" t="s">
        <v>107</v>
      </c>
      <c r="H159" s="37" t="s">
        <v>455</v>
      </c>
      <c r="I159" s="38">
        <v>44614</v>
      </c>
      <c r="J159" s="38"/>
      <c r="K159" s="17"/>
      <c r="L159" s="38">
        <v>31048</v>
      </c>
      <c r="M159" s="35">
        <f ca="1">IF('Row data'!$J159="",DATEDIF('Row data'!$L159,TODAY(),"y"),"0")</f>
        <v>41</v>
      </c>
      <c r="N159" s="35" t="s">
        <v>42</v>
      </c>
      <c r="O159" s="35" t="s">
        <v>43</v>
      </c>
      <c r="P159" s="39" t="s">
        <v>44</v>
      </c>
      <c r="Q159" s="39">
        <v>21800</v>
      </c>
      <c r="R159" s="39">
        <v>21800</v>
      </c>
      <c r="S159" s="39">
        <v>13080</v>
      </c>
      <c r="T159" s="39">
        <v>6540</v>
      </c>
      <c r="U159" s="39">
        <v>872</v>
      </c>
      <c r="V159" s="39">
        <v>654</v>
      </c>
      <c r="W159" s="39">
        <v>0</v>
      </c>
      <c r="X159" s="39">
        <v>0</v>
      </c>
      <c r="Y159" s="39">
        <v>654</v>
      </c>
      <c r="Z159" s="39">
        <v>654</v>
      </c>
      <c r="AA159" s="39">
        <v>0</v>
      </c>
      <c r="AB159" s="39">
        <v>0</v>
      </c>
      <c r="AC159" s="39">
        <v>0</v>
      </c>
      <c r="AD159" s="39">
        <v>0</v>
      </c>
      <c r="AE159" s="39">
        <v>0</v>
      </c>
      <c r="AF159" s="39">
        <v>0</v>
      </c>
      <c r="AG159" s="39">
        <v>0</v>
      </c>
      <c r="AH159" s="39">
        <v>0</v>
      </c>
      <c r="AI159" s="39">
        <v>0</v>
      </c>
      <c r="AJ159" s="39">
        <f>'Row data'!$S159+'Row data'!$T159+'Row data'!$U159+'Row data'!$W159+'Row data'!$X159+'Row data'!$Y159+'Row data'!$Z159+'Row data'!$AA159+'Row data'!$AB159+'Row data'!$AD159-'Row data'!$AC159-'Row data'!$AE159-'Row data'!$AF159-'Row data'!$AG159-'Row data'!$AH159-'Row data'!$AI159</f>
        <v>21800</v>
      </c>
      <c r="AK159" s="39">
        <v>21800</v>
      </c>
      <c r="AL159" s="39">
        <v>0</v>
      </c>
    </row>
    <row r="160" spans="1:38" x14ac:dyDescent="0.3">
      <c r="A160" s="40">
        <v>159</v>
      </c>
      <c r="B160" s="35" t="s">
        <v>375</v>
      </c>
      <c r="C160" s="35">
        <v>6607778</v>
      </c>
      <c r="D160" s="36" t="s">
        <v>456</v>
      </c>
      <c r="E160" s="35" t="s">
        <v>71</v>
      </c>
      <c r="F160" s="35" t="s">
        <v>106</v>
      </c>
      <c r="G160" s="35" t="s">
        <v>450</v>
      </c>
      <c r="H160" s="37" t="s">
        <v>457</v>
      </c>
      <c r="I160" s="38">
        <v>42413</v>
      </c>
      <c r="J160" s="38"/>
      <c r="K160" s="17"/>
      <c r="L160" s="38">
        <v>35526</v>
      </c>
      <c r="M160" s="35">
        <f ca="1">IF('Row data'!$J160="",DATEDIF('Row data'!$L160,TODAY(),"y"),"0")</f>
        <v>29</v>
      </c>
      <c r="N160" s="35" t="s">
        <v>42</v>
      </c>
      <c r="O160" s="35" t="s">
        <v>43</v>
      </c>
      <c r="P160" s="39" t="s">
        <v>44</v>
      </c>
      <c r="Q160" s="39">
        <v>15805</v>
      </c>
      <c r="R160" s="39">
        <v>15805</v>
      </c>
      <c r="S160" s="39">
        <v>9483</v>
      </c>
      <c r="T160" s="39">
        <v>4742</v>
      </c>
      <c r="U160" s="39">
        <v>632</v>
      </c>
      <c r="V160" s="39">
        <v>474</v>
      </c>
      <c r="W160" s="39">
        <v>0</v>
      </c>
      <c r="X160" s="39">
        <v>0</v>
      </c>
      <c r="Y160" s="39">
        <v>474</v>
      </c>
      <c r="Z160" s="39">
        <v>474</v>
      </c>
      <c r="AA160" s="39">
        <v>0</v>
      </c>
      <c r="AB160" s="39">
        <v>0</v>
      </c>
      <c r="AC160" s="39">
        <v>0</v>
      </c>
      <c r="AD160" s="39">
        <v>0</v>
      </c>
      <c r="AE160" s="39">
        <v>0</v>
      </c>
      <c r="AF160" s="39">
        <v>0</v>
      </c>
      <c r="AG160" s="39">
        <v>1000</v>
      </c>
      <c r="AH160" s="39">
        <v>0</v>
      </c>
      <c r="AI160" s="39">
        <v>0</v>
      </c>
      <c r="AJ160" s="39">
        <f>'Row data'!$S160+'Row data'!$T160+'Row data'!$U160+'Row data'!$W160+'Row data'!$X160+'Row data'!$Y160+'Row data'!$Z160+'Row data'!$AA160+'Row data'!$AB160+'Row data'!$AD160-'Row data'!$AC160-'Row data'!$AE160-'Row data'!$AF160-'Row data'!$AG160-'Row data'!$AH160-'Row data'!$AI160</f>
        <v>14805</v>
      </c>
      <c r="AK160" s="39">
        <v>14805</v>
      </c>
      <c r="AL160" s="39">
        <v>0</v>
      </c>
    </row>
    <row r="161" spans="1:38" x14ac:dyDescent="0.3">
      <c r="A161" s="40">
        <v>160</v>
      </c>
      <c r="B161" s="35" t="s">
        <v>375</v>
      </c>
      <c r="C161" s="35">
        <v>9685706</v>
      </c>
      <c r="D161" s="36" t="s">
        <v>458</v>
      </c>
      <c r="E161" s="35" t="s">
        <v>71</v>
      </c>
      <c r="F161" s="35" t="s">
        <v>106</v>
      </c>
      <c r="G161" s="35" t="s">
        <v>450</v>
      </c>
      <c r="H161" s="37" t="s">
        <v>459</v>
      </c>
      <c r="I161" s="38">
        <v>45423</v>
      </c>
      <c r="J161" s="38">
        <v>44562</v>
      </c>
      <c r="K161" s="17">
        <f>YEAR('Row data'!$J161)</f>
        <v>2022</v>
      </c>
      <c r="L161" s="38">
        <v>34627</v>
      </c>
      <c r="M161" s="35" t="str">
        <f ca="1">IF('Row data'!$J161="",DATEDIF('Row data'!$L161,TODAY(),"y"),"0")</f>
        <v>0</v>
      </c>
      <c r="N161" s="35" t="s">
        <v>42</v>
      </c>
      <c r="O161" s="35" t="s">
        <v>43</v>
      </c>
      <c r="P161" s="39" t="s">
        <v>44</v>
      </c>
      <c r="Q161" s="39">
        <v>14000</v>
      </c>
      <c r="R161" s="39">
        <v>14000</v>
      </c>
      <c r="S161" s="39">
        <v>8400</v>
      </c>
      <c r="T161" s="39">
        <v>4200</v>
      </c>
      <c r="U161" s="39">
        <v>560</v>
      </c>
      <c r="V161" s="39">
        <v>420</v>
      </c>
      <c r="W161" s="39">
        <v>0</v>
      </c>
      <c r="X161" s="39">
        <v>0</v>
      </c>
      <c r="Y161" s="39">
        <v>420</v>
      </c>
      <c r="Z161" s="39">
        <v>420</v>
      </c>
      <c r="AA161" s="39">
        <v>0</v>
      </c>
      <c r="AB161" s="39">
        <v>0</v>
      </c>
      <c r="AC161" s="39">
        <v>0</v>
      </c>
      <c r="AD161" s="39">
        <v>0</v>
      </c>
      <c r="AE161" s="39">
        <v>0</v>
      </c>
      <c r="AF161" s="39">
        <v>0</v>
      </c>
      <c r="AG161" s="39">
        <v>0</v>
      </c>
      <c r="AH161" s="39">
        <v>0</v>
      </c>
      <c r="AI161" s="39">
        <v>0</v>
      </c>
      <c r="AJ161" s="39">
        <f>'Row data'!$S161+'Row data'!$T161+'Row data'!$U161+'Row data'!$W161+'Row data'!$X161+'Row data'!$Y161+'Row data'!$Z161+'Row data'!$AA161+'Row data'!$AB161+'Row data'!$AD161-'Row data'!$AC161-'Row data'!$AE161-'Row data'!$AF161-'Row data'!$AG161-'Row data'!$AH161-'Row data'!$AI161</f>
        <v>14000</v>
      </c>
      <c r="AK161" s="39">
        <v>14000</v>
      </c>
      <c r="AL161" s="39">
        <v>0</v>
      </c>
    </row>
    <row r="162" spans="1:38" x14ac:dyDescent="0.3">
      <c r="A162" s="40">
        <v>161</v>
      </c>
      <c r="B162" s="35" t="s">
        <v>375</v>
      </c>
      <c r="C162" s="35">
        <v>8709165</v>
      </c>
      <c r="D162" s="36" t="s">
        <v>460</v>
      </c>
      <c r="E162" s="35" t="s">
        <v>71</v>
      </c>
      <c r="F162" s="35" t="s">
        <v>106</v>
      </c>
      <c r="G162" s="35" t="s">
        <v>450</v>
      </c>
      <c r="H162" s="37" t="s">
        <v>461</v>
      </c>
      <c r="I162" s="38">
        <v>45141</v>
      </c>
      <c r="J162" s="38">
        <v>44562</v>
      </c>
      <c r="K162" s="17">
        <f>YEAR('Row data'!$J162)</f>
        <v>2022</v>
      </c>
      <c r="L162" s="38">
        <v>29927</v>
      </c>
      <c r="M162" s="35" t="str">
        <f ca="1">IF('Row data'!$J162="",DATEDIF('Row data'!$L162,TODAY(),"y"),"0")</f>
        <v>0</v>
      </c>
      <c r="N162" s="35" t="s">
        <v>42</v>
      </c>
      <c r="O162" s="35" t="s">
        <v>43</v>
      </c>
      <c r="P162" s="39" t="s">
        <v>44</v>
      </c>
      <c r="Q162" s="39">
        <v>15260</v>
      </c>
      <c r="R162" s="39">
        <v>15260</v>
      </c>
      <c r="S162" s="39">
        <v>9156</v>
      </c>
      <c r="T162" s="39">
        <v>4578</v>
      </c>
      <c r="U162" s="39">
        <v>610</v>
      </c>
      <c r="V162" s="39">
        <v>458</v>
      </c>
      <c r="W162" s="39">
        <v>0</v>
      </c>
      <c r="X162" s="39">
        <v>0</v>
      </c>
      <c r="Y162" s="39">
        <v>458</v>
      </c>
      <c r="Z162" s="39">
        <v>458</v>
      </c>
      <c r="AA162" s="39">
        <v>0</v>
      </c>
      <c r="AB162" s="39">
        <v>0</v>
      </c>
      <c r="AC162" s="39">
        <v>0</v>
      </c>
      <c r="AD162" s="39">
        <v>0</v>
      </c>
      <c r="AE162" s="39">
        <v>0</v>
      </c>
      <c r="AF162" s="39">
        <v>0</v>
      </c>
      <c r="AG162" s="39">
        <v>0</v>
      </c>
      <c r="AH162" s="39">
        <v>0</v>
      </c>
      <c r="AI162" s="39">
        <v>0</v>
      </c>
      <c r="AJ162" s="39">
        <f>'Row data'!$S162+'Row data'!$T162+'Row data'!$U162+'Row data'!$W162+'Row data'!$X162+'Row data'!$Y162+'Row data'!$Z162+'Row data'!$AA162+'Row data'!$AB162+'Row data'!$AD162-'Row data'!$AC162-'Row data'!$AE162-'Row data'!$AF162-'Row data'!$AG162-'Row data'!$AH162-'Row data'!$AI162</f>
        <v>15260</v>
      </c>
      <c r="AK162" s="39">
        <v>15260</v>
      </c>
      <c r="AL162" s="39">
        <v>0</v>
      </c>
    </row>
    <row r="163" spans="1:38" x14ac:dyDescent="0.3">
      <c r="A163" s="40">
        <v>162</v>
      </c>
      <c r="B163" s="35" t="s">
        <v>375</v>
      </c>
      <c r="C163" s="35">
        <v>5435750</v>
      </c>
      <c r="D163" s="36" t="s">
        <v>462</v>
      </c>
      <c r="E163" s="35" t="s">
        <v>71</v>
      </c>
      <c r="F163" s="35" t="s">
        <v>106</v>
      </c>
      <c r="G163" s="35" t="s">
        <v>107</v>
      </c>
      <c r="H163" s="37" t="s">
        <v>463</v>
      </c>
      <c r="I163" s="38">
        <v>45148</v>
      </c>
      <c r="J163" s="38">
        <v>44562</v>
      </c>
      <c r="K163" s="17">
        <f>YEAR('Row data'!$J163)</f>
        <v>2022</v>
      </c>
      <c r="L163" s="38">
        <v>33390</v>
      </c>
      <c r="M163" s="35" t="str">
        <f ca="1">IF('Row data'!$J163="",DATEDIF('Row data'!$L163,TODAY(),"y"),"0")</f>
        <v>0</v>
      </c>
      <c r="N163" s="35" t="s">
        <v>42</v>
      </c>
      <c r="O163" s="35" t="s">
        <v>43</v>
      </c>
      <c r="P163" s="39" t="s">
        <v>44</v>
      </c>
      <c r="Q163" s="39">
        <v>20860</v>
      </c>
      <c r="R163" s="39">
        <v>20860</v>
      </c>
      <c r="S163" s="39">
        <v>12516</v>
      </c>
      <c r="T163" s="39">
        <v>6258</v>
      </c>
      <c r="U163" s="39">
        <v>834</v>
      </c>
      <c r="V163" s="39">
        <v>626</v>
      </c>
      <c r="W163" s="39">
        <v>0</v>
      </c>
      <c r="X163" s="39">
        <v>0</v>
      </c>
      <c r="Y163" s="39">
        <v>626</v>
      </c>
      <c r="Z163" s="39">
        <v>626</v>
      </c>
      <c r="AA163" s="39">
        <v>0</v>
      </c>
      <c r="AB163" s="39">
        <v>0</v>
      </c>
      <c r="AC163" s="39">
        <v>0</v>
      </c>
      <c r="AD163" s="39">
        <v>0</v>
      </c>
      <c r="AE163" s="39">
        <v>0</v>
      </c>
      <c r="AF163" s="39">
        <v>0</v>
      </c>
      <c r="AG163" s="39">
        <v>0</v>
      </c>
      <c r="AH163" s="39">
        <v>0</v>
      </c>
      <c r="AI163" s="39">
        <v>0</v>
      </c>
      <c r="AJ163" s="39">
        <f>'Row data'!$S163+'Row data'!$T163+'Row data'!$U163+'Row data'!$W163+'Row data'!$X163+'Row data'!$Y163+'Row data'!$Z163+'Row data'!$AA163+'Row data'!$AB163+'Row data'!$AD163-'Row data'!$AC163-'Row data'!$AE163-'Row data'!$AF163-'Row data'!$AG163-'Row data'!$AH163-'Row data'!$AI163</f>
        <v>20860</v>
      </c>
      <c r="AK163" s="39">
        <v>20860</v>
      </c>
      <c r="AL163" s="39">
        <v>0</v>
      </c>
    </row>
    <row r="164" spans="1:38" x14ac:dyDescent="0.3">
      <c r="A164" s="40">
        <v>163</v>
      </c>
      <c r="B164" s="35" t="s">
        <v>375</v>
      </c>
      <c r="C164" s="35">
        <v>7091605</v>
      </c>
      <c r="D164" s="36" t="s">
        <v>464</v>
      </c>
      <c r="E164" s="35" t="s">
        <v>71</v>
      </c>
      <c r="F164" s="35" t="s">
        <v>106</v>
      </c>
      <c r="G164" s="35" t="s">
        <v>450</v>
      </c>
      <c r="H164" s="37" t="s">
        <v>465</v>
      </c>
      <c r="I164" s="38">
        <v>44653</v>
      </c>
      <c r="J164" s="38"/>
      <c r="K164" s="17"/>
      <c r="L164" s="38">
        <v>35431</v>
      </c>
      <c r="M164" s="35">
        <f ca="1">IF('Row data'!$J164="",DATEDIF('Row data'!$L164,TODAY(),"y"),"0")</f>
        <v>29</v>
      </c>
      <c r="N164" s="35" t="s">
        <v>42</v>
      </c>
      <c r="O164" s="35" t="s">
        <v>43</v>
      </c>
      <c r="P164" s="39" t="s">
        <v>44</v>
      </c>
      <c r="Q164" s="39">
        <v>15260</v>
      </c>
      <c r="R164" s="39">
        <v>11336</v>
      </c>
      <c r="S164" s="39">
        <v>9156</v>
      </c>
      <c r="T164" s="39">
        <v>4578</v>
      </c>
      <c r="U164" s="39">
        <v>610</v>
      </c>
      <c r="V164" s="39">
        <v>458</v>
      </c>
      <c r="W164" s="39">
        <v>0</v>
      </c>
      <c r="X164" s="39">
        <v>0</v>
      </c>
      <c r="Y164" s="39">
        <v>458</v>
      </c>
      <c r="Z164" s="39">
        <v>458</v>
      </c>
      <c r="AA164" s="39">
        <v>0</v>
      </c>
      <c r="AB164" s="39">
        <v>0</v>
      </c>
      <c r="AC164" s="39">
        <v>0</v>
      </c>
      <c r="AD164" s="39">
        <v>0</v>
      </c>
      <c r="AE164" s="39">
        <v>3924</v>
      </c>
      <c r="AF164" s="39">
        <v>0</v>
      </c>
      <c r="AG164" s="39">
        <v>0</v>
      </c>
      <c r="AH164" s="39">
        <v>0</v>
      </c>
      <c r="AI164" s="39">
        <v>0</v>
      </c>
      <c r="AJ164" s="39">
        <f>'Row data'!$S164+'Row data'!$T164+'Row data'!$U164+'Row data'!$W164+'Row data'!$X164+'Row data'!$Y164+'Row data'!$Z164+'Row data'!$AA164+'Row data'!$AB164+'Row data'!$AD164-'Row data'!$AC164-'Row data'!$AE164-'Row data'!$AF164-'Row data'!$AG164-'Row data'!$AH164-'Row data'!$AI164</f>
        <v>11336</v>
      </c>
      <c r="AK164" s="39">
        <v>11336</v>
      </c>
      <c r="AL164" s="39">
        <v>0</v>
      </c>
    </row>
    <row r="165" spans="1:38" x14ac:dyDescent="0.3">
      <c r="A165" s="40">
        <v>164</v>
      </c>
      <c r="B165" s="35" t="s">
        <v>375</v>
      </c>
      <c r="C165" s="35">
        <v>5384948</v>
      </c>
      <c r="D165" s="36" t="s">
        <v>466</v>
      </c>
      <c r="E165" s="35" t="s">
        <v>117</v>
      </c>
      <c r="F165" s="35" t="s">
        <v>117</v>
      </c>
      <c r="G165" s="35" t="s">
        <v>164</v>
      </c>
      <c r="H165" s="37" t="s">
        <v>467</v>
      </c>
      <c r="I165" s="38">
        <v>44943</v>
      </c>
      <c r="J165" s="38">
        <v>44562</v>
      </c>
      <c r="K165" s="17">
        <f>YEAR('Row data'!$J165)</f>
        <v>2022</v>
      </c>
      <c r="L165" s="38">
        <v>34596</v>
      </c>
      <c r="M165" s="35" t="str">
        <f ca="1">IF('Row data'!$J165="",DATEDIF('Row data'!$L165,TODAY(),"y"),"0")</f>
        <v>0</v>
      </c>
      <c r="N165" s="35" t="s">
        <v>42</v>
      </c>
      <c r="O165" s="35" t="s">
        <v>43</v>
      </c>
      <c r="P165" s="39" t="s">
        <v>44</v>
      </c>
      <c r="Q165" s="39">
        <v>16330</v>
      </c>
      <c r="R165" s="39">
        <v>16330</v>
      </c>
      <c r="S165" s="39">
        <v>9798</v>
      </c>
      <c r="T165" s="39">
        <v>4899</v>
      </c>
      <c r="U165" s="39">
        <v>653</v>
      </c>
      <c r="V165" s="39">
        <v>490</v>
      </c>
      <c r="W165" s="39">
        <v>0</v>
      </c>
      <c r="X165" s="39">
        <v>0</v>
      </c>
      <c r="Y165" s="39">
        <v>490</v>
      </c>
      <c r="Z165" s="39">
        <v>490</v>
      </c>
      <c r="AA165" s="39">
        <v>0</v>
      </c>
      <c r="AB165" s="39">
        <v>0</v>
      </c>
      <c r="AC165" s="39">
        <v>0</v>
      </c>
      <c r="AD165" s="39">
        <v>0</v>
      </c>
      <c r="AE165" s="39">
        <v>0</v>
      </c>
      <c r="AF165" s="39">
        <v>0</v>
      </c>
      <c r="AG165" s="39">
        <v>0</v>
      </c>
      <c r="AH165" s="39">
        <v>0</v>
      </c>
      <c r="AI165" s="39">
        <v>0</v>
      </c>
      <c r="AJ165" s="39">
        <f>'Row data'!$S165+'Row data'!$T165+'Row data'!$U165+'Row data'!$W165+'Row data'!$X165+'Row data'!$Y165+'Row data'!$Z165+'Row data'!$AA165+'Row data'!$AB165+'Row data'!$AD165-'Row data'!$AC165-'Row data'!$AE165-'Row data'!$AF165-'Row data'!$AG165-'Row data'!$AH165-'Row data'!$AI165</f>
        <v>16330</v>
      </c>
      <c r="AK165" s="39">
        <v>16330</v>
      </c>
      <c r="AL165" s="39">
        <v>0</v>
      </c>
    </row>
    <row r="166" spans="1:38" x14ac:dyDescent="0.3">
      <c r="A166" s="40">
        <v>165</v>
      </c>
      <c r="B166" s="35" t="s">
        <v>375</v>
      </c>
      <c r="C166" s="35">
        <v>6606211</v>
      </c>
      <c r="D166" s="36" t="s">
        <v>468</v>
      </c>
      <c r="E166" s="35" t="s">
        <v>117</v>
      </c>
      <c r="F166" s="35" t="s">
        <v>117</v>
      </c>
      <c r="G166" s="35" t="s">
        <v>282</v>
      </c>
      <c r="H166" s="37" t="s">
        <v>469</v>
      </c>
      <c r="I166" s="38">
        <v>41255</v>
      </c>
      <c r="J166" s="38">
        <v>44907</v>
      </c>
      <c r="K166" s="17">
        <f>YEAR('Row data'!$J166)</f>
        <v>2022</v>
      </c>
      <c r="L166" s="38">
        <v>29932</v>
      </c>
      <c r="M166" s="35" t="str">
        <f ca="1">IF('Row data'!$J166="",DATEDIF('Row data'!$L166,TODAY(),"y"),"0")</f>
        <v>0</v>
      </c>
      <c r="N166" s="35" t="s">
        <v>42</v>
      </c>
      <c r="O166" s="35" t="s">
        <v>43</v>
      </c>
      <c r="P166" s="39" t="s">
        <v>44</v>
      </c>
      <c r="Q166" s="39">
        <v>36078</v>
      </c>
      <c r="R166" s="39">
        <v>36078</v>
      </c>
      <c r="S166" s="39">
        <v>21647</v>
      </c>
      <c r="T166" s="39">
        <v>10824</v>
      </c>
      <c r="U166" s="39">
        <v>1443</v>
      </c>
      <c r="V166" s="39">
        <v>1082</v>
      </c>
      <c r="W166" s="39">
        <v>0</v>
      </c>
      <c r="X166" s="39">
        <v>0</v>
      </c>
      <c r="Y166" s="39">
        <v>1082</v>
      </c>
      <c r="Z166" s="39">
        <v>1082</v>
      </c>
      <c r="AA166" s="39">
        <v>0</v>
      </c>
      <c r="AB166" s="39">
        <v>0</v>
      </c>
      <c r="AC166" s="39">
        <v>0</v>
      </c>
      <c r="AD166" s="39">
        <v>0</v>
      </c>
      <c r="AE166" s="39">
        <v>0</v>
      </c>
      <c r="AF166" s="39">
        <v>0</v>
      </c>
      <c r="AG166" s="39">
        <v>5000</v>
      </c>
      <c r="AH166" s="39">
        <v>0</v>
      </c>
      <c r="AI166" s="39">
        <v>0</v>
      </c>
      <c r="AJ166" s="39">
        <f>'Row data'!$S166+'Row data'!$T166+'Row data'!$U166+'Row data'!$W166+'Row data'!$X166+'Row data'!$Y166+'Row data'!$Z166+'Row data'!$AA166+'Row data'!$AB166+'Row data'!$AD166-'Row data'!$AC166-'Row data'!$AE166-'Row data'!$AF166-'Row data'!$AG166-'Row data'!$AH166-'Row data'!$AI166</f>
        <v>31078</v>
      </c>
      <c r="AK166" s="39">
        <v>31078</v>
      </c>
      <c r="AL166" s="39">
        <v>0</v>
      </c>
    </row>
    <row r="167" spans="1:38" x14ac:dyDescent="0.3">
      <c r="A167" s="40">
        <v>166</v>
      </c>
      <c r="B167" s="35" t="s">
        <v>375</v>
      </c>
      <c r="C167" s="35">
        <v>6324782</v>
      </c>
      <c r="D167" s="36" t="s">
        <v>470</v>
      </c>
      <c r="E167" s="35" t="s">
        <v>117</v>
      </c>
      <c r="F167" s="35" t="s">
        <v>117</v>
      </c>
      <c r="G167" s="35" t="s">
        <v>471</v>
      </c>
      <c r="H167" s="37" t="s">
        <v>472</v>
      </c>
      <c r="I167" s="38">
        <v>42949</v>
      </c>
      <c r="J167" s="38"/>
      <c r="K167" s="17"/>
      <c r="L167" s="38">
        <v>34377</v>
      </c>
      <c r="M167" s="35">
        <f ca="1">IF('Row data'!$J167="",DATEDIF('Row data'!$L167,TODAY(),"y"),"0")</f>
        <v>32</v>
      </c>
      <c r="N167" s="35" t="s">
        <v>42</v>
      </c>
      <c r="O167" s="35" t="s">
        <v>43</v>
      </c>
      <c r="P167" s="39" t="s">
        <v>44</v>
      </c>
      <c r="Q167" s="39">
        <v>31675</v>
      </c>
      <c r="R167" s="39">
        <v>26675</v>
      </c>
      <c r="S167" s="39">
        <v>19005</v>
      </c>
      <c r="T167" s="39">
        <v>9503</v>
      </c>
      <c r="U167" s="39">
        <v>1267</v>
      </c>
      <c r="V167" s="39">
        <v>950</v>
      </c>
      <c r="W167" s="39">
        <v>0</v>
      </c>
      <c r="X167" s="39">
        <v>0</v>
      </c>
      <c r="Y167" s="39">
        <v>950</v>
      </c>
      <c r="Z167" s="39">
        <v>950</v>
      </c>
      <c r="AA167" s="39">
        <v>0</v>
      </c>
      <c r="AB167" s="39">
        <v>0</v>
      </c>
      <c r="AC167" s="39">
        <v>-5000</v>
      </c>
      <c r="AD167" s="39">
        <v>0</v>
      </c>
      <c r="AE167" s="39">
        <v>0</v>
      </c>
      <c r="AF167" s="39">
        <v>0</v>
      </c>
      <c r="AG167" s="39">
        <v>0</v>
      </c>
      <c r="AH167" s="39">
        <v>0</v>
      </c>
      <c r="AI167" s="39">
        <v>0</v>
      </c>
      <c r="AJ167" s="39">
        <f>'Row data'!$S167+'Row data'!$T167+'Row data'!$U167+'Row data'!$W167+'Row data'!$X167+'Row data'!$Y167+'Row data'!$Z167+'Row data'!$AA167+'Row data'!$AB167+'Row data'!$AD167-'Row data'!$AC167-'Row data'!$AE167-'Row data'!$AF167-'Row data'!$AG167-'Row data'!$AH167-'Row data'!$AI167</f>
        <v>36675</v>
      </c>
      <c r="AK167" s="39">
        <v>26675</v>
      </c>
      <c r="AL167" s="39">
        <v>0</v>
      </c>
    </row>
    <row r="168" spans="1:38" x14ac:dyDescent="0.3">
      <c r="A168" s="40">
        <v>167</v>
      </c>
      <c r="B168" s="35" t="s">
        <v>375</v>
      </c>
      <c r="C168" s="35">
        <v>9564117</v>
      </c>
      <c r="D168" s="36" t="s">
        <v>473</v>
      </c>
      <c r="E168" s="35" t="s">
        <v>38</v>
      </c>
      <c r="F168" s="35" t="s">
        <v>474</v>
      </c>
      <c r="G168" s="35" t="s">
        <v>475</v>
      </c>
      <c r="H168" s="37" t="s">
        <v>476</v>
      </c>
      <c r="I168" s="38">
        <v>42926</v>
      </c>
      <c r="J168" s="38"/>
      <c r="K168" s="17"/>
      <c r="L168" s="38">
        <v>35935</v>
      </c>
      <c r="M168" s="35">
        <f ca="1">IF('Row data'!$J168="",DATEDIF('Row data'!$L168,TODAY(),"y"),"0")</f>
        <v>28</v>
      </c>
      <c r="N168" s="35" t="s">
        <v>42</v>
      </c>
      <c r="O168" s="35" t="s">
        <v>43</v>
      </c>
      <c r="P168" s="39" t="s">
        <v>44</v>
      </c>
      <c r="Q168" s="39">
        <v>21495</v>
      </c>
      <c r="R168" s="39">
        <v>21495</v>
      </c>
      <c r="S168" s="39">
        <v>12897</v>
      </c>
      <c r="T168" s="39">
        <v>6448</v>
      </c>
      <c r="U168" s="39">
        <v>860</v>
      </c>
      <c r="V168" s="39">
        <v>645</v>
      </c>
      <c r="W168" s="39">
        <v>0</v>
      </c>
      <c r="X168" s="39">
        <v>0</v>
      </c>
      <c r="Y168" s="39">
        <v>645</v>
      </c>
      <c r="Z168" s="39">
        <v>645</v>
      </c>
      <c r="AA168" s="39">
        <v>0</v>
      </c>
      <c r="AB168" s="39">
        <v>0</v>
      </c>
      <c r="AC168" s="39">
        <v>0</v>
      </c>
      <c r="AD168" s="39">
        <v>0</v>
      </c>
      <c r="AE168" s="39">
        <v>0</v>
      </c>
      <c r="AF168" s="39">
        <v>0</v>
      </c>
      <c r="AG168" s="39">
        <v>2000</v>
      </c>
      <c r="AH168" s="39">
        <v>0</v>
      </c>
      <c r="AI168" s="39">
        <v>0</v>
      </c>
      <c r="AJ168" s="39">
        <f>'Row data'!$S168+'Row data'!$T168+'Row data'!$U168+'Row data'!$W168+'Row data'!$X168+'Row data'!$Y168+'Row data'!$Z168+'Row data'!$AA168+'Row data'!$AB168+'Row data'!$AD168-'Row data'!$AC168-'Row data'!$AE168-'Row data'!$AF168-'Row data'!$AG168-'Row data'!$AH168-'Row data'!$AI168</f>
        <v>19495</v>
      </c>
      <c r="AK168" s="39">
        <v>19495</v>
      </c>
      <c r="AL168" s="39">
        <v>0</v>
      </c>
    </row>
    <row r="169" spans="1:38" x14ac:dyDescent="0.3">
      <c r="A169" s="40">
        <v>168</v>
      </c>
      <c r="B169" s="35" t="s">
        <v>375</v>
      </c>
      <c r="C169" s="35">
        <v>9059813</v>
      </c>
      <c r="D169" s="36" t="s">
        <v>477</v>
      </c>
      <c r="E169" s="35" t="s">
        <v>38</v>
      </c>
      <c r="F169" s="35" t="s">
        <v>474</v>
      </c>
      <c r="G169" s="35" t="s">
        <v>62</v>
      </c>
      <c r="H169" s="37" t="s">
        <v>478</v>
      </c>
      <c r="I169" s="38">
        <v>36312</v>
      </c>
      <c r="J169" s="38">
        <v>44562</v>
      </c>
      <c r="K169" s="17">
        <f>YEAR('Row data'!$J169)</f>
        <v>2022</v>
      </c>
      <c r="L169" s="38">
        <v>27748</v>
      </c>
      <c r="M169" s="35" t="str">
        <f ca="1">IF('Row data'!$J169="",DATEDIF('Row data'!$L169,TODAY(),"y"),"0")</f>
        <v>0</v>
      </c>
      <c r="N169" s="35" t="s">
        <v>42</v>
      </c>
      <c r="O169" s="35" t="s">
        <v>43</v>
      </c>
      <c r="P169" s="39" t="s">
        <v>44</v>
      </c>
      <c r="Q169" s="39">
        <v>37713</v>
      </c>
      <c r="R169" s="39">
        <v>32713</v>
      </c>
      <c r="S169" s="39">
        <v>22628</v>
      </c>
      <c r="T169" s="39">
        <v>11314</v>
      </c>
      <c r="U169" s="39">
        <v>1509</v>
      </c>
      <c r="V169" s="39">
        <v>1131</v>
      </c>
      <c r="W169" s="39">
        <v>0</v>
      </c>
      <c r="X169" s="39">
        <v>0</v>
      </c>
      <c r="Y169" s="39">
        <v>1131</v>
      </c>
      <c r="Z169" s="39">
        <v>1131</v>
      </c>
      <c r="AA169" s="39">
        <v>0</v>
      </c>
      <c r="AB169" s="39">
        <v>0</v>
      </c>
      <c r="AC169" s="39">
        <v>-5000</v>
      </c>
      <c r="AD169" s="39">
        <v>0</v>
      </c>
      <c r="AE169" s="39">
        <v>0</v>
      </c>
      <c r="AF169" s="39">
        <v>0</v>
      </c>
      <c r="AG169" s="39">
        <v>0</v>
      </c>
      <c r="AH169" s="39">
        <v>0</v>
      </c>
      <c r="AI169" s="39">
        <v>0</v>
      </c>
      <c r="AJ169" s="39">
        <f>'Row data'!$S169+'Row data'!$T169+'Row data'!$U169+'Row data'!$W169+'Row data'!$X169+'Row data'!$Y169+'Row data'!$Z169+'Row data'!$AA169+'Row data'!$AB169+'Row data'!$AD169-'Row data'!$AC169-'Row data'!$AE169-'Row data'!$AF169-'Row data'!$AG169-'Row data'!$AH169-'Row data'!$AI169</f>
        <v>42713</v>
      </c>
      <c r="AK169" s="39">
        <v>32713</v>
      </c>
      <c r="AL169" s="39">
        <v>0</v>
      </c>
    </row>
    <row r="170" spans="1:38" x14ac:dyDescent="0.3">
      <c r="A170" s="40">
        <v>169</v>
      </c>
      <c r="B170" s="35" t="s">
        <v>375</v>
      </c>
      <c r="C170" s="35">
        <v>5831951</v>
      </c>
      <c r="D170" s="36" t="s">
        <v>479</v>
      </c>
      <c r="E170" s="35" t="s">
        <v>38</v>
      </c>
      <c r="F170" s="35" t="s">
        <v>474</v>
      </c>
      <c r="G170" s="35" t="s">
        <v>62</v>
      </c>
      <c r="H170" s="37" t="s">
        <v>480</v>
      </c>
      <c r="I170" s="38">
        <v>36951</v>
      </c>
      <c r="J170" s="38">
        <v>44562</v>
      </c>
      <c r="K170" s="17">
        <f>YEAR('Row data'!$J170)</f>
        <v>2022</v>
      </c>
      <c r="L170" s="38">
        <v>29772</v>
      </c>
      <c r="M170" s="35" t="str">
        <f ca="1">IF('Row data'!$J170="",DATEDIF('Row data'!$L170,TODAY(),"y"),"0")</f>
        <v>0</v>
      </c>
      <c r="N170" s="35" t="s">
        <v>42</v>
      </c>
      <c r="O170" s="35" t="s">
        <v>43</v>
      </c>
      <c r="P170" s="39" t="s">
        <v>44</v>
      </c>
      <c r="Q170" s="39">
        <v>32700</v>
      </c>
      <c r="R170" s="39">
        <v>32700</v>
      </c>
      <c r="S170" s="39">
        <v>19620</v>
      </c>
      <c r="T170" s="39">
        <v>9810</v>
      </c>
      <c r="U170" s="39">
        <v>1308</v>
      </c>
      <c r="V170" s="39">
        <v>981</v>
      </c>
      <c r="W170" s="39">
        <v>0</v>
      </c>
      <c r="X170" s="39">
        <v>0</v>
      </c>
      <c r="Y170" s="39">
        <v>981</v>
      </c>
      <c r="Z170" s="39">
        <v>981</v>
      </c>
      <c r="AA170" s="39">
        <v>0</v>
      </c>
      <c r="AB170" s="39">
        <v>0</v>
      </c>
      <c r="AC170" s="39">
        <v>0</v>
      </c>
      <c r="AD170" s="39">
        <v>0</v>
      </c>
      <c r="AE170" s="39">
        <v>0</v>
      </c>
      <c r="AF170" s="39">
        <v>0</v>
      </c>
      <c r="AG170" s="39">
        <v>0</v>
      </c>
      <c r="AH170" s="39">
        <v>0</v>
      </c>
      <c r="AI170" s="39">
        <v>0</v>
      </c>
      <c r="AJ170" s="39">
        <f>'Row data'!$S170+'Row data'!$T170+'Row data'!$U170+'Row data'!$W170+'Row data'!$X170+'Row data'!$Y170+'Row data'!$Z170+'Row data'!$AA170+'Row data'!$AB170+'Row data'!$AD170-'Row data'!$AC170-'Row data'!$AE170-'Row data'!$AF170-'Row data'!$AG170-'Row data'!$AH170-'Row data'!$AI170</f>
        <v>32700</v>
      </c>
      <c r="AK170" s="39">
        <v>32700</v>
      </c>
      <c r="AL170" s="39">
        <v>0</v>
      </c>
    </row>
    <row r="171" spans="1:38" x14ac:dyDescent="0.3">
      <c r="A171" s="40">
        <v>170</v>
      </c>
      <c r="B171" s="35" t="s">
        <v>375</v>
      </c>
      <c r="C171" s="35">
        <v>6419821</v>
      </c>
      <c r="D171" s="36" t="s">
        <v>481</v>
      </c>
      <c r="E171" s="35" t="s">
        <v>38</v>
      </c>
      <c r="F171" s="35" t="s">
        <v>474</v>
      </c>
      <c r="G171" s="35" t="s">
        <v>482</v>
      </c>
      <c r="H171" s="37" t="s">
        <v>483</v>
      </c>
      <c r="I171" s="38">
        <v>38961</v>
      </c>
      <c r="J171" s="38">
        <v>44197</v>
      </c>
      <c r="K171" s="17">
        <f>YEAR('Row data'!$J171)</f>
        <v>2021</v>
      </c>
      <c r="L171" s="38">
        <v>28194</v>
      </c>
      <c r="M171" s="35" t="str">
        <f ca="1">IF('Row data'!$J171="",DATEDIF('Row data'!$L171,TODAY(),"y"),"0")</f>
        <v>0</v>
      </c>
      <c r="N171" s="35" t="s">
        <v>42</v>
      </c>
      <c r="O171" s="35" t="s">
        <v>43</v>
      </c>
      <c r="P171" s="39" t="s">
        <v>44</v>
      </c>
      <c r="Q171" s="39">
        <v>22470</v>
      </c>
      <c r="R171" s="39">
        <v>22470</v>
      </c>
      <c r="S171" s="39">
        <v>13482</v>
      </c>
      <c r="T171" s="39">
        <v>6741</v>
      </c>
      <c r="U171" s="39">
        <v>899</v>
      </c>
      <c r="V171" s="39">
        <v>674</v>
      </c>
      <c r="W171" s="39">
        <v>0</v>
      </c>
      <c r="X171" s="39">
        <v>0</v>
      </c>
      <c r="Y171" s="39">
        <v>674</v>
      </c>
      <c r="Z171" s="39">
        <v>674</v>
      </c>
      <c r="AA171" s="39">
        <v>350</v>
      </c>
      <c r="AB171" s="39">
        <v>0</v>
      </c>
      <c r="AC171" s="39">
        <v>0</v>
      </c>
      <c r="AD171" s="39">
        <v>0</v>
      </c>
      <c r="AE171" s="39">
        <v>0</v>
      </c>
      <c r="AF171" s="39">
        <v>0</v>
      </c>
      <c r="AG171" s="39">
        <v>0</v>
      </c>
      <c r="AH171" s="39">
        <v>0</v>
      </c>
      <c r="AI171" s="39">
        <v>0</v>
      </c>
      <c r="AJ171" s="39">
        <f>'Row data'!$S171+'Row data'!$T171+'Row data'!$U171+'Row data'!$W171+'Row data'!$X171+'Row data'!$Y171+'Row data'!$Z171+'Row data'!$AA171+'Row data'!$AB171+'Row data'!$AD171-'Row data'!$AC171-'Row data'!$AE171-'Row data'!$AF171-'Row data'!$AG171-'Row data'!$AH171-'Row data'!$AI171</f>
        <v>22820</v>
      </c>
      <c r="AK171" s="39">
        <v>22820</v>
      </c>
      <c r="AL171" s="39">
        <v>0</v>
      </c>
    </row>
    <row r="172" spans="1:38" x14ac:dyDescent="0.3">
      <c r="A172" s="40">
        <v>171</v>
      </c>
      <c r="B172" s="35" t="s">
        <v>375</v>
      </c>
      <c r="C172" s="35">
        <v>5632166</v>
      </c>
      <c r="D172" s="36" t="s">
        <v>484</v>
      </c>
      <c r="E172" s="35" t="s">
        <v>38</v>
      </c>
      <c r="F172" s="35" t="s">
        <v>474</v>
      </c>
      <c r="G172" s="35" t="s">
        <v>485</v>
      </c>
      <c r="H172" s="37" t="s">
        <v>486</v>
      </c>
      <c r="I172" s="38">
        <v>37980</v>
      </c>
      <c r="J172" s="38">
        <v>44197</v>
      </c>
      <c r="K172" s="17">
        <f>YEAR('Row data'!$J172)</f>
        <v>2021</v>
      </c>
      <c r="L172" s="38">
        <v>24602</v>
      </c>
      <c r="M172" s="35" t="str">
        <f ca="1">IF('Row data'!$J172="",DATEDIF('Row data'!$L172,TODAY(),"y"),"0")</f>
        <v>0</v>
      </c>
      <c r="N172" s="35" t="s">
        <v>42</v>
      </c>
      <c r="O172" s="35" t="s">
        <v>43</v>
      </c>
      <c r="P172" s="39" t="s">
        <v>44</v>
      </c>
      <c r="Q172" s="39">
        <v>23369</v>
      </c>
      <c r="R172" s="39">
        <v>23369</v>
      </c>
      <c r="S172" s="39">
        <v>14021</v>
      </c>
      <c r="T172" s="39">
        <v>7011</v>
      </c>
      <c r="U172" s="39">
        <v>935</v>
      </c>
      <c r="V172" s="39">
        <v>701</v>
      </c>
      <c r="W172" s="39">
        <v>0</v>
      </c>
      <c r="X172" s="39">
        <v>0</v>
      </c>
      <c r="Y172" s="39">
        <v>701</v>
      </c>
      <c r="Z172" s="39">
        <v>701</v>
      </c>
      <c r="AA172" s="39">
        <v>350</v>
      </c>
      <c r="AB172" s="39">
        <v>0</v>
      </c>
      <c r="AC172" s="39">
        <v>0</v>
      </c>
      <c r="AD172" s="39">
        <v>0</v>
      </c>
      <c r="AE172" s="39">
        <v>0</v>
      </c>
      <c r="AF172" s="39">
        <v>0</v>
      </c>
      <c r="AG172" s="39">
        <v>0</v>
      </c>
      <c r="AH172" s="39">
        <v>0</v>
      </c>
      <c r="AI172" s="39">
        <v>0</v>
      </c>
      <c r="AJ172" s="39">
        <f>'Row data'!$S172+'Row data'!$T172+'Row data'!$U172+'Row data'!$W172+'Row data'!$X172+'Row data'!$Y172+'Row data'!$Z172+'Row data'!$AA172+'Row data'!$AB172+'Row data'!$AD172-'Row data'!$AC172-'Row data'!$AE172-'Row data'!$AF172-'Row data'!$AG172-'Row data'!$AH172-'Row data'!$AI172</f>
        <v>23719</v>
      </c>
      <c r="AK172" s="39">
        <v>23719</v>
      </c>
      <c r="AL172" s="39">
        <v>0</v>
      </c>
    </row>
    <row r="173" spans="1:38" x14ac:dyDescent="0.3">
      <c r="A173" s="40">
        <v>172</v>
      </c>
      <c r="B173" s="35" t="s">
        <v>375</v>
      </c>
      <c r="C173" s="35">
        <v>9288200</v>
      </c>
      <c r="D173" s="36" t="s">
        <v>487</v>
      </c>
      <c r="E173" s="35" t="s">
        <v>38</v>
      </c>
      <c r="F173" s="35" t="s">
        <v>488</v>
      </c>
      <c r="G173" s="35" t="s">
        <v>160</v>
      </c>
      <c r="H173" s="37" t="s">
        <v>489</v>
      </c>
      <c r="I173" s="38">
        <v>42108</v>
      </c>
      <c r="J173" s="38"/>
      <c r="K173" s="17"/>
      <c r="L173" s="38">
        <v>34997</v>
      </c>
      <c r="M173" s="35">
        <f ca="1">IF('Row data'!$J173="",DATEDIF('Row data'!$L173,TODAY(),"y"),"0")</f>
        <v>30</v>
      </c>
      <c r="N173" s="35" t="s">
        <v>42</v>
      </c>
      <c r="O173" s="35" t="s">
        <v>43</v>
      </c>
      <c r="P173" s="39" t="s">
        <v>44</v>
      </c>
      <c r="Q173" s="39">
        <v>17521</v>
      </c>
      <c r="R173" s="39">
        <v>17521</v>
      </c>
      <c r="S173" s="39">
        <v>10512</v>
      </c>
      <c r="T173" s="39">
        <v>5256</v>
      </c>
      <c r="U173" s="39">
        <v>701</v>
      </c>
      <c r="V173" s="39">
        <v>526</v>
      </c>
      <c r="W173" s="39">
        <v>0</v>
      </c>
      <c r="X173" s="39">
        <v>0</v>
      </c>
      <c r="Y173" s="39">
        <v>526</v>
      </c>
      <c r="Z173" s="39">
        <v>526</v>
      </c>
      <c r="AA173" s="39">
        <v>0</v>
      </c>
      <c r="AB173" s="39">
        <v>0</v>
      </c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>
        <v>0</v>
      </c>
      <c r="AI173" s="39">
        <v>0</v>
      </c>
      <c r="AJ173" s="39">
        <f>'Row data'!$S173+'Row data'!$T173+'Row data'!$U173+'Row data'!$W173+'Row data'!$X173+'Row data'!$Y173+'Row data'!$Z173+'Row data'!$AA173+'Row data'!$AB173+'Row data'!$AD173-'Row data'!$AC173-'Row data'!$AE173-'Row data'!$AF173-'Row data'!$AG173-'Row data'!$AH173-'Row data'!$AI173</f>
        <v>17521</v>
      </c>
      <c r="AK173" s="39">
        <v>17521</v>
      </c>
      <c r="AL173" s="39">
        <v>0</v>
      </c>
    </row>
    <row r="174" spans="1:38" x14ac:dyDescent="0.3">
      <c r="A174" s="40">
        <v>173</v>
      </c>
      <c r="B174" s="35" t="s">
        <v>375</v>
      </c>
      <c r="C174" s="35">
        <v>9134199</v>
      </c>
      <c r="D174" s="36" t="s">
        <v>490</v>
      </c>
      <c r="E174" s="35" t="s">
        <v>38</v>
      </c>
      <c r="F174" s="35" t="s">
        <v>488</v>
      </c>
      <c r="G174" s="35" t="s">
        <v>175</v>
      </c>
      <c r="H174" s="37" t="s">
        <v>491</v>
      </c>
      <c r="I174" s="38">
        <v>41673</v>
      </c>
      <c r="J174" s="38">
        <v>44197</v>
      </c>
      <c r="K174" s="17">
        <f>YEAR('Row data'!$J174)</f>
        <v>2021</v>
      </c>
      <c r="L174" s="38">
        <v>32550</v>
      </c>
      <c r="M174" s="35" t="str">
        <f ca="1">IF('Row data'!$J174="",DATEDIF('Row data'!$L174,TODAY(),"y"),"0")</f>
        <v>0</v>
      </c>
      <c r="N174" s="35" t="s">
        <v>42</v>
      </c>
      <c r="O174" s="35" t="s">
        <v>43</v>
      </c>
      <c r="P174" s="39" t="s">
        <v>44</v>
      </c>
      <c r="Q174" s="39">
        <v>22891</v>
      </c>
      <c r="R174" s="39">
        <v>22891</v>
      </c>
      <c r="S174" s="39">
        <v>13734</v>
      </c>
      <c r="T174" s="39">
        <v>6867</v>
      </c>
      <c r="U174" s="39">
        <v>916</v>
      </c>
      <c r="V174" s="39">
        <v>687</v>
      </c>
      <c r="W174" s="39">
        <v>0</v>
      </c>
      <c r="X174" s="39">
        <v>0</v>
      </c>
      <c r="Y174" s="39">
        <v>687</v>
      </c>
      <c r="Z174" s="39">
        <v>687</v>
      </c>
      <c r="AA174" s="39">
        <v>0</v>
      </c>
      <c r="AB174" s="39">
        <v>0</v>
      </c>
      <c r="AC174" s="39">
        <v>0</v>
      </c>
      <c r="AD174" s="39">
        <v>0</v>
      </c>
      <c r="AE174" s="39">
        <v>0</v>
      </c>
      <c r="AF174" s="39">
        <v>0</v>
      </c>
      <c r="AG174" s="39">
        <v>0</v>
      </c>
      <c r="AH174" s="39">
        <v>0</v>
      </c>
      <c r="AI174" s="39">
        <v>0</v>
      </c>
      <c r="AJ174" s="39">
        <f>'Row data'!$S174+'Row data'!$T174+'Row data'!$U174+'Row data'!$W174+'Row data'!$X174+'Row data'!$Y174+'Row data'!$Z174+'Row data'!$AA174+'Row data'!$AB174+'Row data'!$AD174-'Row data'!$AC174-'Row data'!$AE174-'Row data'!$AF174-'Row data'!$AG174-'Row data'!$AH174-'Row data'!$AI174</f>
        <v>22891</v>
      </c>
      <c r="AK174" s="39">
        <v>22891</v>
      </c>
      <c r="AL174" s="39">
        <v>0</v>
      </c>
    </row>
    <row r="175" spans="1:38" x14ac:dyDescent="0.3">
      <c r="A175" s="40">
        <v>174</v>
      </c>
      <c r="B175" s="35" t="s">
        <v>375</v>
      </c>
      <c r="C175" s="35">
        <v>8295426</v>
      </c>
      <c r="D175" s="36" t="s">
        <v>492</v>
      </c>
      <c r="E175" s="35" t="s">
        <v>38</v>
      </c>
      <c r="F175" s="35" t="s">
        <v>488</v>
      </c>
      <c r="G175" s="35" t="s">
        <v>160</v>
      </c>
      <c r="H175" s="37" t="s">
        <v>493</v>
      </c>
      <c r="I175" s="38">
        <v>41011</v>
      </c>
      <c r="J175" s="38">
        <v>44418</v>
      </c>
      <c r="K175" s="17">
        <f>YEAR('Row data'!$J175)</f>
        <v>2021</v>
      </c>
      <c r="L175" s="38">
        <v>33826</v>
      </c>
      <c r="M175" s="35" t="str">
        <f ca="1">IF('Row data'!$J175="",DATEDIF('Row data'!$L175,TODAY(),"y"),"0")</f>
        <v>0</v>
      </c>
      <c r="N175" s="35" t="s">
        <v>42</v>
      </c>
      <c r="O175" s="35" t="s">
        <v>43</v>
      </c>
      <c r="P175" s="39" t="s">
        <v>44</v>
      </c>
      <c r="Q175" s="39">
        <v>19266</v>
      </c>
      <c r="R175" s="39">
        <v>19266</v>
      </c>
      <c r="S175" s="39">
        <v>11559</v>
      </c>
      <c r="T175" s="39">
        <v>5780</v>
      </c>
      <c r="U175" s="39">
        <v>771</v>
      </c>
      <c r="V175" s="39">
        <v>578</v>
      </c>
      <c r="W175" s="39">
        <v>0</v>
      </c>
      <c r="X175" s="39">
        <v>0</v>
      </c>
      <c r="Y175" s="39">
        <v>578</v>
      </c>
      <c r="Z175" s="39">
        <v>578</v>
      </c>
      <c r="AA175" s="39">
        <v>350</v>
      </c>
      <c r="AB175" s="39">
        <v>0</v>
      </c>
      <c r="AC175" s="39">
        <v>0</v>
      </c>
      <c r="AD175" s="39">
        <v>0</v>
      </c>
      <c r="AE175" s="39">
        <v>0</v>
      </c>
      <c r="AF175" s="39">
        <v>0</v>
      </c>
      <c r="AG175" s="39">
        <v>0</v>
      </c>
      <c r="AH175" s="39">
        <v>0</v>
      </c>
      <c r="AI175" s="39">
        <v>0</v>
      </c>
      <c r="AJ175" s="39">
        <f>'Row data'!$S175+'Row data'!$T175+'Row data'!$U175+'Row data'!$W175+'Row data'!$X175+'Row data'!$Y175+'Row data'!$Z175+'Row data'!$AA175+'Row data'!$AB175+'Row data'!$AD175-'Row data'!$AC175-'Row data'!$AE175-'Row data'!$AF175-'Row data'!$AG175-'Row data'!$AH175-'Row data'!$AI175</f>
        <v>19616</v>
      </c>
      <c r="AK175" s="39">
        <v>19616</v>
      </c>
      <c r="AL175" s="39">
        <v>0</v>
      </c>
    </row>
    <row r="176" spans="1:38" x14ac:dyDescent="0.3">
      <c r="A176" s="40">
        <v>175</v>
      </c>
      <c r="B176" s="35" t="s">
        <v>375</v>
      </c>
      <c r="C176" s="35">
        <v>8122018</v>
      </c>
      <c r="D176" s="36" t="s">
        <v>494</v>
      </c>
      <c r="E176" s="35" t="s">
        <v>38</v>
      </c>
      <c r="F176" s="35" t="s">
        <v>488</v>
      </c>
      <c r="G176" s="35" t="s">
        <v>495</v>
      </c>
      <c r="H176" s="37" t="s">
        <v>496</v>
      </c>
      <c r="I176" s="38">
        <v>42098</v>
      </c>
      <c r="J176" s="38">
        <v>44197</v>
      </c>
      <c r="K176" s="17">
        <f>YEAR('Row data'!$J176)</f>
        <v>2021</v>
      </c>
      <c r="L176" s="38">
        <v>33003</v>
      </c>
      <c r="M176" s="35" t="str">
        <f ca="1">IF('Row data'!$J176="",DATEDIF('Row data'!$L176,TODAY(),"y"),"0")</f>
        <v>0</v>
      </c>
      <c r="N176" s="35" t="s">
        <v>42</v>
      </c>
      <c r="O176" s="35" t="s">
        <v>43</v>
      </c>
      <c r="P176" s="39" t="s">
        <v>44</v>
      </c>
      <c r="Q176" s="39">
        <v>18530</v>
      </c>
      <c r="R176" s="39">
        <v>18530</v>
      </c>
      <c r="S176" s="39">
        <v>11118</v>
      </c>
      <c r="T176" s="39">
        <v>5559</v>
      </c>
      <c r="U176" s="39">
        <v>741</v>
      </c>
      <c r="V176" s="39">
        <v>556</v>
      </c>
      <c r="W176" s="39">
        <v>0</v>
      </c>
      <c r="X176" s="39">
        <v>0</v>
      </c>
      <c r="Y176" s="39">
        <v>556</v>
      </c>
      <c r="Z176" s="39">
        <v>556</v>
      </c>
      <c r="AA176" s="39">
        <v>0</v>
      </c>
      <c r="AB176" s="39">
        <v>0</v>
      </c>
      <c r="AC176" s="39">
        <v>0</v>
      </c>
      <c r="AD176" s="39">
        <v>0</v>
      </c>
      <c r="AE176" s="39">
        <v>0</v>
      </c>
      <c r="AF176" s="39">
        <v>0</v>
      </c>
      <c r="AG176" s="39">
        <v>0</v>
      </c>
      <c r="AH176" s="39">
        <v>0</v>
      </c>
      <c r="AI176" s="39">
        <v>0</v>
      </c>
      <c r="AJ176" s="39">
        <f>'Row data'!$S176+'Row data'!$T176+'Row data'!$U176+'Row data'!$W176+'Row data'!$X176+'Row data'!$Y176+'Row data'!$Z176+'Row data'!$AA176+'Row data'!$AB176+'Row data'!$AD176-'Row data'!$AC176-'Row data'!$AE176-'Row data'!$AF176-'Row data'!$AG176-'Row data'!$AH176-'Row data'!$AI176</f>
        <v>18530</v>
      </c>
      <c r="AK176" s="39">
        <v>18530</v>
      </c>
      <c r="AL176" s="39">
        <v>0</v>
      </c>
    </row>
    <row r="177" spans="1:38" x14ac:dyDescent="0.3">
      <c r="A177" s="40">
        <v>176</v>
      </c>
      <c r="B177" s="35" t="s">
        <v>375</v>
      </c>
      <c r="C177" s="35">
        <v>8056128</v>
      </c>
      <c r="D177" s="36" t="s">
        <v>497</v>
      </c>
      <c r="E177" s="35" t="s">
        <v>187</v>
      </c>
      <c r="F177" s="35" t="s">
        <v>187</v>
      </c>
      <c r="G177" s="35" t="s">
        <v>50</v>
      </c>
      <c r="H177" s="37" t="s">
        <v>498</v>
      </c>
      <c r="I177" s="38">
        <v>44929</v>
      </c>
      <c r="J177" s="38">
        <v>44197</v>
      </c>
      <c r="K177" s="17">
        <f>YEAR('Row data'!$J177)</f>
        <v>2021</v>
      </c>
      <c r="L177" s="38">
        <v>38153</v>
      </c>
      <c r="M177" s="35" t="str">
        <f ca="1">IF('Row data'!$J177="",DATEDIF('Row data'!$L177,TODAY(),"y"),"0")</f>
        <v>0</v>
      </c>
      <c r="N177" s="35" t="s">
        <v>42</v>
      </c>
      <c r="O177" s="35" t="s">
        <v>43</v>
      </c>
      <c r="P177" s="39" t="s">
        <v>44</v>
      </c>
      <c r="Q177" s="39">
        <v>16294</v>
      </c>
      <c r="R177" s="39">
        <v>16294</v>
      </c>
      <c r="S177" s="39">
        <v>9776</v>
      </c>
      <c r="T177" s="39">
        <v>4888</v>
      </c>
      <c r="U177" s="39">
        <v>652</v>
      </c>
      <c r="V177" s="39">
        <v>489</v>
      </c>
      <c r="W177" s="39">
        <v>0</v>
      </c>
      <c r="X177" s="39">
        <v>0</v>
      </c>
      <c r="Y177" s="39">
        <v>489</v>
      </c>
      <c r="Z177" s="39">
        <v>489</v>
      </c>
      <c r="AA177" s="39">
        <v>0</v>
      </c>
      <c r="AB177" s="39">
        <v>0</v>
      </c>
      <c r="AC177" s="39">
        <v>0</v>
      </c>
      <c r="AD177" s="39">
        <v>0</v>
      </c>
      <c r="AE177" s="39">
        <v>0</v>
      </c>
      <c r="AF177" s="39">
        <v>0</v>
      </c>
      <c r="AG177" s="39">
        <v>0</v>
      </c>
      <c r="AH177" s="39">
        <v>0</v>
      </c>
      <c r="AI177" s="39">
        <v>0</v>
      </c>
      <c r="AJ177" s="39">
        <f>'Row data'!$S177+'Row data'!$T177+'Row data'!$U177+'Row data'!$W177+'Row data'!$X177+'Row data'!$Y177+'Row data'!$Z177+'Row data'!$AA177+'Row data'!$AB177+'Row data'!$AD177-'Row data'!$AC177-'Row data'!$AE177-'Row data'!$AF177-'Row data'!$AG177-'Row data'!$AH177-'Row data'!$AI177</f>
        <v>16294</v>
      </c>
      <c r="AK177" s="39">
        <v>16294</v>
      </c>
      <c r="AL177" s="39">
        <v>0</v>
      </c>
    </row>
    <row r="178" spans="1:38" x14ac:dyDescent="0.3">
      <c r="A178" s="40">
        <v>177</v>
      </c>
      <c r="B178" s="35" t="s">
        <v>375</v>
      </c>
      <c r="C178" s="35">
        <v>9050876</v>
      </c>
      <c r="D178" s="36" t="s">
        <v>499</v>
      </c>
      <c r="E178" s="35" t="s">
        <v>187</v>
      </c>
      <c r="F178" s="35" t="s">
        <v>187</v>
      </c>
      <c r="G178" s="35" t="s">
        <v>500</v>
      </c>
      <c r="H178" s="37" t="s">
        <v>501</v>
      </c>
      <c r="I178" s="38">
        <v>43801</v>
      </c>
      <c r="J178" s="38"/>
      <c r="K178" s="17"/>
      <c r="L178" s="38">
        <v>34409</v>
      </c>
      <c r="M178" s="35">
        <f ca="1">IF('Row data'!$J178="",DATEDIF('Row data'!$L178,TODAY(),"y"),"0")</f>
        <v>32</v>
      </c>
      <c r="N178" s="35" t="s">
        <v>42</v>
      </c>
      <c r="O178" s="35" t="s">
        <v>43</v>
      </c>
      <c r="P178" s="39" t="s">
        <v>44</v>
      </c>
      <c r="Q178" s="39">
        <v>24606</v>
      </c>
      <c r="R178" s="39">
        <v>24606</v>
      </c>
      <c r="S178" s="39">
        <v>14764</v>
      </c>
      <c r="T178" s="39">
        <v>7382</v>
      </c>
      <c r="U178" s="39">
        <v>984</v>
      </c>
      <c r="V178" s="39">
        <v>738</v>
      </c>
      <c r="W178" s="39">
        <v>0</v>
      </c>
      <c r="X178" s="39">
        <v>0</v>
      </c>
      <c r="Y178" s="39">
        <v>738</v>
      </c>
      <c r="Z178" s="39">
        <v>738</v>
      </c>
      <c r="AA178" s="39">
        <v>0</v>
      </c>
      <c r="AB178" s="39">
        <v>0</v>
      </c>
      <c r="AC178" s="39">
        <v>0</v>
      </c>
      <c r="AD178" s="39">
        <v>0</v>
      </c>
      <c r="AE178" s="39">
        <v>0</v>
      </c>
      <c r="AF178" s="39">
        <v>0</v>
      </c>
      <c r="AG178" s="39">
        <v>0</v>
      </c>
      <c r="AH178" s="39">
        <v>0</v>
      </c>
      <c r="AI178" s="39">
        <v>0</v>
      </c>
      <c r="AJ178" s="39">
        <f>'Row data'!$S178+'Row data'!$T178+'Row data'!$U178+'Row data'!$W178+'Row data'!$X178+'Row data'!$Y178+'Row data'!$Z178+'Row data'!$AA178+'Row data'!$AB178+'Row data'!$AD178-'Row data'!$AC178-'Row data'!$AE178-'Row data'!$AF178-'Row data'!$AG178-'Row data'!$AH178-'Row data'!$AI178</f>
        <v>24606</v>
      </c>
      <c r="AK178" s="39">
        <v>24606</v>
      </c>
      <c r="AL178" s="39">
        <v>0</v>
      </c>
    </row>
    <row r="179" spans="1:38" x14ac:dyDescent="0.3">
      <c r="A179" s="40">
        <v>178</v>
      </c>
      <c r="B179" s="35" t="s">
        <v>375</v>
      </c>
      <c r="C179" s="35">
        <v>8034188</v>
      </c>
      <c r="D179" s="36" t="s">
        <v>502</v>
      </c>
      <c r="E179" s="35" t="s">
        <v>65</v>
      </c>
      <c r="F179" s="35" t="s">
        <v>66</v>
      </c>
      <c r="G179" s="35" t="s">
        <v>503</v>
      </c>
      <c r="H179" s="37" t="s">
        <v>504</v>
      </c>
      <c r="I179" s="38">
        <v>44571</v>
      </c>
      <c r="J179" s="38">
        <v>44197</v>
      </c>
      <c r="K179" s="17">
        <f>YEAR('Row data'!$J179)</f>
        <v>2021</v>
      </c>
      <c r="L179" s="38">
        <v>30650</v>
      </c>
      <c r="M179" s="35" t="str">
        <f ca="1">IF('Row data'!$J179="",DATEDIF('Row data'!$L179,TODAY(),"y"),"0")</f>
        <v>0</v>
      </c>
      <c r="N179" s="35" t="s">
        <v>42</v>
      </c>
      <c r="O179" s="35" t="s">
        <v>43</v>
      </c>
      <c r="P179" s="39" t="s">
        <v>44</v>
      </c>
      <c r="Q179" s="39">
        <v>31884</v>
      </c>
      <c r="R179" s="39">
        <v>31884</v>
      </c>
      <c r="S179" s="39">
        <v>19130</v>
      </c>
      <c r="T179" s="39">
        <v>9565</v>
      </c>
      <c r="U179" s="39">
        <v>1275</v>
      </c>
      <c r="V179" s="39">
        <v>957</v>
      </c>
      <c r="W179" s="39">
        <v>0</v>
      </c>
      <c r="X179" s="39">
        <v>0</v>
      </c>
      <c r="Y179" s="39">
        <v>957</v>
      </c>
      <c r="Z179" s="39">
        <v>957</v>
      </c>
      <c r="AA179" s="39">
        <v>0</v>
      </c>
      <c r="AB179" s="39">
        <v>0</v>
      </c>
      <c r="AC179" s="39">
        <v>0</v>
      </c>
      <c r="AD179" s="39">
        <v>0</v>
      </c>
      <c r="AE179" s="39">
        <v>0</v>
      </c>
      <c r="AF179" s="39">
        <v>0</v>
      </c>
      <c r="AG179" s="39">
        <v>0</v>
      </c>
      <c r="AH179" s="39">
        <v>0</v>
      </c>
      <c r="AI179" s="39">
        <v>0</v>
      </c>
      <c r="AJ179" s="39">
        <f>'Row data'!$S179+'Row data'!$T179+'Row data'!$U179+'Row data'!$W179+'Row data'!$X179+'Row data'!$Y179+'Row data'!$Z179+'Row data'!$AA179+'Row data'!$AB179+'Row data'!$AD179-'Row data'!$AC179-'Row data'!$AE179-'Row data'!$AF179-'Row data'!$AG179-'Row data'!$AH179-'Row data'!$AI179</f>
        <v>31884</v>
      </c>
      <c r="AK179" s="39">
        <v>31884</v>
      </c>
      <c r="AL179" s="39">
        <v>0</v>
      </c>
    </row>
    <row r="180" spans="1:38" x14ac:dyDescent="0.3">
      <c r="A180" s="40">
        <v>179</v>
      </c>
      <c r="B180" s="35" t="s">
        <v>375</v>
      </c>
      <c r="C180" s="35">
        <v>5510884</v>
      </c>
      <c r="D180" s="36" t="s">
        <v>242</v>
      </c>
      <c r="E180" s="35" t="s">
        <v>65</v>
      </c>
      <c r="F180" s="35" t="s">
        <v>66</v>
      </c>
      <c r="G180" s="35" t="s">
        <v>198</v>
      </c>
      <c r="H180" s="37" t="s">
        <v>505</v>
      </c>
      <c r="I180" s="38">
        <v>44210</v>
      </c>
      <c r="J180" s="38"/>
      <c r="K180" s="17"/>
      <c r="L180" s="38">
        <v>35084</v>
      </c>
      <c r="M180" s="35">
        <f ca="1">IF('Row data'!$J180="",DATEDIF('Row data'!$L180,TODAY(),"y"),"0")</f>
        <v>30</v>
      </c>
      <c r="N180" s="35" t="s">
        <v>42</v>
      </c>
      <c r="O180" s="35" t="s">
        <v>43</v>
      </c>
      <c r="P180" s="39" t="s">
        <v>44</v>
      </c>
      <c r="Q180" s="39">
        <v>27468</v>
      </c>
      <c r="R180" s="39">
        <v>22879</v>
      </c>
      <c r="S180" s="39">
        <v>16481</v>
      </c>
      <c r="T180" s="39">
        <v>8240</v>
      </c>
      <c r="U180" s="39">
        <v>1099</v>
      </c>
      <c r="V180" s="39">
        <v>824</v>
      </c>
      <c r="W180" s="39">
        <v>0</v>
      </c>
      <c r="X180" s="39">
        <v>0</v>
      </c>
      <c r="Y180" s="39">
        <v>824</v>
      </c>
      <c r="Z180" s="39">
        <v>824</v>
      </c>
      <c r="AA180" s="39">
        <v>0</v>
      </c>
      <c r="AB180" s="39">
        <v>0</v>
      </c>
      <c r="AC180" s="39">
        <v>-4000</v>
      </c>
      <c r="AD180" s="39">
        <v>0</v>
      </c>
      <c r="AE180" s="39">
        <v>0</v>
      </c>
      <c r="AF180" s="39">
        <v>589</v>
      </c>
      <c r="AG180" s="39">
        <v>0</v>
      </c>
      <c r="AH180" s="39">
        <v>0</v>
      </c>
      <c r="AI180" s="39">
        <v>0</v>
      </c>
      <c r="AJ180" s="39">
        <f>'Row data'!$S180+'Row data'!$T180+'Row data'!$U180+'Row data'!$W180+'Row data'!$X180+'Row data'!$Y180+'Row data'!$Z180+'Row data'!$AA180+'Row data'!$AB180+'Row data'!$AD180-'Row data'!$AC180-'Row data'!$AE180-'Row data'!$AF180-'Row data'!$AG180-'Row data'!$AH180-'Row data'!$AI180</f>
        <v>30879</v>
      </c>
      <c r="AK180" s="39">
        <v>22879</v>
      </c>
      <c r="AL180" s="39">
        <v>0</v>
      </c>
    </row>
    <row r="181" spans="1:38" x14ac:dyDescent="0.3">
      <c r="A181" s="40">
        <v>180</v>
      </c>
      <c r="B181" s="35" t="s">
        <v>375</v>
      </c>
      <c r="C181" s="35">
        <v>6964296</v>
      </c>
      <c r="D181" s="36" t="s">
        <v>506</v>
      </c>
      <c r="E181" s="35" t="s">
        <v>65</v>
      </c>
      <c r="F181" s="35" t="s">
        <v>223</v>
      </c>
      <c r="G181" s="35" t="s">
        <v>50</v>
      </c>
      <c r="H181" s="37" t="s">
        <v>507</v>
      </c>
      <c r="I181" s="38">
        <v>44440</v>
      </c>
      <c r="J181" s="38">
        <v>44197</v>
      </c>
      <c r="K181" s="17">
        <f>YEAR('Row data'!$J181)</f>
        <v>2021</v>
      </c>
      <c r="L181" s="38">
        <v>32766</v>
      </c>
      <c r="M181" s="35" t="str">
        <f ca="1">IF('Row data'!$J181="",DATEDIF('Row data'!$L181,TODAY(),"y"),"0")</f>
        <v>0</v>
      </c>
      <c r="N181" s="35" t="s">
        <v>42</v>
      </c>
      <c r="O181" s="35" t="s">
        <v>43</v>
      </c>
      <c r="P181" s="39" t="s">
        <v>44</v>
      </c>
      <c r="Q181" s="39">
        <v>15904</v>
      </c>
      <c r="R181" s="39">
        <v>15222</v>
      </c>
      <c r="S181" s="39">
        <v>9543</v>
      </c>
      <c r="T181" s="39">
        <v>4771</v>
      </c>
      <c r="U181" s="39">
        <v>636</v>
      </c>
      <c r="V181" s="39">
        <v>477</v>
      </c>
      <c r="W181" s="39">
        <v>0</v>
      </c>
      <c r="X181" s="39">
        <v>0</v>
      </c>
      <c r="Y181" s="39">
        <v>477</v>
      </c>
      <c r="Z181" s="39">
        <v>477</v>
      </c>
      <c r="AA181" s="39">
        <v>0</v>
      </c>
      <c r="AB181" s="39">
        <v>0</v>
      </c>
      <c r="AC181" s="39">
        <v>0</v>
      </c>
      <c r="AD181" s="39">
        <v>0</v>
      </c>
      <c r="AE181" s="39">
        <v>682</v>
      </c>
      <c r="AF181" s="39">
        <v>0</v>
      </c>
      <c r="AG181" s="39">
        <v>0</v>
      </c>
      <c r="AH181" s="39">
        <v>0</v>
      </c>
      <c r="AI181" s="39">
        <v>0</v>
      </c>
      <c r="AJ181" s="39">
        <f>'Row data'!$S181+'Row data'!$T181+'Row data'!$U181+'Row data'!$W181+'Row data'!$X181+'Row data'!$Y181+'Row data'!$Z181+'Row data'!$AA181+'Row data'!$AB181+'Row data'!$AD181-'Row data'!$AC181-'Row data'!$AE181-'Row data'!$AF181-'Row data'!$AG181-'Row data'!$AH181-'Row data'!$AI181</f>
        <v>15222</v>
      </c>
      <c r="AK181" s="39">
        <v>15222</v>
      </c>
      <c r="AL181" s="39">
        <v>0</v>
      </c>
    </row>
    <row r="182" spans="1:38" x14ac:dyDescent="0.3">
      <c r="A182" s="40">
        <v>181</v>
      </c>
      <c r="B182" s="35" t="s">
        <v>375</v>
      </c>
      <c r="C182" s="35">
        <v>8875001</v>
      </c>
      <c r="D182" s="36" t="s">
        <v>508</v>
      </c>
      <c r="E182" s="35" t="s">
        <v>65</v>
      </c>
      <c r="F182" s="35" t="s">
        <v>223</v>
      </c>
      <c r="G182" s="35" t="s">
        <v>50</v>
      </c>
      <c r="H182" s="37" t="s">
        <v>509</v>
      </c>
      <c r="I182" s="38">
        <v>44256</v>
      </c>
      <c r="J182" s="38">
        <v>44197</v>
      </c>
      <c r="K182" s="17">
        <f>YEAR('Row data'!$J182)</f>
        <v>2021</v>
      </c>
      <c r="L182" s="38">
        <v>34283</v>
      </c>
      <c r="M182" s="35" t="str">
        <f ca="1">IF('Row data'!$J182="",DATEDIF('Row data'!$L182,TODAY(),"y"),"0")</f>
        <v>0</v>
      </c>
      <c r="N182" s="35" t="s">
        <v>42</v>
      </c>
      <c r="O182" s="35" t="s">
        <v>43</v>
      </c>
      <c r="P182" s="39" t="s">
        <v>44</v>
      </c>
      <c r="Q182" s="39">
        <v>15904</v>
      </c>
      <c r="R182" s="39">
        <v>15563</v>
      </c>
      <c r="S182" s="39">
        <v>9543</v>
      </c>
      <c r="T182" s="39">
        <v>4771</v>
      </c>
      <c r="U182" s="39">
        <v>636</v>
      </c>
      <c r="V182" s="39">
        <v>477</v>
      </c>
      <c r="W182" s="39">
        <v>0</v>
      </c>
      <c r="X182" s="39">
        <v>0</v>
      </c>
      <c r="Y182" s="39">
        <v>477</v>
      </c>
      <c r="Z182" s="39">
        <v>477</v>
      </c>
      <c r="AA182" s="39">
        <v>0</v>
      </c>
      <c r="AB182" s="39">
        <v>0</v>
      </c>
      <c r="AC182" s="39">
        <v>0</v>
      </c>
      <c r="AD182" s="39">
        <v>0</v>
      </c>
      <c r="AE182" s="39">
        <v>0</v>
      </c>
      <c r="AF182" s="39">
        <v>341</v>
      </c>
      <c r="AG182" s="39">
        <v>500</v>
      </c>
      <c r="AH182" s="39">
        <v>0</v>
      </c>
      <c r="AI182" s="39">
        <v>0</v>
      </c>
      <c r="AJ182" s="39">
        <f>'Row data'!$S182+'Row data'!$T182+'Row data'!$U182+'Row data'!$W182+'Row data'!$X182+'Row data'!$Y182+'Row data'!$Z182+'Row data'!$AA182+'Row data'!$AB182+'Row data'!$AD182-'Row data'!$AC182-'Row data'!$AE182-'Row data'!$AF182-'Row data'!$AG182-'Row data'!$AH182-'Row data'!$AI182</f>
        <v>15063</v>
      </c>
      <c r="AK182" s="39">
        <v>15063</v>
      </c>
      <c r="AL182" s="39">
        <v>0</v>
      </c>
    </row>
    <row r="183" spans="1:38" x14ac:dyDescent="0.3">
      <c r="A183" s="40">
        <v>182</v>
      </c>
      <c r="B183" s="35" t="s">
        <v>375</v>
      </c>
      <c r="C183" s="35">
        <v>5116308</v>
      </c>
      <c r="D183" s="36" t="s">
        <v>510</v>
      </c>
      <c r="E183" s="35" t="s">
        <v>65</v>
      </c>
      <c r="F183" s="35" t="s">
        <v>223</v>
      </c>
      <c r="G183" s="35" t="s">
        <v>50</v>
      </c>
      <c r="H183" s="37" t="s">
        <v>511</v>
      </c>
      <c r="I183" s="38">
        <v>45204</v>
      </c>
      <c r="J183" s="38">
        <v>44562</v>
      </c>
      <c r="K183" s="17">
        <f>YEAR('Row data'!$J183)</f>
        <v>2022</v>
      </c>
      <c r="L183" s="38">
        <v>36514</v>
      </c>
      <c r="M183" s="35" t="str">
        <f ca="1">IF('Row data'!$J183="",DATEDIF('Row data'!$L183,TODAY(),"y"),"0")</f>
        <v>0</v>
      </c>
      <c r="N183" s="35" t="s">
        <v>42</v>
      </c>
      <c r="O183" s="35" t="s">
        <v>43</v>
      </c>
      <c r="P183" s="39" t="s">
        <v>44</v>
      </c>
      <c r="Q183" s="39">
        <v>15904</v>
      </c>
      <c r="R183" s="39">
        <v>15563</v>
      </c>
      <c r="S183" s="39">
        <v>9543</v>
      </c>
      <c r="T183" s="39">
        <v>4771</v>
      </c>
      <c r="U183" s="39">
        <v>636</v>
      </c>
      <c r="V183" s="39">
        <v>477</v>
      </c>
      <c r="W183" s="39">
        <v>0</v>
      </c>
      <c r="X183" s="39">
        <v>0</v>
      </c>
      <c r="Y183" s="39">
        <v>477</v>
      </c>
      <c r="Z183" s="39">
        <v>477</v>
      </c>
      <c r="AA183" s="39">
        <v>0</v>
      </c>
      <c r="AB183" s="39">
        <v>0</v>
      </c>
      <c r="AC183" s="39">
        <v>0</v>
      </c>
      <c r="AD183" s="39">
        <v>0</v>
      </c>
      <c r="AE183" s="39">
        <v>341</v>
      </c>
      <c r="AF183" s="39">
        <v>0</v>
      </c>
      <c r="AG183" s="39">
        <v>0</v>
      </c>
      <c r="AH183" s="39">
        <v>0</v>
      </c>
      <c r="AI183" s="39">
        <v>0</v>
      </c>
      <c r="AJ183" s="39">
        <f>'Row data'!$S183+'Row data'!$T183+'Row data'!$U183+'Row data'!$W183+'Row data'!$X183+'Row data'!$Y183+'Row data'!$Z183+'Row data'!$AA183+'Row data'!$AB183+'Row data'!$AD183-'Row data'!$AC183-'Row data'!$AE183-'Row data'!$AF183-'Row data'!$AG183-'Row data'!$AH183-'Row data'!$AI183</f>
        <v>15563</v>
      </c>
      <c r="AK183" s="39">
        <v>15563</v>
      </c>
      <c r="AL183" s="39">
        <v>0</v>
      </c>
    </row>
    <row r="184" spans="1:38" x14ac:dyDescent="0.3">
      <c r="A184" s="40">
        <v>183</v>
      </c>
      <c r="B184" s="35" t="s">
        <v>375</v>
      </c>
      <c r="C184" s="35">
        <v>6735862</v>
      </c>
      <c r="D184" s="36" t="s">
        <v>512</v>
      </c>
      <c r="E184" s="35" t="s">
        <v>65</v>
      </c>
      <c r="F184" s="35" t="s">
        <v>223</v>
      </c>
      <c r="G184" s="35" t="s">
        <v>513</v>
      </c>
      <c r="H184" s="37" t="s">
        <v>514</v>
      </c>
      <c r="I184" s="38">
        <v>43557</v>
      </c>
      <c r="J184" s="38"/>
      <c r="K184" s="17"/>
      <c r="L184" s="38">
        <v>35997</v>
      </c>
      <c r="M184" s="35">
        <f ca="1">IF('Row data'!$J184="",DATEDIF('Row data'!$L184,TODAY(),"y"),"0")</f>
        <v>28</v>
      </c>
      <c r="N184" s="35" t="s">
        <v>42</v>
      </c>
      <c r="O184" s="35" t="s">
        <v>43</v>
      </c>
      <c r="P184" s="39" t="s">
        <v>44</v>
      </c>
      <c r="Q184" s="39">
        <v>22891</v>
      </c>
      <c r="R184" s="39">
        <v>22891</v>
      </c>
      <c r="S184" s="39">
        <v>13734</v>
      </c>
      <c r="T184" s="39">
        <v>6867</v>
      </c>
      <c r="U184" s="39">
        <v>916</v>
      </c>
      <c r="V184" s="39">
        <v>687</v>
      </c>
      <c r="W184" s="39">
        <v>0</v>
      </c>
      <c r="X184" s="39">
        <v>0</v>
      </c>
      <c r="Y184" s="39">
        <v>687</v>
      </c>
      <c r="Z184" s="39">
        <v>687</v>
      </c>
      <c r="AA184" s="39">
        <v>0</v>
      </c>
      <c r="AB184" s="39">
        <v>0</v>
      </c>
      <c r="AC184" s="39">
        <v>0</v>
      </c>
      <c r="AD184" s="39">
        <v>0</v>
      </c>
      <c r="AE184" s="39">
        <v>0</v>
      </c>
      <c r="AF184" s="39">
        <v>0</v>
      </c>
      <c r="AG184" s="39">
        <v>0</v>
      </c>
      <c r="AH184" s="39">
        <v>0</v>
      </c>
      <c r="AI184" s="39">
        <v>0</v>
      </c>
      <c r="AJ184" s="39">
        <f>'Row data'!$S184+'Row data'!$T184+'Row data'!$U184+'Row data'!$W184+'Row data'!$X184+'Row data'!$Y184+'Row data'!$Z184+'Row data'!$AA184+'Row data'!$AB184+'Row data'!$AD184-'Row data'!$AC184-'Row data'!$AE184-'Row data'!$AF184-'Row data'!$AG184-'Row data'!$AH184-'Row data'!$AI184</f>
        <v>22891</v>
      </c>
      <c r="AK184" s="39">
        <v>22891</v>
      </c>
      <c r="AL184" s="39">
        <v>0</v>
      </c>
    </row>
    <row r="185" spans="1:38" x14ac:dyDescent="0.3">
      <c r="A185" s="40">
        <v>184</v>
      </c>
      <c r="B185" s="35" t="s">
        <v>375</v>
      </c>
      <c r="C185" s="35">
        <v>6146963</v>
      </c>
      <c r="D185" s="36" t="s">
        <v>515</v>
      </c>
      <c r="E185" s="35" t="s">
        <v>65</v>
      </c>
      <c r="F185" s="35" t="s">
        <v>223</v>
      </c>
      <c r="G185" s="35" t="s">
        <v>516</v>
      </c>
      <c r="H185" s="37" t="s">
        <v>517</v>
      </c>
      <c r="I185" s="38">
        <v>42227</v>
      </c>
      <c r="J185" s="38">
        <v>44694</v>
      </c>
      <c r="K185" s="17">
        <f>YEAR('Row data'!$J185)</f>
        <v>2022</v>
      </c>
      <c r="L185" s="38">
        <v>31910</v>
      </c>
      <c r="M185" s="35" t="str">
        <f ca="1">IF('Row data'!$J185="",DATEDIF('Row data'!$L185,TODAY(),"y"),"0")</f>
        <v>0</v>
      </c>
      <c r="N185" s="35" t="s">
        <v>42</v>
      </c>
      <c r="O185" s="35" t="s">
        <v>43</v>
      </c>
      <c r="P185" s="39" t="s">
        <v>44</v>
      </c>
      <c r="Q185" s="39">
        <v>23979</v>
      </c>
      <c r="R185" s="39">
        <v>23979</v>
      </c>
      <c r="S185" s="39">
        <v>14388</v>
      </c>
      <c r="T185" s="39">
        <v>7194</v>
      </c>
      <c r="U185" s="39">
        <v>959</v>
      </c>
      <c r="V185" s="39">
        <v>719</v>
      </c>
      <c r="W185" s="39">
        <v>0</v>
      </c>
      <c r="X185" s="39">
        <v>0</v>
      </c>
      <c r="Y185" s="39">
        <v>719</v>
      </c>
      <c r="Z185" s="39">
        <v>719</v>
      </c>
      <c r="AA185" s="39">
        <v>0</v>
      </c>
      <c r="AB185" s="39">
        <v>0</v>
      </c>
      <c r="AC185" s="39">
        <v>0</v>
      </c>
      <c r="AD185" s="39">
        <v>0</v>
      </c>
      <c r="AE185" s="39">
        <v>0</v>
      </c>
      <c r="AF185" s="39">
        <v>0</v>
      </c>
      <c r="AG185" s="39">
        <v>0</v>
      </c>
      <c r="AH185" s="39">
        <v>0</v>
      </c>
      <c r="AI185" s="39">
        <v>0</v>
      </c>
      <c r="AJ185" s="39">
        <f>'Row data'!$S185+'Row data'!$T185+'Row data'!$U185+'Row data'!$W185+'Row data'!$X185+'Row data'!$Y185+'Row data'!$Z185+'Row data'!$AA185+'Row data'!$AB185+'Row data'!$AD185-'Row data'!$AC185-'Row data'!$AE185-'Row data'!$AF185-'Row data'!$AG185-'Row data'!$AH185-'Row data'!$AI185</f>
        <v>23979</v>
      </c>
      <c r="AK185" s="39">
        <v>23979</v>
      </c>
      <c r="AL185" s="39">
        <v>0</v>
      </c>
    </row>
    <row r="186" spans="1:38" x14ac:dyDescent="0.3">
      <c r="A186" s="40">
        <v>185</v>
      </c>
      <c r="B186" s="35" t="s">
        <v>375</v>
      </c>
      <c r="C186" s="35">
        <v>8077670</v>
      </c>
      <c r="D186" s="36" t="s">
        <v>518</v>
      </c>
      <c r="E186" s="35" t="s">
        <v>65</v>
      </c>
      <c r="F186" s="35" t="s">
        <v>223</v>
      </c>
      <c r="G186" s="35" t="s">
        <v>519</v>
      </c>
      <c r="H186" s="37" t="s">
        <v>520</v>
      </c>
      <c r="I186" s="38">
        <v>42462</v>
      </c>
      <c r="J186" s="38">
        <v>44844</v>
      </c>
      <c r="K186" s="17">
        <f>YEAR('Row data'!$J186)</f>
        <v>2022</v>
      </c>
      <c r="L186" s="38">
        <v>31330</v>
      </c>
      <c r="M186" s="35" t="str">
        <f ca="1">IF('Row data'!$J186="",DATEDIF('Row data'!$L186,TODAY(),"y"),"0")</f>
        <v>0</v>
      </c>
      <c r="N186" s="35" t="s">
        <v>42</v>
      </c>
      <c r="O186" s="35" t="s">
        <v>43</v>
      </c>
      <c r="P186" s="39" t="s">
        <v>44</v>
      </c>
      <c r="Q186" s="39">
        <v>26705</v>
      </c>
      <c r="R186" s="39">
        <v>26705</v>
      </c>
      <c r="S186" s="39">
        <v>16023</v>
      </c>
      <c r="T186" s="39">
        <v>8012</v>
      </c>
      <c r="U186" s="39">
        <v>1068</v>
      </c>
      <c r="V186" s="39">
        <v>801</v>
      </c>
      <c r="W186" s="39">
        <v>0</v>
      </c>
      <c r="X186" s="39">
        <v>0</v>
      </c>
      <c r="Y186" s="39">
        <v>801</v>
      </c>
      <c r="Z186" s="39">
        <v>801</v>
      </c>
      <c r="AA186" s="39">
        <v>0</v>
      </c>
      <c r="AB186" s="39">
        <v>0</v>
      </c>
      <c r="AC186" s="39">
        <v>0</v>
      </c>
      <c r="AD186" s="39">
        <v>0</v>
      </c>
      <c r="AE186" s="39">
        <v>0</v>
      </c>
      <c r="AF186" s="39">
        <v>0</v>
      </c>
      <c r="AG186" s="39">
        <v>3000</v>
      </c>
      <c r="AH186" s="39">
        <v>0</v>
      </c>
      <c r="AI186" s="39">
        <v>0</v>
      </c>
      <c r="AJ186" s="39">
        <f>'Row data'!$S186+'Row data'!$T186+'Row data'!$U186+'Row data'!$W186+'Row data'!$X186+'Row data'!$Y186+'Row data'!$Z186+'Row data'!$AA186+'Row data'!$AB186+'Row data'!$AD186-'Row data'!$AC186-'Row data'!$AE186-'Row data'!$AF186-'Row data'!$AG186-'Row data'!$AH186-'Row data'!$AI186</f>
        <v>23705</v>
      </c>
      <c r="AK186" s="39">
        <v>23705</v>
      </c>
      <c r="AL186" s="39">
        <v>0</v>
      </c>
    </row>
    <row r="187" spans="1:38" x14ac:dyDescent="0.3">
      <c r="A187" s="40">
        <v>186</v>
      </c>
      <c r="B187" s="35" t="s">
        <v>375</v>
      </c>
      <c r="C187" s="35">
        <v>9922248</v>
      </c>
      <c r="D187" s="36" t="s">
        <v>521</v>
      </c>
      <c r="E187" s="35" t="s">
        <v>65</v>
      </c>
      <c r="F187" s="35" t="s">
        <v>223</v>
      </c>
      <c r="G187" s="35" t="s">
        <v>516</v>
      </c>
      <c r="H187" s="37" t="s">
        <v>522</v>
      </c>
      <c r="I187" s="38">
        <v>44431</v>
      </c>
      <c r="J187" s="38"/>
      <c r="K187" s="17"/>
      <c r="L187" s="38">
        <v>36765</v>
      </c>
      <c r="M187" s="35">
        <f ca="1">IF('Row data'!$J187="",DATEDIF('Row data'!$L187,TODAY(),"y"),"0")</f>
        <v>26</v>
      </c>
      <c r="N187" s="35" t="s">
        <v>42</v>
      </c>
      <c r="O187" s="35" t="s">
        <v>43</v>
      </c>
      <c r="P187" s="39" t="s">
        <v>44</v>
      </c>
      <c r="Q187" s="39">
        <v>16126</v>
      </c>
      <c r="R187" s="39">
        <v>16126</v>
      </c>
      <c r="S187" s="39">
        <v>9675</v>
      </c>
      <c r="T187" s="39">
        <v>4838</v>
      </c>
      <c r="U187" s="39">
        <v>645</v>
      </c>
      <c r="V187" s="39">
        <v>484</v>
      </c>
      <c r="W187" s="39">
        <v>0</v>
      </c>
      <c r="X187" s="39">
        <v>0</v>
      </c>
      <c r="Y187" s="39">
        <v>484</v>
      </c>
      <c r="Z187" s="39">
        <v>484</v>
      </c>
      <c r="AA187" s="39">
        <v>0</v>
      </c>
      <c r="AB187" s="39">
        <v>0</v>
      </c>
      <c r="AC187" s="39">
        <v>0</v>
      </c>
      <c r="AD187" s="39">
        <v>0</v>
      </c>
      <c r="AE187" s="39">
        <v>0</v>
      </c>
      <c r="AF187" s="39">
        <v>0</v>
      </c>
      <c r="AG187" s="39">
        <v>0</v>
      </c>
      <c r="AH187" s="39">
        <v>0</v>
      </c>
      <c r="AI187" s="39">
        <v>0</v>
      </c>
      <c r="AJ187" s="39">
        <f>'Row data'!$S187+'Row data'!$T187+'Row data'!$U187+'Row data'!$W187+'Row data'!$X187+'Row data'!$Y187+'Row data'!$Z187+'Row data'!$AA187+'Row data'!$AB187+'Row data'!$AD187-'Row data'!$AC187-'Row data'!$AE187-'Row data'!$AF187-'Row data'!$AG187-'Row data'!$AH187-'Row data'!$AI187</f>
        <v>16126</v>
      </c>
      <c r="AK187" s="39">
        <v>16126</v>
      </c>
      <c r="AL187" s="39">
        <v>0</v>
      </c>
    </row>
    <row r="188" spans="1:38" x14ac:dyDescent="0.3">
      <c r="A188" s="40">
        <v>187</v>
      </c>
      <c r="B188" s="35" t="s">
        <v>375</v>
      </c>
      <c r="C188" s="35">
        <v>7841535</v>
      </c>
      <c r="D188" s="36" t="s">
        <v>523</v>
      </c>
      <c r="E188" s="35" t="s">
        <v>65</v>
      </c>
      <c r="F188" s="35" t="s">
        <v>223</v>
      </c>
      <c r="G188" s="35" t="s">
        <v>516</v>
      </c>
      <c r="H188" s="37" t="s">
        <v>524</v>
      </c>
      <c r="I188" s="38">
        <v>44434</v>
      </c>
      <c r="J188" s="38">
        <v>44571</v>
      </c>
      <c r="K188" s="17">
        <f>YEAR('Row data'!$J188)</f>
        <v>2022</v>
      </c>
      <c r="L188" s="38">
        <v>31057</v>
      </c>
      <c r="M188" s="35" t="str">
        <f ca="1">IF('Row data'!$J188="",DATEDIF('Row data'!$L188,TODAY(),"y"),"0")</f>
        <v>0</v>
      </c>
      <c r="N188" s="35" t="s">
        <v>42</v>
      </c>
      <c r="O188" s="35" t="s">
        <v>43</v>
      </c>
      <c r="P188" s="39" t="s">
        <v>44</v>
      </c>
      <c r="Q188" s="39">
        <v>20166</v>
      </c>
      <c r="R188" s="39">
        <v>20166</v>
      </c>
      <c r="S188" s="39">
        <v>12022</v>
      </c>
      <c r="T188" s="39">
        <v>6050</v>
      </c>
      <c r="U188" s="39">
        <v>807</v>
      </c>
      <c r="V188" s="39">
        <v>605</v>
      </c>
      <c r="W188" s="39">
        <v>0</v>
      </c>
      <c r="X188" s="39">
        <v>0</v>
      </c>
      <c r="Y188" s="39">
        <v>605</v>
      </c>
      <c r="Z188" s="39">
        <v>605</v>
      </c>
      <c r="AA188" s="39">
        <v>0</v>
      </c>
      <c r="AB188" s="39">
        <v>0</v>
      </c>
      <c r="AC188" s="39">
        <v>0</v>
      </c>
      <c r="AD188" s="39">
        <v>0</v>
      </c>
      <c r="AE188" s="39">
        <v>0</v>
      </c>
      <c r="AF188" s="39">
        <v>0</v>
      </c>
      <c r="AG188" s="39">
        <v>0</v>
      </c>
      <c r="AH188" s="39">
        <v>0</v>
      </c>
      <c r="AI188" s="39">
        <v>0</v>
      </c>
      <c r="AJ188" s="39">
        <f>'Row data'!$S188+'Row data'!$T188+'Row data'!$U188+'Row data'!$W188+'Row data'!$X188+'Row data'!$Y188+'Row data'!$Z188+'Row data'!$AA188+'Row data'!$AB188+'Row data'!$AD188-'Row data'!$AC188-'Row data'!$AE188-'Row data'!$AF188-'Row data'!$AG188-'Row data'!$AH188-'Row data'!$AI188</f>
        <v>20089</v>
      </c>
      <c r="AK188" s="39">
        <v>20166</v>
      </c>
      <c r="AL188" s="39">
        <v>0</v>
      </c>
    </row>
    <row r="189" spans="1:38" x14ac:dyDescent="0.3">
      <c r="A189" s="40">
        <v>188</v>
      </c>
      <c r="B189" s="35" t="s">
        <v>375</v>
      </c>
      <c r="C189" s="35">
        <v>8958834</v>
      </c>
      <c r="D189" s="36" t="s">
        <v>525</v>
      </c>
      <c r="E189" s="35" t="s">
        <v>65</v>
      </c>
      <c r="F189" s="35" t="s">
        <v>223</v>
      </c>
      <c r="G189" s="35" t="s">
        <v>516</v>
      </c>
      <c r="H189" s="37" t="s">
        <v>526</v>
      </c>
      <c r="I189" s="38">
        <v>44431</v>
      </c>
      <c r="J189" s="38"/>
      <c r="K189" s="17"/>
      <c r="L189" s="38">
        <v>35875</v>
      </c>
      <c r="M189" s="35">
        <f ca="1">IF('Row data'!$J189="",DATEDIF('Row data'!$L189,TODAY(),"y"),"0")</f>
        <v>28</v>
      </c>
      <c r="N189" s="35" t="s">
        <v>42</v>
      </c>
      <c r="O189" s="35" t="s">
        <v>43</v>
      </c>
      <c r="P189" s="39" t="s">
        <v>44</v>
      </c>
      <c r="Q189" s="39">
        <v>16260</v>
      </c>
      <c r="R189" s="39">
        <v>16260</v>
      </c>
      <c r="S189" s="39">
        <v>9756</v>
      </c>
      <c r="T189" s="39">
        <v>4878</v>
      </c>
      <c r="U189" s="39">
        <v>650</v>
      </c>
      <c r="V189" s="39">
        <v>488</v>
      </c>
      <c r="W189" s="39">
        <v>0</v>
      </c>
      <c r="X189" s="39">
        <v>0</v>
      </c>
      <c r="Y189" s="39">
        <v>488</v>
      </c>
      <c r="Z189" s="39">
        <v>488</v>
      </c>
      <c r="AA189" s="39">
        <v>0</v>
      </c>
      <c r="AB189" s="39">
        <v>0</v>
      </c>
      <c r="AC189" s="39">
        <v>0</v>
      </c>
      <c r="AD189" s="39">
        <v>0</v>
      </c>
      <c r="AE189" s="39">
        <v>0</v>
      </c>
      <c r="AF189" s="39">
        <v>0</v>
      </c>
      <c r="AG189" s="39">
        <v>0</v>
      </c>
      <c r="AH189" s="39">
        <v>0</v>
      </c>
      <c r="AI189" s="39">
        <v>0</v>
      </c>
      <c r="AJ189" s="39">
        <f>'Row data'!$S189+'Row data'!$T189+'Row data'!$U189+'Row data'!$W189+'Row data'!$X189+'Row data'!$Y189+'Row data'!$Z189+'Row data'!$AA189+'Row data'!$AB189+'Row data'!$AD189-'Row data'!$AC189-'Row data'!$AE189-'Row data'!$AF189-'Row data'!$AG189-'Row data'!$AH189-'Row data'!$AI189</f>
        <v>16260</v>
      </c>
      <c r="AK189" s="39">
        <v>16260</v>
      </c>
      <c r="AL189" s="39">
        <v>0</v>
      </c>
    </row>
    <row r="190" spans="1:38" x14ac:dyDescent="0.3">
      <c r="A190" s="40">
        <v>189</v>
      </c>
      <c r="B190" s="35" t="s">
        <v>375</v>
      </c>
      <c r="C190" s="35">
        <v>9811733</v>
      </c>
      <c r="D190" s="36" t="s">
        <v>527</v>
      </c>
      <c r="E190" s="35" t="s">
        <v>65</v>
      </c>
      <c r="F190" s="35" t="s">
        <v>223</v>
      </c>
      <c r="G190" s="35" t="s">
        <v>516</v>
      </c>
      <c r="H190" s="37" t="s">
        <v>528</v>
      </c>
      <c r="I190" s="38">
        <v>45050</v>
      </c>
      <c r="J190" s="38">
        <v>44562</v>
      </c>
      <c r="K190" s="17">
        <f>YEAR('Row data'!$J190)</f>
        <v>2022</v>
      </c>
      <c r="L190" s="38">
        <v>36777</v>
      </c>
      <c r="M190" s="35" t="str">
        <f ca="1">IF('Row data'!$J190="",DATEDIF('Row data'!$L190,TODAY(),"y"),"0")</f>
        <v>0</v>
      </c>
      <c r="N190" s="35" t="s">
        <v>42</v>
      </c>
      <c r="O190" s="35" t="s">
        <v>43</v>
      </c>
      <c r="P190" s="39" t="s">
        <v>44</v>
      </c>
      <c r="Q190" s="39">
        <v>16126</v>
      </c>
      <c r="R190" s="39">
        <v>16126</v>
      </c>
      <c r="S190" s="39">
        <v>9675</v>
      </c>
      <c r="T190" s="39">
        <v>4838</v>
      </c>
      <c r="U190" s="39">
        <v>645</v>
      </c>
      <c r="V190" s="39">
        <v>484</v>
      </c>
      <c r="W190" s="39">
        <v>0</v>
      </c>
      <c r="X190" s="39">
        <v>0</v>
      </c>
      <c r="Y190" s="39">
        <v>484</v>
      </c>
      <c r="Z190" s="39">
        <v>484</v>
      </c>
      <c r="AA190" s="39">
        <v>0</v>
      </c>
      <c r="AB190" s="39">
        <v>0</v>
      </c>
      <c r="AC190" s="39">
        <v>0</v>
      </c>
      <c r="AD190" s="39">
        <v>0</v>
      </c>
      <c r="AE190" s="39">
        <v>0</v>
      </c>
      <c r="AF190" s="39">
        <v>0</v>
      </c>
      <c r="AG190" s="39">
        <v>0</v>
      </c>
      <c r="AH190" s="39">
        <v>0</v>
      </c>
      <c r="AI190" s="39">
        <v>0</v>
      </c>
      <c r="AJ190" s="39">
        <f>'Row data'!$S190+'Row data'!$T190+'Row data'!$U190+'Row data'!$W190+'Row data'!$X190+'Row data'!$Y190+'Row data'!$Z190+'Row data'!$AA190+'Row data'!$AB190+'Row data'!$AD190-'Row data'!$AC190-'Row data'!$AE190-'Row data'!$AF190-'Row data'!$AG190-'Row data'!$AH190-'Row data'!$AI190</f>
        <v>16126</v>
      </c>
      <c r="AK190" s="39">
        <v>16126</v>
      </c>
      <c r="AL190" s="39">
        <v>0</v>
      </c>
    </row>
    <row r="191" spans="1:38" x14ac:dyDescent="0.3">
      <c r="A191" s="40">
        <v>190</v>
      </c>
      <c r="B191" s="35" t="s">
        <v>375</v>
      </c>
      <c r="C191" s="35">
        <v>9256820</v>
      </c>
      <c r="D191" s="36" t="s">
        <v>529</v>
      </c>
      <c r="E191" s="35" t="s">
        <v>65</v>
      </c>
      <c r="F191" s="35" t="s">
        <v>223</v>
      </c>
      <c r="G191" s="35" t="s">
        <v>516</v>
      </c>
      <c r="H191" s="37" t="s">
        <v>530</v>
      </c>
      <c r="I191" s="38">
        <v>44873</v>
      </c>
      <c r="J191" s="38"/>
      <c r="K191" s="17"/>
      <c r="L191" s="38">
        <v>36526</v>
      </c>
      <c r="M191" s="35">
        <f ca="1">IF('Row data'!$J191="",DATEDIF('Row data'!$L191,TODAY(),"y"),"0")</f>
        <v>26</v>
      </c>
      <c r="N191" s="35" t="s">
        <v>42</v>
      </c>
      <c r="O191" s="35" t="s">
        <v>43</v>
      </c>
      <c r="P191" s="39" t="s">
        <v>44</v>
      </c>
      <c r="Q191" s="39">
        <v>23113</v>
      </c>
      <c r="R191" s="39">
        <v>23113</v>
      </c>
      <c r="S191" s="39">
        <v>13868</v>
      </c>
      <c r="T191" s="39">
        <v>6934</v>
      </c>
      <c r="U191" s="39">
        <v>925</v>
      </c>
      <c r="V191" s="39">
        <v>693</v>
      </c>
      <c r="W191" s="39">
        <v>0</v>
      </c>
      <c r="X191" s="39">
        <v>0</v>
      </c>
      <c r="Y191" s="39">
        <v>693</v>
      </c>
      <c r="Z191" s="39">
        <v>693</v>
      </c>
      <c r="AA191" s="39">
        <v>0</v>
      </c>
      <c r="AB191" s="39">
        <v>0</v>
      </c>
      <c r="AC191" s="39">
        <v>0</v>
      </c>
      <c r="AD191" s="39">
        <v>0</v>
      </c>
      <c r="AE191" s="39">
        <v>0</v>
      </c>
      <c r="AF191" s="39">
        <v>0</v>
      </c>
      <c r="AG191" s="39">
        <v>0</v>
      </c>
      <c r="AH191" s="39">
        <v>0</v>
      </c>
      <c r="AI191" s="39">
        <v>0</v>
      </c>
      <c r="AJ191" s="39">
        <f>'Row data'!$S191+'Row data'!$T191+'Row data'!$U191+'Row data'!$W191+'Row data'!$X191+'Row data'!$Y191+'Row data'!$Z191+'Row data'!$AA191+'Row data'!$AB191+'Row data'!$AD191-'Row data'!$AC191-'Row data'!$AE191-'Row data'!$AF191-'Row data'!$AG191-'Row data'!$AH191-'Row data'!$AI191</f>
        <v>23113</v>
      </c>
      <c r="AK191" s="39">
        <v>23113</v>
      </c>
      <c r="AL191" s="39">
        <v>0</v>
      </c>
    </row>
    <row r="192" spans="1:38" x14ac:dyDescent="0.3">
      <c r="A192" s="40">
        <v>191</v>
      </c>
      <c r="B192" s="35" t="s">
        <v>531</v>
      </c>
      <c r="C192" s="35">
        <v>7960480</v>
      </c>
      <c r="D192" s="36" t="s">
        <v>532</v>
      </c>
      <c r="E192" s="35" t="s">
        <v>38</v>
      </c>
      <c r="F192" s="35" t="s">
        <v>533</v>
      </c>
      <c r="G192" s="35" t="s">
        <v>534</v>
      </c>
      <c r="H192" s="37" t="s">
        <v>535</v>
      </c>
      <c r="I192" s="38">
        <v>44636</v>
      </c>
      <c r="J192" s="38"/>
      <c r="K192" s="17"/>
      <c r="L192" s="38">
        <v>32143</v>
      </c>
      <c r="M192" s="35">
        <f ca="1">IF('Row data'!$J192="",DATEDIF('Row data'!$L192,TODAY(),"y"),"0")</f>
        <v>38</v>
      </c>
      <c r="N192" s="35" t="s">
        <v>42</v>
      </c>
      <c r="O192" s="35" t="s">
        <v>43</v>
      </c>
      <c r="P192" s="39" t="s">
        <v>44</v>
      </c>
      <c r="Q192" s="39">
        <v>31066</v>
      </c>
      <c r="R192" s="39">
        <v>31066</v>
      </c>
      <c r="S192" s="39">
        <v>18639</v>
      </c>
      <c r="T192" s="39">
        <v>9320</v>
      </c>
      <c r="U192" s="39">
        <v>1243</v>
      </c>
      <c r="V192" s="39">
        <v>932</v>
      </c>
      <c r="W192" s="39">
        <v>0</v>
      </c>
      <c r="X192" s="39">
        <v>0</v>
      </c>
      <c r="Y192" s="39">
        <v>932</v>
      </c>
      <c r="Z192" s="39">
        <v>932</v>
      </c>
      <c r="AA192" s="39">
        <v>0</v>
      </c>
      <c r="AB192" s="39">
        <v>0</v>
      </c>
      <c r="AC192" s="39">
        <v>0</v>
      </c>
      <c r="AD192" s="39">
        <v>0</v>
      </c>
      <c r="AE192" s="39">
        <v>0</v>
      </c>
      <c r="AF192" s="39">
        <v>0</v>
      </c>
      <c r="AG192" s="39">
        <v>0</v>
      </c>
      <c r="AH192" s="39">
        <v>0</v>
      </c>
      <c r="AI192" s="39">
        <v>0</v>
      </c>
      <c r="AJ192" s="39">
        <f>'Row data'!$S192+'Row data'!$T192+'Row data'!$U192+'Row data'!$W192+'Row data'!$X192+'Row data'!$Y192+'Row data'!$Z192+'Row data'!$AA192+'Row data'!$AB192+'Row data'!$AD192-'Row data'!$AC192-'Row data'!$AE192-'Row data'!$AF192-'Row data'!$AG192-'Row data'!$AH192-'Row data'!$AI192</f>
        <v>31066</v>
      </c>
      <c r="AK192" s="39">
        <v>31066</v>
      </c>
      <c r="AL192" s="39">
        <v>0</v>
      </c>
    </row>
    <row r="193" spans="1:38" x14ac:dyDescent="0.3">
      <c r="A193" s="40">
        <v>192</v>
      </c>
      <c r="B193" s="35" t="s">
        <v>531</v>
      </c>
      <c r="C193" s="35">
        <v>5244005</v>
      </c>
      <c r="D193" s="36" t="s">
        <v>536</v>
      </c>
      <c r="E193" s="35" t="s">
        <v>38</v>
      </c>
      <c r="F193" s="35" t="s">
        <v>533</v>
      </c>
      <c r="G193" s="35" t="s">
        <v>537</v>
      </c>
      <c r="H193" s="37" t="s">
        <v>538</v>
      </c>
      <c r="I193" s="38">
        <v>44378</v>
      </c>
      <c r="J193" s="38"/>
      <c r="K193" s="17"/>
      <c r="L193" s="38">
        <v>35882</v>
      </c>
      <c r="M193" s="35">
        <f ca="1">IF('Row data'!$J193="",DATEDIF('Row data'!$L193,TODAY(),"y"),"0")</f>
        <v>28</v>
      </c>
      <c r="N193" s="35" t="s">
        <v>42</v>
      </c>
      <c r="O193" s="35" t="s">
        <v>43</v>
      </c>
      <c r="P193" s="39" t="s">
        <v>44</v>
      </c>
      <c r="Q193" s="39">
        <v>17440</v>
      </c>
      <c r="R193" s="39">
        <v>14440</v>
      </c>
      <c r="S193" s="39">
        <v>10464</v>
      </c>
      <c r="T193" s="39">
        <v>5232</v>
      </c>
      <c r="U193" s="39">
        <v>698</v>
      </c>
      <c r="V193" s="39">
        <v>523</v>
      </c>
      <c r="W193" s="39">
        <v>0</v>
      </c>
      <c r="X193" s="39">
        <v>0</v>
      </c>
      <c r="Y193" s="39">
        <v>523</v>
      </c>
      <c r="Z193" s="39">
        <v>523</v>
      </c>
      <c r="AA193" s="39">
        <v>0</v>
      </c>
      <c r="AB193" s="39">
        <v>0</v>
      </c>
      <c r="AC193" s="39">
        <v>-3000</v>
      </c>
      <c r="AD193" s="39">
        <v>0</v>
      </c>
      <c r="AE193" s="39">
        <v>0</v>
      </c>
      <c r="AF193" s="39">
        <v>0</v>
      </c>
      <c r="AG193" s="39">
        <v>0</v>
      </c>
      <c r="AH193" s="39">
        <v>0</v>
      </c>
      <c r="AI193" s="39">
        <v>0</v>
      </c>
      <c r="AJ193" s="39">
        <f>'Row data'!$S193+'Row data'!$T193+'Row data'!$U193+'Row data'!$W193+'Row data'!$X193+'Row data'!$Y193+'Row data'!$Z193+'Row data'!$AA193+'Row data'!$AB193+'Row data'!$AD193-'Row data'!$AC193-'Row data'!$AE193-'Row data'!$AF193-'Row data'!$AG193-'Row data'!$AH193-'Row data'!$AI193</f>
        <v>20440</v>
      </c>
      <c r="AK193" s="39">
        <v>14440</v>
      </c>
      <c r="AL193" s="39">
        <v>0</v>
      </c>
    </row>
    <row r="194" spans="1:38" x14ac:dyDescent="0.3">
      <c r="A194" s="40">
        <v>193</v>
      </c>
      <c r="B194" s="35" t="s">
        <v>531</v>
      </c>
      <c r="C194" s="35">
        <v>9096576</v>
      </c>
      <c r="D194" s="36" t="s">
        <v>539</v>
      </c>
      <c r="E194" s="35" t="s">
        <v>38</v>
      </c>
      <c r="F194" s="35" t="s">
        <v>533</v>
      </c>
      <c r="G194" s="35" t="s">
        <v>62</v>
      </c>
      <c r="H194" s="37" t="s">
        <v>540</v>
      </c>
      <c r="I194" s="38">
        <v>42005</v>
      </c>
      <c r="J194" s="38"/>
      <c r="K194" s="17"/>
      <c r="L194" s="38">
        <v>34054</v>
      </c>
      <c r="M194" s="35">
        <f ca="1">IF('Row data'!$J194="",DATEDIF('Row data'!$L194,TODAY(),"y"),"0")</f>
        <v>33</v>
      </c>
      <c r="N194" s="35" t="s">
        <v>42</v>
      </c>
      <c r="O194" s="35" t="s">
        <v>43</v>
      </c>
      <c r="P194" s="39" t="s">
        <v>44</v>
      </c>
      <c r="Q194" s="39">
        <v>32700</v>
      </c>
      <c r="R194" s="39">
        <v>29700</v>
      </c>
      <c r="S194" s="39">
        <v>19620</v>
      </c>
      <c r="T194" s="39">
        <v>9810</v>
      </c>
      <c r="U194" s="39">
        <v>1308</v>
      </c>
      <c r="V194" s="39">
        <v>981</v>
      </c>
      <c r="W194" s="39">
        <v>0</v>
      </c>
      <c r="X194" s="39">
        <v>0</v>
      </c>
      <c r="Y194" s="39">
        <v>981</v>
      </c>
      <c r="Z194" s="39">
        <v>981</v>
      </c>
      <c r="AA194" s="39">
        <v>0</v>
      </c>
      <c r="AB194" s="39">
        <v>0</v>
      </c>
      <c r="AC194" s="39">
        <v>-3000</v>
      </c>
      <c r="AD194" s="39">
        <v>0</v>
      </c>
      <c r="AE194" s="39">
        <v>0</v>
      </c>
      <c r="AF194" s="39">
        <v>0</v>
      </c>
      <c r="AG194" s="39">
        <v>0</v>
      </c>
      <c r="AH194" s="39">
        <v>0</v>
      </c>
      <c r="AI194" s="39">
        <v>0</v>
      </c>
      <c r="AJ194" s="39">
        <f>'Row data'!$S194+'Row data'!$T194+'Row data'!$U194+'Row data'!$W194+'Row data'!$X194+'Row data'!$Y194+'Row data'!$Z194+'Row data'!$AA194+'Row data'!$AB194+'Row data'!$AD194-'Row data'!$AC194-'Row data'!$AE194-'Row data'!$AF194-'Row data'!$AG194-'Row data'!$AH194-'Row data'!$AI194</f>
        <v>35700</v>
      </c>
      <c r="AK194" s="39">
        <v>29700</v>
      </c>
      <c r="AL194" s="39">
        <v>0</v>
      </c>
    </row>
    <row r="195" spans="1:38" x14ac:dyDescent="0.3">
      <c r="A195" s="40">
        <v>194</v>
      </c>
      <c r="B195" s="35" t="s">
        <v>531</v>
      </c>
      <c r="C195" s="35">
        <v>6781495</v>
      </c>
      <c r="D195" s="36" t="s">
        <v>541</v>
      </c>
      <c r="E195" s="35" t="s">
        <v>187</v>
      </c>
      <c r="F195" s="35" t="s">
        <v>187</v>
      </c>
      <c r="G195" s="35" t="s">
        <v>542</v>
      </c>
      <c r="H195" s="37" t="s">
        <v>543</v>
      </c>
      <c r="I195" s="38">
        <v>45236</v>
      </c>
      <c r="J195" s="38">
        <v>44562</v>
      </c>
      <c r="K195" s="17">
        <f>YEAR('Row data'!$J195)</f>
        <v>2022</v>
      </c>
      <c r="L195" s="38">
        <v>36907</v>
      </c>
      <c r="M195" s="35" t="str">
        <f ca="1">IF('Row data'!$J195="",DATEDIF('Row data'!$L195,TODAY(),"y"),"0")</f>
        <v>0</v>
      </c>
      <c r="N195" s="35" t="s">
        <v>42</v>
      </c>
      <c r="O195" s="35" t="s">
        <v>43</v>
      </c>
      <c r="P195" s="39" t="s">
        <v>44</v>
      </c>
      <c r="Q195" s="39">
        <v>16215</v>
      </c>
      <c r="R195" s="39">
        <v>12393</v>
      </c>
      <c r="S195" s="39">
        <v>9729</v>
      </c>
      <c r="T195" s="39">
        <v>4865</v>
      </c>
      <c r="U195" s="39">
        <v>649</v>
      </c>
      <c r="V195" s="39">
        <v>486</v>
      </c>
      <c r="W195" s="39">
        <v>0</v>
      </c>
      <c r="X195" s="39">
        <v>0</v>
      </c>
      <c r="Y195" s="39">
        <v>486</v>
      </c>
      <c r="Z195" s="39">
        <v>486</v>
      </c>
      <c r="AA195" s="39">
        <v>0</v>
      </c>
      <c r="AB195" s="39">
        <v>0</v>
      </c>
      <c r="AC195" s="39">
        <v>0</v>
      </c>
      <c r="AD195" s="39">
        <v>0</v>
      </c>
      <c r="AE195" s="39">
        <v>3822</v>
      </c>
      <c r="AF195" s="39">
        <v>0</v>
      </c>
      <c r="AG195" s="39">
        <v>0</v>
      </c>
      <c r="AH195" s="39">
        <v>0</v>
      </c>
      <c r="AI195" s="39">
        <v>0</v>
      </c>
      <c r="AJ195" s="39">
        <f>'Row data'!$S195+'Row data'!$T195+'Row data'!$U195+'Row data'!$W195+'Row data'!$X195+'Row data'!$Y195+'Row data'!$Z195+'Row data'!$AA195+'Row data'!$AB195+'Row data'!$AD195-'Row data'!$AC195-'Row data'!$AE195-'Row data'!$AF195-'Row data'!$AG195-'Row data'!$AH195-'Row data'!$AI195</f>
        <v>12393</v>
      </c>
      <c r="AK195" s="39">
        <v>12393</v>
      </c>
      <c r="AL195" s="39">
        <v>0</v>
      </c>
    </row>
    <row r="196" spans="1:38" x14ac:dyDescent="0.3">
      <c r="A196" s="40">
        <v>195</v>
      </c>
      <c r="B196" s="35" t="s">
        <v>531</v>
      </c>
      <c r="C196" s="35">
        <v>7641852</v>
      </c>
      <c r="D196" s="36" t="s">
        <v>544</v>
      </c>
      <c r="E196" s="35" t="s">
        <v>187</v>
      </c>
      <c r="F196" s="35" t="s">
        <v>187</v>
      </c>
      <c r="G196" s="35" t="s">
        <v>542</v>
      </c>
      <c r="H196" s="37" t="s">
        <v>545</v>
      </c>
      <c r="I196" s="38">
        <v>45231</v>
      </c>
      <c r="J196" s="38">
        <v>44562</v>
      </c>
      <c r="K196" s="17">
        <f>YEAR('Row data'!$J196)</f>
        <v>2022</v>
      </c>
      <c r="L196" s="38">
        <v>38657</v>
      </c>
      <c r="M196" s="35" t="str">
        <f ca="1">IF('Row data'!$J196="",DATEDIF('Row data'!$L196,TODAY(),"y"),"0")</f>
        <v>0</v>
      </c>
      <c r="N196" s="35" t="s">
        <v>42</v>
      </c>
      <c r="O196" s="35" t="s">
        <v>43</v>
      </c>
      <c r="P196" s="39" t="s">
        <v>44</v>
      </c>
      <c r="Q196" s="39">
        <v>16215</v>
      </c>
      <c r="R196" s="39">
        <v>16215</v>
      </c>
      <c r="S196" s="39">
        <v>9729</v>
      </c>
      <c r="T196" s="39">
        <v>4865</v>
      </c>
      <c r="U196" s="39">
        <v>649</v>
      </c>
      <c r="V196" s="39">
        <v>486</v>
      </c>
      <c r="W196" s="39">
        <v>0</v>
      </c>
      <c r="X196" s="39">
        <v>0</v>
      </c>
      <c r="Y196" s="39">
        <v>486</v>
      </c>
      <c r="Z196" s="39">
        <v>486</v>
      </c>
      <c r="AA196" s="39">
        <v>0</v>
      </c>
      <c r="AB196" s="39">
        <v>0</v>
      </c>
      <c r="AC196" s="39">
        <v>0</v>
      </c>
      <c r="AD196" s="39">
        <v>0</v>
      </c>
      <c r="AE196" s="39">
        <v>0</v>
      </c>
      <c r="AF196" s="39">
        <v>0</v>
      </c>
      <c r="AG196" s="39">
        <v>0</v>
      </c>
      <c r="AH196" s="39">
        <v>0</v>
      </c>
      <c r="AI196" s="39">
        <v>0</v>
      </c>
      <c r="AJ196" s="39">
        <f>'Row data'!$S196+'Row data'!$T196+'Row data'!$U196+'Row data'!$W196+'Row data'!$X196+'Row data'!$Y196+'Row data'!$Z196+'Row data'!$AA196+'Row data'!$AB196+'Row data'!$AD196-'Row data'!$AC196-'Row data'!$AE196-'Row data'!$AF196-'Row data'!$AG196-'Row data'!$AH196-'Row data'!$AI196</f>
        <v>16215</v>
      </c>
      <c r="AK196" s="39">
        <v>16215</v>
      </c>
      <c r="AL196" s="39">
        <v>0</v>
      </c>
    </row>
    <row r="197" spans="1:38" x14ac:dyDescent="0.3">
      <c r="A197" s="40">
        <v>196</v>
      </c>
      <c r="B197" s="35" t="s">
        <v>531</v>
      </c>
      <c r="C197" s="35">
        <v>8882192</v>
      </c>
      <c r="D197" s="36" t="s">
        <v>546</v>
      </c>
      <c r="E197" s="35" t="s">
        <v>65</v>
      </c>
      <c r="F197" s="35" t="s">
        <v>223</v>
      </c>
      <c r="G197" s="35" t="s">
        <v>516</v>
      </c>
      <c r="H197" s="37" t="s">
        <v>547</v>
      </c>
      <c r="I197" s="38">
        <v>41752</v>
      </c>
      <c r="J197" s="38"/>
      <c r="K197" s="17"/>
      <c r="L197" s="38">
        <v>34337</v>
      </c>
      <c r="M197" s="35">
        <f ca="1">IF('Row data'!$J197="",DATEDIF('Row data'!$L197,TODAY(),"y"),"0")</f>
        <v>32</v>
      </c>
      <c r="N197" s="35" t="s">
        <v>42</v>
      </c>
      <c r="O197" s="35" t="s">
        <v>43</v>
      </c>
      <c r="P197" s="39" t="s">
        <v>44</v>
      </c>
      <c r="Q197" s="39">
        <v>23979</v>
      </c>
      <c r="R197" s="39">
        <v>23979</v>
      </c>
      <c r="S197" s="39">
        <v>14388</v>
      </c>
      <c r="T197" s="39">
        <v>7194</v>
      </c>
      <c r="U197" s="39">
        <v>959</v>
      </c>
      <c r="V197" s="39">
        <v>719</v>
      </c>
      <c r="W197" s="39">
        <v>0</v>
      </c>
      <c r="X197" s="39">
        <v>0</v>
      </c>
      <c r="Y197" s="39">
        <v>719</v>
      </c>
      <c r="Z197" s="39">
        <v>719</v>
      </c>
      <c r="AA197" s="39">
        <v>0</v>
      </c>
      <c r="AB197" s="39">
        <v>0</v>
      </c>
      <c r="AC197" s="39">
        <v>0</v>
      </c>
      <c r="AD197" s="39">
        <v>0</v>
      </c>
      <c r="AE197" s="39">
        <v>0</v>
      </c>
      <c r="AF197" s="39">
        <v>0</v>
      </c>
      <c r="AG197" s="39">
        <v>0</v>
      </c>
      <c r="AH197" s="39">
        <v>0</v>
      </c>
      <c r="AI197" s="39">
        <v>0</v>
      </c>
      <c r="AJ197" s="39">
        <f>'Row data'!$S197+'Row data'!$T197+'Row data'!$U197+'Row data'!$W197+'Row data'!$X197+'Row data'!$Y197+'Row data'!$Z197+'Row data'!$AA197+'Row data'!$AB197+'Row data'!$AD197-'Row data'!$AC197-'Row data'!$AE197-'Row data'!$AF197-'Row data'!$AG197-'Row data'!$AH197-'Row data'!$AI197</f>
        <v>23979</v>
      </c>
      <c r="AK197" s="39">
        <v>23979</v>
      </c>
      <c r="AL197" s="39">
        <v>0</v>
      </c>
    </row>
    <row r="198" spans="1:38" x14ac:dyDescent="0.3">
      <c r="A198" s="40">
        <v>197</v>
      </c>
      <c r="B198" s="35" t="s">
        <v>531</v>
      </c>
      <c r="C198" s="35">
        <v>6621033</v>
      </c>
      <c r="D198" s="36" t="s">
        <v>548</v>
      </c>
      <c r="E198" s="35" t="s">
        <v>65</v>
      </c>
      <c r="F198" s="35" t="s">
        <v>223</v>
      </c>
      <c r="G198" s="35" t="s">
        <v>516</v>
      </c>
      <c r="H198" s="37" t="s">
        <v>549</v>
      </c>
      <c r="I198" s="38">
        <v>42585</v>
      </c>
      <c r="J198" s="38"/>
      <c r="K198" s="17"/>
      <c r="L198" s="38">
        <v>36526</v>
      </c>
      <c r="M198" s="35">
        <f ca="1">IF('Row data'!$J198="",DATEDIF('Row data'!$L198,TODAY(),"y"),"0")</f>
        <v>26</v>
      </c>
      <c r="N198" s="35" t="s">
        <v>42</v>
      </c>
      <c r="O198" s="35" t="s">
        <v>43</v>
      </c>
      <c r="P198" s="39" t="s">
        <v>44</v>
      </c>
      <c r="Q198" s="39">
        <v>21800</v>
      </c>
      <c r="R198" s="39">
        <v>21800</v>
      </c>
      <c r="S198" s="39">
        <v>13080</v>
      </c>
      <c r="T198" s="39">
        <v>6540</v>
      </c>
      <c r="U198" s="39">
        <v>872</v>
      </c>
      <c r="V198" s="39">
        <v>654</v>
      </c>
      <c r="W198" s="39">
        <v>0</v>
      </c>
      <c r="X198" s="39">
        <v>0</v>
      </c>
      <c r="Y198" s="39">
        <v>654</v>
      </c>
      <c r="Z198" s="39">
        <v>654</v>
      </c>
      <c r="AA198" s="39">
        <v>0</v>
      </c>
      <c r="AB198" s="39">
        <v>0</v>
      </c>
      <c r="AC198" s="39">
        <v>0</v>
      </c>
      <c r="AD198" s="39">
        <v>0</v>
      </c>
      <c r="AE198" s="39">
        <v>0</v>
      </c>
      <c r="AF198" s="39">
        <v>0</v>
      </c>
      <c r="AG198" s="39">
        <v>0</v>
      </c>
      <c r="AH198" s="39">
        <v>0</v>
      </c>
      <c r="AI198" s="39">
        <v>0</v>
      </c>
      <c r="AJ198" s="39">
        <f>'Row data'!$S198+'Row data'!$T198+'Row data'!$U198+'Row data'!$W198+'Row data'!$X198+'Row data'!$Y198+'Row data'!$Z198+'Row data'!$AA198+'Row data'!$AB198+'Row data'!$AD198-'Row data'!$AC198-'Row data'!$AE198-'Row data'!$AF198-'Row data'!$AG198-'Row data'!$AH198-'Row data'!$AI198</f>
        <v>21800</v>
      </c>
      <c r="AK198" s="39">
        <v>21800</v>
      </c>
      <c r="AL198" s="39">
        <v>0</v>
      </c>
    </row>
    <row r="199" spans="1:38" x14ac:dyDescent="0.3">
      <c r="A199" s="40">
        <v>198</v>
      </c>
      <c r="B199" s="35" t="s">
        <v>531</v>
      </c>
      <c r="C199" s="35">
        <v>6695837</v>
      </c>
      <c r="D199" s="36" t="s">
        <v>550</v>
      </c>
      <c r="E199" s="35" t="s">
        <v>65</v>
      </c>
      <c r="F199" s="35" t="s">
        <v>223</v>
      </c>
      <c r="G199" s="35" t="s">
        <v>516</v>
      </c>
      <c r="H199" s="37" t="s">
        <v>551</v>
      </c>
      <c r="I199" s="38">
        <v>41745</v>
      </c>
      <c r="J199" s="38">
        <v>44875</v>
      </c>
      <c r="K199" s="17">
        <f>YEAR('Row data'!$J199)</f>
        <v>2022</v>
      </c>
      <c r="L199" s="38">
        <v>33918</v>
      </c>
      <c r="M199" s="35" t="str">
        <f ca="1">IF('Row data'!$J199="",DATEDIF('Row data'!$L199,TODAY(),"y"),"0")</f>
        <v>0</v>
      </c>
      <c r="N199" s="35" t="s">
        <v>42</v>
      </c>
      <c r="O199" s="35" t="s">
        <v>43</v>
      </c>
      <c r="P199" s="39" t="s">
        <v>44</v>
      </c>
      <c r="Q199" s="39">
        <v>22891</v>
      </c>
      <c r="R199" s="39">
        <v>19891</v>
      </c>
      <c r="S199" s="39">
        <v>13734</v>
      </c>
      <c r="T199" s="39">
        <v>6867</v>
      </c>
      <c r="U199" s="39">
        <v>916</v>
      </c>
      <c r="V199" s="39">
        <v>687</v>
      </c>
      <c r="W199" s="39">
        <v>0</v>
      </c>
      <c r="X199" s="39">
        <v>0</v>
      </c>
      <c r="Y199" s="39">
        <v>687</v>
      </c>
      <c r="Z199" s="39">
        <v>687</v>
      </c>
      <c r="AA199" s="39">
        <v>0</v>
      </c>
      <c r="AB199" s="39">
        <v>0</v>
      </c>
      <c r="AC199" s="39">
        <v>-3000</v>
      </c>
      <c r="AD199" s="39">
        <v>0</v>
      </c>
      <c r="AE199" s="39">
        <v>0</v>
      </c>
      <c r="AF199" s="39">
        <v>0</v>
      </c>
      <c r="AG199" s="39">
        <v>0</v>
      </c>
      <c r="AH199" s="39">
        <v>0</v>
      </c>
      <c r="AI199" s="39">
        <v>0</v>
      </c>
      <c r="AJ199" s="39">
        <f>'Row data'!$S199+'Row data'!$T199+'Row data'!$U199+'Row data'!$W199+'Row data'!$X199+'Row data'!$Y199+'Row data'!$Z199+'Row data'!$AA199+'Row data'!$AB199+'Row data'!$AD199-'Row data'!$AC199-'Row data'!$AE199-'Row data'!$AF199-'Row data'!$AG199-'Row data'!$AH199-'Row data'!$AI199</f>
        <v>25891</v>
      </c>
      <c r="AK199" s="39">
        <v>19891</v>
      </c>
      <c r="AL199" s="39">
        <v>0</v>
      </c>
    </row>
    <row r="200" spans="1:38" x14ac:dyDescent="0.3">
      <c r="A200" s="40">
        <v>199</v>
      </c>
      <c r="B200" s="35" t="s">
        <v>36</v>
      </c>
      <c r="C200" s="35">
        <v>9462299</v>
      </c>
      <c r="D200" s="36" t="s">
        <v>552</v>
      </c>
      <c r="E200" s="35" t="s">
        <v>38</v>
      </c>
      <c r="F200" s="35" t="s">
        <v>39</v>
      </c>
      <c r="G200" s="35" t="s">
        <v>50</v>
      </c>
      <c r="H200" s="37"/>
      <c r="I200" s="38">
        <v>44237</v>
      </c>
      <c r="J200" s="38"/>
      <c r="K200" s="17"/>
      <c r="L200" s="38">
        <v>31669</v>
      </c>
      <c r="M200" s="35">
        <f ca="1">IF('Row data'!$J200="",DATEDIF('Row data'!$L200,TODAY(),"y"),"0")</f>
        <v>40</v>
      </c>
      <c r="N200" s="35" t="s">
        <v>75</v>
      </c>
      <c r="O200" s="35" t="s">
        <v>553</v>
      </c>
      <c r="P200" s="39" t="s">
        <v>554</v>
      </c>
      <c r="Q200" s="39">
        <v>13405</v>
      </c>
      <c r="R200" s="39">
        <v>13405</v>
      </c>
      <c r="S200" s="39">
        <v>7303</v>
      </c>
      <c r="T200" s="39">
        <v>3652</v>
      </c>
      <c r="U200" s="39">
        <v>750</v>
      </c>
      <c r="V200" s="39">
        <v>450</v>
      </c>
      <c r="W200" s="39">
        <v>0</v>
      </c>
      <c r="X200" s="39">
        <v>0</v>
      </c>
      <c r="Y200" s="39">
        <v>1250</v>
      </c>
      <c r="Z200" s="39">
        <v>450</v>
      </c>
      <c r="AA200" s="39">
        <v>0</v>
      </c>
      <c r="AB200" s="39">
        <v>0</v>
      </c>
      <c r="AC200" s="39">
        <v>0</v>
      </c>
      <c r="AD200" s="39">
        <v>0</v>
      </c>
      <c r="AE200" s="39">
        <v>0</v>
      </c>
      <c r="AF200" s="39">
        <v>0</v>
      </c>
      <c r="AG200" s="39">
        <v>0</v>
      </c>
      <c r="AH200" s="39">
        <v>0</v>
      </c>
      <c r="AI200" s="39">
        <v>0</v>
      </c>
      <c r="AJ200" s="39">
        <f>'Row data'!$S200+'Row data'!$T200+'Row data'!$U200+'Row data'!$W200+'Row data'!$X200+'Row data'!$Y200+'Row data'!$Z200+'Row data'!$AA200+'Row data'!$AB200+'Row data'!$AD200-'Row data'!$AC200-'Row data'!$AE200-'Row data'!$AF200-'Row data'!$AG200-'Row data'!$AH200-'Row data'!$AI200</f>
        <v>13405</v>
      </c>
      <c r="AK200" s="39">
        <v>13405</v>
      </c>
      <c r="AL200" s="39">
        <v>0</v>
      </c>
    </row>
    <row r="201" spans="1:38" x14ac:dyDescent="0.3">
      <c r="A201" s="40">
        <v>200</v>
      </c>
      <c r="B201" s="35" t="s">
        <v>36</v>
      </c>
      <c r="C201" s="35">
        <v>5546390</v>
      </c>
      <c r="D201" s="36" t="s">
        <v>555</v>
      </c>
      <c r="E201" s="35" t="s">
        <v>38</v>
      </c>
      <c r="F201" s="35" t="s">
        <v>39</v>
      </c>
      <c r="G201" s="35" t="s">
        <v>50</v>
      </c>
      <c r="H201" s="37"/>
      <c r="I201" s="38">
        <v>42806</v>
      </c>
      <c r="J201" s="38"/>
      <c r="K201" s="17"/>
      <c r="L201" s="38">
        <v>29471</v>
      </c>
      <c r="M201" s="35">
        <f ca="1">IF('Row data'!$J201="",DATEDIF('Row data'!$L201,TODAY(),"y"),"0")</f>
        <v>46</v>
      </c>
      <c r="N201" s="35" t="s">
        <v>75</v>
      </c>
      <c r="O201" s="35" t="s">
        <v>553</v>
      </c>
      <c r="P201" s="39" t="s">
        <v>554</v>
      </c>
      <c r="Q201" s="39">
        <v>13622</v>
      </c>
      <c r="R201" s="39">
        <v>13622</v>
      </c>
      <c r="S201" s="39">
        <v>7448</v>
      </c>
      <c r="T201" s="39">
        <v>3724</v>
      </c>
      <c r="U201" s="39">
        <v>750</v>
      </c>
      <c r="V201" s="39">
        <v>450</v>
      </c>
      <c r="W201" s="39">
        <v>0</v>
      </c>
      <c r="X201" s="39">
        <v>0</v>
      </c>
      <c r="Y201" s="39">
        <v>1250</v>
      </c>
      <c r="Z201" s="39">
        <v>450</v>
      </c>
      <c r="AA201" s="39">
        <v>250</v>
      </c>
      <c r="AB201" s="39">
        <v>0</v>
      </c>
      <c r="AC201" s="39">
        <v>0</v>
      </c>
      <c r="AD201" s="39">
        <v>0</v>
      </c>
      <c r="AE201" s="39">
        <v>0</v>
      </c>
      <c r="AF201" s="39">
        <v>0</v>
      </c>
      <c r="AG201" s="39">
        <v>0</v>
      </c>
      <c r="AH201" s="39">
        <v>0</v>
      </c>
      <c r="AI201" s="39">
        <v>0</v>
      </c>
      <c r="AJ201" s="39">
        <f>'Row data'!$S201+'Row data'!$T201+'Row data'!$U201+'Row data'!$W201+'Row data'!$X201+'Row data'!$Y201+'Row data'!$Z201+'Row data'!$AA201+'Row data'!$AB201+'Row data'!$AD201-'Row data'!$AC201-'Row data'!$AE201-'Row data'!$AF201-'Row data'!$AG201-'Row data'!$AH201-'Row data'!$AI201</f>
        <v>13872</v>
      </c>
      <c r="AK201" s="39">
        <v>13872</v>
      </c>
      <c r="AL201" s="39">
        <v>0</v>
      </c>
    </row>
    <row r="202" spans="1:38" x14ac:dyDescent="0.3">
      <c r="A202" s="40">
        <v>201</v>
      </c>
      <c r="B202" s="35" t="s">
        <v>36</v>
      </c>
      <c r="C202" s="35">
        <v>9792832</v>
      </c>
      <c r="D202" s="36" t="s">
        <v>556</v>
      </c>
      <c r="E202" s="35" t="s">
        <v>38</v>
      </c>
      <c r="F202" s="35" t="s">
        <v>39</v>
      </c>
      <c r="G202" s="35" t="s">
        <v>50</v>
      </c>
      <c r="H202" s="37"/>
      <c r="I202" s="38">
        <v>44290</v>
      </c>
      <c r="J202" s="38"/>
      <c r="K202" s="17"/>
      <c r="L202" s="38">
        <v>32006</v>
      </c>
      <c r="M202" s="35">
        <f ca="1">IF('Row data'!$J202="",DATEDIF('Row data'!$L202,TODAY(),"y"),"0")</f>
        <v>39</v>
      </c>
      <c r="N202" s="35" t="s">
        <v>75</v>
      </c>
      <c r="O202" s="35" t="s">
        <v>553</v>
      </c>
      <c r="P202" s="39" t="s">
        <v>554</v>
      </c>
      <c r="Q202" s="39">
        <v>13405</v>
      </c>
      <c r="R202" s="39">
        <v>13405</v>
      </c>
      <c r="S202" s="39">
        <v>7303</v>
      </c>
      <c r="T202" s="39">
        <v>3652</v>
      </c>
      <c r="U202" s="39">
        <v>750</v>
      </c>
      <c r="V202" s="39">
        <v>450</v>
      </c>
      <c r="W202" s="39">
        <v>0</v>
      </c>
      <c r="X202" s="39">
        <v>0</v>
      </c>
      <c r="Y202" s="39">
        <v>1250</v>
      </c>
      <c r="Z202" s="39">
        <v>450</v>
      </c>
      <c r="AA202" s="39">
        <v>350</v>
      </c>
      <c r="AB202" s="39">
        <v>0</v>
      </c>
      <c r="AC202" s="39">
        <v>0</v>
      </c>
      <c r="AD202" s="39">
        <v>0</v>
      </c>
      <c r="AE202" s="39">
        <v>0</v>
      </c>
      <c r="AF202" s="39">
        <v>0</v>
      </c>
      <c r="AG202" s="39">
        <v>0</v>
      </c>
      <c r="AH202" s="39">
        <v>0</v>
      </c>
      <c r="AI202" s="39">
        <v>0</v>
      </c>
      <c r="AJ202" s="39">
        <f>'Row data'!$S202+'Row data'!$T202+'Row data'!$U202+'Row data'!$W202+'Row data'!$X202+'Row data'!$Y202+'Row data'!$Z202+'Row data'!$AA202+'Row data'!$AB202+'Row data'!$AD202-'Row data'!$AC202-'Row data'!$AE202-'Row data'!$AF202-'Row data'!$AG202-'Row data'!$AH202-'Row data'!$AI202</f>
        <v>13755</v>
      </c>
      <c r="AK202" s="39">
        <v>13755</v>
      </c>
      <c r="AL202" s="39">
        <v>0</v>
      </c>
    </row>
    <row r="203" spans="1:38" x14ac:dyDescent="0.3">
      <c r="A203" s="40">
        <v>202</v>
      </c>
      <c r="B203" s="35" t="s">
        <v>36</v>
      </c>
      <c r="C203" s="35">
        <v>6588589</v>
      </c>
      <c r="D203" s="36" t="s">
        <v>557</v>
      </c>
      <c r="E203" s="35" t="s">
        <v>38</v>
      </c>
      <c r="F203" s="35" t="s">
        <v>39</v>
      </c>
      <c r="G203" s="35" t="s">
        <v>50</v>
      </c>
      <c r="H203" s="37"/>
      <c r="I203" s="38">
        <v>42010</v>
      </c>
      <c r="J203" s="38"/>
      <c r="K203" s="17"/>
      <c r="L203" s="38">
        <v>32965</v>
      </c>
      <c r="M203" s="35">
        <f ca="1">IF('Row data'!$J203="",DATEDIF('Row data'!$L203,TODAY(),"y"),"0")</f>
        <v>36</v>
      </c>
      <c r="N203" s="35" t="s">
        <v>75</v>
      </c>
      <c r="O203" s="35" t="s">
        <v>553</v>
      </c>
      <c r="P203" s="39" t="s">
        <v>554</v>
      </c>
      <c r="Q203" s="39">
        <v>14381</v>
      </c>
      <c r="R203" s="39">
        <v>14381</v>
      </c>
      <c r="S203" s="39">
        <v>7954</v>
      </c>
      <c r="T203" s="39">
        <v>3977</v>
      </c>
      <c r="U203" s="39">
        <v>750</v>
      </c>
      <c r="V203" s="39">
        <v>450</v>
      </c>
      <c r="W203" s="39">
        <v>0</v>
      </c>
      <c r="X203" s="39">
        <v>0</v>
      </c>
      <c r="Y203" s="39">
        <v>1250</v>
      </c>
      <c r="Z203" s="39">
        <v>450</v>
      </c>
      <c r="AA203" s="39">
        <v>350</v>
      </c>
      <c r="AB203" s="39">
        <v>0</v>
      </c>
      <c r="AC203" s="39">
        <v>0</v>
      </c>
      <c r="AD203" s="39">
        <v>0</v>
      </c>
      <c r="AE203" s="39">
        <v>0</v>
      </c>
      <c r="AF203" s="39">
        <v>0</v>
      </c>
      <c r="AG203" s="39">
        <v>0</v>
      </c>
      <c r="AH203" s="39">
        <v>0</v>
      </c>
      <c r="AI203" s="39">
        <v>0</v>
      </c>
      <c r="AJ203" s="39">
        <f>'Row data'!$S203+'Row data'!$T203+'Row data'!$U203+'Row data'!$W203+'Row data'!$X203+'Row data'!$Y203+'Row data'!$Z203+'Row data'!$AA203+'Row data'!$AB203+'Row data'!$AD203-'Row data'!$AC203-'Row data'!$AE203-'Row data'!$AF203-'Row data'!$AG203-'Row data'!$AH203-'Row data'!$AI203</f>
        <v>14731</v>
      </c>
      <c r="AK203" s="39">
        <v>14731</v>
      </c>
      <c r="AL203" s="39">
        <v>0</v>
      </c>
    </row>
    <row r="204" spans="1:38" x14ac:dyDescent="0.3">
      <c r="A204" s="40">
        <v>203</v>
      </c>
      <c r="B204" s="35" t="s">
        <v>36</v>
      </c>
      <c r="C204" s="35">
        <v>9394180</v>
      </c>
      <c r="D204" s="36" t="s">
        <v>558</v>
      </c>
      <c r="E204" s="35" t="s">
        <v>38</v>
      </c>
      <c r="F204" s="35" t="s">
        <v>39</v>
      </c>
      <c r="G204" s="35" t="s">
        <v>50</v>
      </c>
      <c r="H204" s="37"/>
      <c r="I204" s="38">
        <v>44241</v>
      </c>
      <c r="J204" s="38"/>
      <c r="K204" s="17"/>
      <c r="L204" s="38">
        <v>29864</v>
      </c>
      <c r="M204" s="35">
        <f ca="1">IF('Row data'!$J204="",DATEDIF('Row data'!$L204,TODAY(),"y"),"0")</f>
        <v>44</v>
      </c>
      <c r="N204" s="35" t="s">
        <v>75</v>
      </c>
      <c r="O204" s="35" t="s">
        <v>553</v>
      </c>
      <c r="P204" s="39" t="s">
        <v>554</v>
      </c>
      <c r="Q204" s="39">
        <v>13405</v>
      </c>
      <c r="R204" s="39">
        <v>13405</v>
      </c>
      <c r="S204" s="39">
        <v>7303</v>
      </c>
      <c r="T204" s="39">
        <v>3652</v>
      </c>
      <c r="U204" s="39">
        <v>750</v>
      </c>
      <c r="V204" s="39">
        <v>450</v>
      </c>
      <c r="W204" s="39">
        <v>0</v>
      </c>
      <c r="X204" s="39">
        <v>0</v>
      </c>
      <c r="Y204" s="39">
        <v>1250</v>
      </c>
      <c r="Z204" s="39">
        <v>450</v>
      </c>
      <c r="AA204" s="39">
        <v>0</v>
      </c>
      <c r="AB204" s="39">
        <v>0</v>
      </c>
      <c r="AC204" s="39">
        <v>0</v>
      </c>
      <c r="AD204" s="39">
        <v>0</v>
      </c>
      <c r="AE204" s="39">
        <v>0</v>
      </c>
      <c r="AF204" s="39">
        <v>0</v>
      </c>
      <c r="AG204" s="39">
        <v>0</v>
      </c>
      <c r="AH204" s="39">
        <v>0</v>
      </c>
      <c r="AI204" s="39">
        <v>0</v>
      </c>
      <c r="AJ204" s="39">
        <f>'Row data'!$S204+'Row data'!$T204+'Row data'!$U204+'Row data'!$W204+'Row data'!$X204+'Row data'!$Y204+'Row data'!$Z204+'Row data'!$AA204+'Row data'!$AB204+'Row data'!$AD204-'Row data'!$AC204-'Row data'!$AE204-'Row data'!$AF204-'Row data'!$AG204-'Row data'!$AH204-'Row data'!$AI204</f>
        <v>13405</v>
      </c>
      <c r="AK204" s="39">
        <v>13405</v>
      </c>
      <c r="AL204" s="39">
        <v>0</v>
      </c>
    </row>
    <row r="205" spans="1:38" x14ac:dyDescent="0.3">
      <c r="A205" s="40">
        <v>204</v>
      </c>
      <c r="B205" s="35" t="s">
        <v>36</v>
      </c>
      <c r="C205" s="35">
        <v>5902481</v>
      </c>
      <c r="D205" s="36" t="s">
        <v>559</v>
      </c>
      <c r="E205" s="35" t="s">
        <v>38</v>
      </c>
      <c r="F205" s="35" t="s">
        <v>39</v>
      </c>
      <c r="G205" s="35" t="s">
        <v>50</v>
      </c>
      <c r="H205" s="37"/>
      <c r="I205" s="38">
        <v>44367</v>
      </c>
      <c r="J205" s="38"/>
      <c r="K205" s="17"/>
      <c r="L205" s="38">
        <v>33604</v>
      </c>
      <c r="M205" s="35">
        <f ca="1">IF('Row data'!$J205="",DATEDIF('Row data'!$L205,TODAY(),"y"),"0")</f>
        <v>34</v>
      </c>
      <c r="N205" s="35" t="s">
        <v>75</v>
      </c>
      <c r="O205" s="35" t="s">
        <v>553</v>
      </c>
      <c r="P205" s="39" t="s">
        <v>554</v>
      </c>
      <c r="Q205" s="39">
        <v>13405</v>
      </c>
      <c r="R205" s="39">
        <v>13405</v>
      </c>
      <c r="S205" s="39">
        <v>7303</v>
      </c>
      <c r="T205" s="39">
        <v>3652</v>
      </c>
      <c r="U205" s="39">
        <v>750</v>
      </c>
      <c r="V205" s="39">
        <v>450</v>
      </c>
      <c r="W205" s="39">
        <v>0</v>
      </c>
      <c r="X205" s="39">
        <v>0</v>
      </c>
      <c r="Y205" s="39">
        <v>1250</v>
      </c>
      <c r="Z205" s="39">
        <v>450</v>
      </c>
      <c r="AA205" s="39">
        <v>350</v>
      </c>
      <c r="AB205" s="39">
        <v>0</v>
      </c>
      <c r="AC205" s="39">
        <v>0</v>
      </c>
      <c r="AD205" s="39">
        <v>0</v>
      </c>
      <c r="AE205" s="39">
        <v>0</v>
      </c>
      <c r="AF205" s="39">
        <v>0</v>
      </c>
      <c r="AG205" s="39">
        <v>0</v>
      </c>
      <c r="AH205" s="39">
        <v>0</v>
      </c>
      <c r="AI205" s="39">
        <v>0</v>
      </c>
      <c r="AJ205" s="39">
        <f>'Row data'!$S205+'Row data'!$T205+'Row data'!$U205+'Row data'!$W205+'Row data'!$X205+'Row data'!$Y205+'Row data'!$Z205+'Row data'!$AA205+'Row data'!$AB205+'Row data'!$AD205-'Row data'!$AC205-'Row data'!$AE205-'Row data'!$AF205-'Row data'!$AG205-'Row data'!$AH205-'Row data'!$AI205</f>
        <v>13755</v>
      </c>
      <c r="AK205" s="39">
        <v>13755</v>
      </c>
      <c r="AL205" s="39">
        <v>0</v>
      </c>
    </row>
    <row r="206" spans="1:38" x14ac:dyDescent="0.3">
      <c r="A206" s="40">
        <v>205</v>
      </c>
      <c r="B206" s="35" t="s">
        <v>36</v>
      </c>
      <c r="C206" s="35">
        <v>5341112</v>
      </c>
      <c r="D206" s="36" t="s">
        <v>560</v>
      </c>
      <c r="E206" s="35" t="s">
        <v>38</v>
      </c>
      <c r="F206" s="35" t="s">
        <v>39</v>
      </c>
      <c r="G206" s="35" t="s">
        <v>50</v>
      </c>
      <c r="H206" s="37"/>
      <c r="I206" s="38">
        <v>44451</v>
      </c>
      <c r="J206" s="38"/>
      <c r="K206" s="17"/>
      <c r="L206" s="38">
        <v>32280</v>
      </c>
      <c r="M206" s="35">
        <f ca="1">IF('Row data'!$J206="",DATEDIF('Row data'!$L206,TODAY(),"y"),"0")</f>
        <v>38</v>
      </c>
      <c r="N206" s="35" t="s">
        <v>75</v>
      </c>
      <c r="O206" s="35" t="s">
        <v>553</v>
      </c>
      <c r="P206" s="39" t="s">
        <v>554</v>
      </c>
      <c r="Q206" s="39">
        <v>13405</v>
      </c>
      <c r="R206" s="39">
        <v>13405</v>
      </c>
      <c r="S206" s="39">
        <v>7303</v>
      </c>
      <c r="T206" s="39">
        <v>3652</v>
      </c>
      <c r="U206" s="39">
        <v>750</v>
      </c>
      <c r="V206" s="39">
        <v>450</v>
      </c>
      <c r="W206" s="39">
        <v>0</v>
      </c>
      <c r="X206" s="39">
        <v>0</v>
      </c>
      <c r="Y206" s="39">
        <v>1250</v>
      </c>
      <c r="Z206" s="39">
        <v>450</v>
      </c>
      <c r="AA206" s="39">
        <v>350</v>
      </c>
      <c r="AB206" s="39">
        <v>0</v>
      </c>
      <c r="AC206" s="39">
        <v>0</v>
      </c>
      <c r="AD206" s="39">
        <v>0</v>
      </c>
      <c r="AE206" s="39">
        <v>0</v>
      </c>
      <c r="AF206" s="39">
        <v>0</v>
      </c>
      <c r="AG206" s="39">
        <v>0</v>
      </c>
      <c r="AH206" s="39">
        <v>0</v>
      </c>
      <c r="AI206" s="39">
        <v>0</v>
      </c>
      <c r="AJ206" s="39">
        <f>'Row data'!$S206+'Row data'!$T206+'Row data'!$U206+'Row data'!$W206+'Row data'!$X206+'Row data'!$Y206+'Row data'!$Z206+'Row data'!$AA206+'Row data'!$AB206+'Row data'!$AD206-'Row data'!$AC206-'Row data'!$AE206-'Row data'!$AF206-'Row data'!$AG206-'Row data'!$AH206-'Row data'!$AI206</f>
        <v>13755</v>
      </c>
      <c r="AK206" s="39">
        <v>13755</v>
      </c>
      <c r="AL206" s="39">
        <v>0</v>
      </c>
    </row>
    <row r="207" spans="1:38" x14ac:dyDescent="0.3">
      <c r="A207" s="40">
        <v>206</v>
      </c>
      <c r="B207" s="35" t="s">
        <v>36</v>
      </c>
      <c r="C207" s="35">
        <v>7009770</v>
      </c>
      <c r="D207" s="36" t="s">
        <v>561</v>
      </c>
      <c r="E207" s="35" t="s">
        <v>38</v>
      </c>
      <c r="F207" s="35" t="s">
        <v>46</v>
      </c>
      <c r="G207" s="35" t="s">
        <v>50</v>
      </c>
      <c r="H207" s="37"/>
      <c r="I207" s="38">
        <v>44713</v>
      </c>
      <c r="J207" s="38"/>
      <c r="K207" s="17"/>
      <c r="L207" s="38">
        <v>28855</v>
      </c>
      <c r="M207" s="35">
        <f ca="1">IF('Row data'!$J207="",DATEDIF('Row data'!$L207,TODAY(),"y"),"0")</f>
        <v>47</v>
      </c>
      <c r="N207" s="35" t="s">
        <v>42</v>
      </c>
      <c r="O207" s="35" t="s">
        <v>553</v>
      </c>
      <c r="P207" s="39" t="s">
        <v>554</v>
      </c>
      <c r="Q207" s="39">
        <v>13405</v>
      </c>
      <c r="R207" s="39">
        <v>13405</v>
      </c>
      <c r="S207" s="39">
        <v>7303</v>
      </c>
      <c r="T207" s="39">
        <v>3652</v>
      </c>
      <c r="U207" s="39">
        <v>750</v>
      </c>
      <c r="V207" s="39">
        <v>450</v>
      </c>
      <c r="W207" s="39">
        <v>0</v>
      </c>
      <c r="X207" s="39">
        <v>0</v>
      </c>
      <c r="Y207" s="39">
        <v>1250</v>
      </c>
      <c r="Z207" s="39">
        <v>450</v>
      </c>
      <c r="AA207" s="39">
        <v>250</v>
      </c>
      <c r="AB207" s="39">
        <v>0</v>
      </c>
      <c r="AC207" s="39">
        <v>0</v>
      </c>
      <c r="AD207" s="39">
        <v>0</v>
      </c>
      <c r="AE207" s="39">
        <v>0</v>
      </c>
      <c r="AF207" s="39">
        <v>0</v>
      </c>
      <c r="AG207" s="39">
        <v>0</v>
      </c>
      <c r="AH207" s="39">
        <v>0</v>
      </c>
      <c r="AI207" s="39">
        <v>0</v>
      </c>
      <c r="AJ207" s="39">
        <f>'Row data'!$S207+'Row data'!$T207+'Row data'!$U207+'Row data'!$W207+'Row data'!$X207+'Row data'!$Y207+'Row data'!$Z207+'Row data'!$AA207+'Row data'!$AB207+'Row data'!$AD207-'Row data'!$AC207-'Row data'!$AE207-'Row data'!$AF207-'Row data'!$AG207-'Row data'!$AH207-'Row data'!$AI207</f>
        <v>13655</v>
      </c>
      <c r="AK207" s="39">
        <v>13655</v>
      </c>
      <c r="AL207" s="39">
        <v>0</v>
      </c>
    </row>
    <row r="208" spans="1:38" x14ac:dyDescent="0.3">
      <c r="A208" s="40">
        <v>207</v>
      </c>
      <c r="B208" s="35" t="s">
        <v>36</v>
      </c>
      <c r="C208" s="35">
        <v>7576972</v>
      </c>
      <c r="D208" s="36" t="s">
        <v>562</v>
      </c>
      <c r="E208" s="35" t="s">
        <v>38</v>
      </c>
      <c r="F208" s="35" t="s">
        <v>46</v>
      </c>
      <c r="G208" s="35" t="s">
        <v>50</v>
      </c>
      <c r="H208" s="37"/>
      <c r="I208" s="38">
        <v>44714</v>
      </c>
      <c r="J208" s="38"/>
      <c r="K208" s="17"/>
      <c r="L208" s="38">
        <v>37317</v>
      </c>
      <c r="M208" s="35">
        <f ca="1">IF('Row data'!$J208="",DATEDIF('Row data'!$L208,TODAY(),"y"),"0")</f>
        <v>24</v>
      </c>
      <c r="N208" s="35" t="s">
        <v>42</v>
      </c>
      <c r="O208" s="35" t="s">
        <v>553</v>
      </c>
      <c r="P208" s="39" t="s">
        <v>554</v>
      </c>
      <c r="Q208" s="39">
        <v>13405</v>
      </c>
      <c r="R208" s="39">
        <v>13405</v>
      </c>
      <c r="S208" s="39">
        <v>7303</v>
      </c>
      <c r="T208" s="39">
        <v>3652</v>
      </c>
      <c r="U208" s="39">
        <v>750</v>
      </c>
      <c r="V208" s="39">
        <v>450</v>
      </c>
      <c r="W208" s="39">
        <v>0</v>
      </c>
      <c r="X208" s="39">
        <v>0</v>
      </c>
      <c r="Y208" s="39">
        <v>1250</v>
      </c>
      <c r="Z208" s="39">
        <v>450</v>
      </c>
      <c r="AA208" s="39">
        <v>0</v>
      </c>
      <c r="AB208" s="39">
        <v>0</v>
      </c>
      <c r="AC208" s="39">
        <v>0</v>
      </c>
      <c r="AD208" s="39">
        <v>0</v>
      </c>
      <c r="AE208" s="39">
        <v>0</v>
      </c>
      <c r="AF208" s="39">
        <v>0</v>
      </c>
      <c r="AG208" s="39">
        <v>0</v>
      </c>
      <c r="AH208" s="39">
        <v>0</v>
      </c>
      <c r="AI208" s="39">
        <v>0</v>
      </c>
      <c r="AJ208" s="39">
        <f>'Row data'!$S208+'Row data'!$T208+'Row data'!$U208+'Row data'!$W208+'Row data'!$X208+'Row data'!$Y208+'Row data'!$Z208+'Row data'!$AA208+'Row data'!$AB208+'Row data'!$AD208-'Row data'!$AC208-'Row data'!$AE208-'Row data'!$AF208-'Row data'!$AG208-'Row data'!$AH208-'Row data'!$AI208</f>
        <v>13405</v>
      </c>
      <c r="AK208" s="39">
        <v>13405</v>
      </c>
      <c r="AL208" s="39">
        <v>0</v>
      </c>
    </row>
    <row r="209" spans="1:38" x14ac:dyDescent="0.3">
      <c r="A209" s="40">
        <v>208</v>
      </c>
      <c r="B209" s="35" t="s">
        <v>36</v>
      </c>
      <c r="C209" s="35">
        <v>8740468</v>
      </c>
      <c r="D209" s="36" t="s">
        <v>563</v>
      </c>
      <c r="E209" s="35" t="s">
        <v>38</v>
      </c>
      <c r="F209" s="35" t="s">
        <v>46</v>
      </c>
      <c r="G209" s="35" t="s">
        <v>50</v>
      </c>
      <c r="H209" s="37"/>
      <c r="I209" s="38">
        <v>44763</v>
      </c>
      <c r="J209" s="38"/>
      <c r="K209" s="17"/>
      <c r="L209" s="38">
        <v>36526</v>
      </c>
      <c r="M209" s="35">
        <f ca="1">IF('Row data'!$J209="",DATEDIF('Row data'!$L209,TODAY(),"y"),"0")</f>
        <v>26</v>
      </c>
      <c r="N209" s="35" t="s">
        <v>42</v>
      </c>
      <c r="O209" s="35" t="s">
        <v>553</v>
      </c>
      <c r="P209" s="39" t="s">
        <v>554</v>
      </c>
      <c r="Q209" s="39">
        <v>13405</v>
      </c>
      <c r="R209" s="39">
        <v>13405</v>
      </c>
      <c r="S209" s="39">
        <v>7303</v>
      </c>
      <c r="T209" s="39">
        <v>3652</v>
      </c>
      <c r="U209" s="39">
        <v>750</v>
      </c>
      <c r="V209" s="39">
        <v>450</v>
      </c>
      <c r="W209" s="39">
        <v>0</v>
      </c>
      <c r="X209" s="39">
        <v>0</v>
      </c>
      <c r="Y209" s="39">
        <v>1250</v>
      </c>
      <c r="Z209" s="39">
        <v>450</v>
      </c>
      <c r="AA209" s="39">
        <v>0</v>
      </c>
      <c r="AB209" s="39">
        <v>0</v>
      </c>
      <c r="AC209" s="39">
        <v>0</v>
      </c>
      <c r="AD209" s="39">
        <v>0</v>
      </c>
      <c r="AE209" s="39">
        <v>0</v>
      </c>
      <c r="AF209" s="39">
        <v>0</v>
      </c>
      <c r="AG209" s="39">
        <v>0</v>
      </c>
      <c r="AH209" s="39">
        <v>0</v>
      </c>
      <c r="AI209" s="39">
        <v>0</v>
      </c>
      <c r="AJ209" s="39">
        <f>'Row data'!$S209+'Row data'!$T209+'Row data'!$U209+'Row data'!$W209+'Row data'!$X209+'Row data'!$Y209+'Row data'!$Z209+'Row data'!$AA209+'Row data'!$AB209+'Row data'!$AD209-'Row data'!$AC209-'Row data'!$AE209-'Row data'!$AF209-'Row data'!$AG209-'Row data'!$AH209-'Row data'!$AI209</f>
        <v>13405</v>
      </c>
      <c r="AK209" s="39">
        <v>13405</v>
      </c>
      <c r="AL209" s="39">
        <v>0</v>
      </c>
    </row>
    <row r="210" spans="1:38" x14ac:dyDescent="0.3">
      <c r="A210" s="40">
        <v>209</v>
      </c>
      <c r="B210" s="35" t="s">
        <v>36</v>
      </c>
      <c r="C210" s="35">
        <v>9759055</v>
      </c>
      <c r="D210" s="36" t="s">
        <v>564</v>
      </c>
      <c r="E210" s="35" t="s">
        <v>38</v>
      </c>
      <c r="F210" s="35" t="s">
        <v>46</v>
      </c>
      <c r="G210" s="35" t="s">
        <v>50</v>
      </c>
      <c r="H210" s="37"/>
      <c r="I210" s="38">
        <v>44927</v>
      </c>
      <c r="J210" s="38"/>
      <c r="K210" s="17"/>
      <c r="L210" s="38">
        <v>30439</v>
      </c>
      <c r="M210" s="35">
        <f ca="1">IF('Row data'!$J210="",DATEDIF('Row data'!$L210,TODAY(),"y"),"0")</f>
        <v>43</v>
      </c>
      <c r="N210" s="35" t="s">
        <v>42</v>
      </c>
      <c r="O210" s="35" t="s">
        <v>553</v>
      </c>
      <c r="P210" s="39" t="s">
        <v>554</v>
      </c>
      <c r="Q210" s="39">
        <v>13405</v>
      </c>
      <c r="R210" s="39">
        <v>13162</v>
      </c>
      <c r="S210" s="39">
        <v>7303</v>
      </c>
      <c r="T210" s="39">
        <v>3652</v>
      </c>
      <c r="U210" s="39">
        <v>750</v>
      </c>
      <c r="V210" s="39">
        <v>450</v>
      </c>
      <c r="W210" s="39">
        <v>0</v>
      </c>
      <c r="X210" s="39">
        <v>0</v>
      </c>
      <c r="Y210" s="39">
        <v>1250</v>
      </c>
      <c r="Z210" s="39">
        <v>450</v>
      </c>
      <c r="AA210" s="39">
        <v>0</v>
      </c>
      <c r="AB210" s="39">
        <v>0</v>
      </c>
      <c r="AC210" s="39">
        <v>-243</v>
      </c>
      <c r="AD210" s="39">
        <v>0</v>
      </c>
      <c r="AE210" s="39">
        <v>0</v>
      </c>
      <c r="AF210" s="39">
        <v>0</v>
      </c>
      <c r="AG210" s="39">
        <v>0</v>
      </c>
      <c r="AH210" s="39">
        <v>0</v>
      </c>
      <c r="AI210" s="39">
        <v>0</v>
      </c>
      <c r="AJ210" s="39">
        <f>'Row data'!$S210+'Row data'!$T210+'Row data'!$U210+'Row data'!$W210+'Row data'!$X210+'Row data'!$Y210+'Row data'!$Z210+'Row data'!$AA210+'Row data'!$AB210+'Row data'!$AD210-'Row data'!$AC210-'Row data'!$AE210-'Row data'!$AF210-'Row data'!$AG210-'Row data'!$AH210-'Row data'!$AI210</f>
        <v>13648</v>
      </c>
      <c r="AK210" s="39">
        <v>13162</v>
      </c>
      <c r="AL210" s="39">
        <v>0</v>
      </c>
    </row>
    <row r="211" spans="1:38" x14ac:dyDescent="0.3">
      <c r="A211" s="40">
        <v>210</v>
      </c>
      <c r="B211" s="35" t="s">
        <v>36</v>
      </c>
      <c r="C211" s="35">
        <v>6265759</v>
      </c>
      <c r="D211" s="36" t="s">
        <v>565</v>
      </c>
      <c r="E211" s="35" t="s">
        <v>38</v>
      </c>
      <c r="F211" s="35" t="s">
        <v>46</v>
      </c>
      <c r="G211" s="35" t="s">
        <v>50</v>
      </c>
      <c r="H211" s="37"/>
      <c r="I211" s="38">
        <v>44928</v>
      </c>
      <c r="J211" s="38"/>
      <c r="K211" s="17"/>
      <c r="L211" s="38">
        <v>30233</v>
      </c>
      <c r="M211" s="35">
        <f ca="1">IF('Row data'!$J211="",DATEDIF('Row data'!$L211,TODAY(),"y"),"0")</f>
        <v>43</v>
      </c>
      <c r="N211" s="35" t="s">
        <v>42</v>
      </c>
      <c r="O211" s="35" t="s">
        <v>553</v>
      </c>
      <c r="P211" s="39" t="s">
        <v>554</v>
      </c>
      <c r="Q211" s="39">
        <v>13405</v>
      </c>
      <c r="R211" s="39">
        <v>13405</v>
      </c>
      <c r="S211" s="39">
        <v>7303</v>
      </c>
      <c r="T211" s="39">
        <v>3652</v>
      </c>
      <c r="U211" s="39">
        <v>750</v>
      </c>
      <c r="V211" s="39">
        <v>450</v>
      </c>
      <c r="W211" s="39">
        <v>0</v>
      </c>
      <c r="X211" s="39">
        <v>0</v>
      </c>
      <c r="Y211" s="39">
        <v>1250</v>
      </c>
      <c r="Z211" s="39">
        <v>450</v>
      </c>
      <c r="AA211" s="39">
        <v>350</v>
      </c>
      <c r="AB211" s="39">
        <v>0</v>
      </c>
      <c r="AC211" s="39">
        <v>0</v>
      </c>
      <c r="AD211" s="39">
        <v>0</v>
      </c>
      <c r="AE211" s="39">
        <v>0</v>
      </c>
      <c r="AF211" s="39">
        <v>0</v>
      </c>
      <c r="AG211" s="39">
        <v>0</v>
      </c>
      <c r="AH211" s="39">
        <v>0</v>
      </c>
      <c r="AI211" s="39">
        <v>0</v>
      </c>
      <c r="AJ211" s="39">
        <f>'Row data'!$S211+'Row data'!$T211+'Row data'!$U211+'Row data'!$W211+'Row data'!$X211+'Row data'!$Y211+'Row data'!$Z211+'Row data'!$AA211+'Row data'!$AB211+'Row data'!$AD211-'Row data'!$AC211-'Row data'!$AE211-'Row data'!$AF211-'Row data'!$AG211-'Row data'!$AH211-'Row data'!$AI211</f>
        <v>13755</v>
      </c>
      <c r="AK211" s="39">
        <v>13755</v>
      </c>
      <c r="AL211" s="39">
        <v>0</v>
      </c>
    </row>
    <row r="212" spans="1:38" x14ac:dyDescent="0.3">
      <c r="A212" s="40">
        <v>211</v>
      </c>
      <c r="B212" s="35" t="s">
        <v>36</v>
      </c>
      <c r="C212" s="35">
        <v>8664156</v>
      </c>
      <c r="D212" s="36" t="s">
        <v>566</v>
      </c>
      <c r="E212" s="35" t="s">
        <v>38</v>
      </c>
      <c r="F212" s="35" t="s">
        <v>46</v>
      </c>
      <c r="G212" s="35" t="s">
        <v>50</v>
      </c>
      <c r="H212" s="37"/>
      <c r="I212" s="38">
        <v>45231</v>
      </c>
      <c r="J212" s="38"/>
      <c r="K212" s="17"/>
      <c r="L212" s="38">
        <v>29230</v>
      </c>
      <c r="M212" s="35">
        <f ca="1">IF('Row data'!$J212="",DATEDIF('Row data'!$L212,TODAY(),"y"),"0")</f>
        <v>46</v>
      </c>
      <c r="N212" s="35" t="s">
        <v>42</v>
      </c>
      <c r="O212" s="35" t="s">
        <v>553</v>
      </c>
      <c r="P212" s="39" t="s">
        <v>554</v>
      </c>
      <c r="Q212" s="39">
        <v>13405</v>
      </c>
      <c r="R212" s="39">
        <v>13405</v>
      </c>
      <c r="S212" s="39">
        <v>7303</v>
      </c>
      <c r="T212" s="39">
        <v>3652</v>
      </c>
      <c r="U212" s="39">
        <v>750</v>
      </c>
      <c r="V212" s="39">
        <v>450</v>
      </c>
      <c r="W212" s="39">
        <v>0</v>
      </c>
      <c r="X212" s="39">
        <v>0</v>
      </c>
      <c r="Y212" s="39">
        <v>1250</v>
      </c>
      <c r="Z212" s="39">
        <v>450</v>
      </c>
      <c r="AA212" s="39">
        <v>350</v>
      </c>
      <c r="AB212" s="39">
        <v>0</v>
      </c>
      <c r="AC212" s="39">
        <v>0</v>
      </c>
      <c r="AD212" s="39">
        <v>0</v>
      </c>
      <c r="AE212" s="39">
        <v>0</v>
      </c>
      <c r="AF212" s="39">
        <v>0</v>
      </c>
      <c r="AG212" s="39">
        <v>0</v>
      </c>
      <c r="AH212" s="39">
        <v>0</v>
      </c>
      <c r="AI212" s="39">
        <v>0</v>
      </c>
      <c r="AJ212" s="39">
        <f>'Row data'!$S212+'Row data'!$T212+'Row data'!$U212+'Row data'!$W212+'Row data'!$X212+'Row data'!$Y212+'Row data'!$Z212+'Row data'!$AA212+'Row data'!$AB212+'Row data'!$AD212-'Row data'!$AC212-'Row data'!$AE212-'Row data'!$AF212-'Row data'!$AG212-'Row data'!$AH212-'Row data'!$AI212</f>
        <v>13755</v>
      </c>
      <c r="AK212" s="39">
        <v>13755</v>
      </c>
      <c r="AL212" s="39">
        <v>0</v>
      </c>
    </row>
    <row r="213" spans="1:38" x14ac:dyDescent="0.3">
      <c r="A213" s="40">
        <v>212</v>
      </c>
      <c r="B213" s="35" t="s">
        <v>36</v>
      </c>
      <c r="C213" s="35">
        <v>6709715</v>
      </c>
      <c r="D213" s="36" t="s">
        <v>567</v>
      </c>
      <c r="E213" s="35" t="s">
        <v>38</v>
      </c>
      <c r="F213" s="35" t="s">
        <v>46</v>
      </c>
      <c r="G213" s="35" t="s">
        <v>50</v>
      </c>
      <c r="H213" s="37"/>
      <c r="I213" s="38">
        <v>45173</v>
      </c>
      <c r="J213" s="38"/>
      <c r="K213" s="17"/>
      <c r="L213" s="38">
        <v>45111</v>
      </c>
      <c r="M213" s="35">
        <f ca="1">IF('Row data'!$J213="",DATEDIF('Row data'!$L213,TODAY(),"y"),"0")</f>
        <v>3</v>
      </c>
      <c r="N213" s="35" t="s">
        <v>42</v>
      </c>
      <c r="O213" s="35" t="s">
        <v>553</v>
      </c>
      <c r="P213" s="39" t="s">
        <v>554</v>
      </c>
      <c r="Q213" s="39">
        <v>13405</v>
      </c>
      <c r="R213" s="39">
        <v>13162</v>
      </c>
      <c r="S213" s="39">
        <v>7303</v>
      </c>
      <c r="T213" s="39">
        <v>3652</v>
      </c>
      <c r="U213" s="39">
        <v>750</v>
      </c>
      <c r="V213" s="39">
        <v>450</v>
      </c>
      <c r="W213" s="39">
        <v>0</v>
      </c>
      <c r="X213" s="39">
        <v>0</v>
      </c>
      <c r="Y213" s="39">
        <v>1250</v>
      </c>
      <c r="Z213" s="39">
        <v>450</v>
      </c>
      <c r="AA213" s="39">
        <v>0</v>
      </c>
      <c r="AB213" s="39">
        <v>0</v>
      </c>
      <c r="AC213" s="39">
        <v>-243</v>
      </c>
      <c r="AD213" s="39">
        <v>0</v>
      </c>
      <c r="AE213" s="39">
        <v>0</v>
      </c>
      <c r="AF213" s="39">
        <v>0</v>
      </c>
      <c r="AG213" s="39">
        <v>0</v>
      </c>
      <c r="AH213" s="39">
        <v>0</v>
      </c>
      <c r="AI213" s="39">
        <v>0</v>
      </c>
      <c r="AJ213" s="39">
        <f>'Row data'!$S213+'Row data'!$T213+'Row data'!$U213+'Row data'!$W213+'Row data'!$X213+'Row data'!$Y213+'Row data'!$Z213+'Row data'!$AA213+'Row data'!$AB213+'Row data'!$AD213-'Row data'!$AC213-'Row data'!$AE213-'Row data'!$AF213-'Row data'!$AG213-'Row data'!$AH213-'Row data'!$AI213</f>
        <v>13648</v>
      </c>
      <c r="AK213" s="39">
        <v>13162</v>
      </c>
      <c r="AL213" s="39">
        <v>0</v>
      </c>
    </row>
    <row r="214" spans="1:38" x14ac:dyDescent="0.3">
      <c r="A214" s="40">
        <v>213</v>
      </c>
      <c r="B214" s="35" t="s">
        <v>36</v>
      </c>
      <c r="C214" s="35">
        <v>6595366</v>
      </c>
      <c r="D214" s="36" t="s">
        <v>568</v>
      </c>
      <c r="E214" s="35" t="s">
        <v>38</v>
      </c>
      <c r="F214" s="35" t="s">
        <v>46</v>
      </c>
      <c r="G214" s="35" t="s">
        <v>50</v>
      </c>
      <c r="H214" s="37"/>
      <c r="I214" s="38">
        <v>45050</v>
      </c>
      <c r="J214" s="38"/>
      <c r="K214" s="17"/>
      <c r="L214" s="38">
        <v>38173</v>
      </c>
      <c r="M214" s="35">
        <f ca="1">IF('Row data'!$J214="",DATEDIF('Row data'!$L214,TODAY(),"y"),"0")</f>
        <v>22</v>
      </c>
      <c r="N214" s="35" t="s">
        <v>42</v>
      </c>
      <c r="O214" s="35" t="s">
        <v>553</v>
      </c>
      <c r="P214" s="39" t="s">
        <v>554</v>
      </c>
      <c r="Q214" s="39">
        <v>13405</v>
      </c>
      <c r="R214" s="39">
        <v>13405</v>
      </c>
      <c r="S214" s="39">
        <v>7303</v>
      </c>
      <c r="T214" s="39">
        <v>3652</v>
      </c>
      <c r="U214" s="39">
        <v>750</v>
      </c>
      <c r="V214" s="39">
        <v>450</v>
      </c>
      <c r="W214" s="39">
        <v>0</v>
      </c>
      <c r="X214" s="39">
        <v>0</v>
      </c>
      <c r="Y214" s="39">
        <v>1250</v>
      </c>
      <c r="Z214" s="39">
        <v>450</v>
      </c>
      <c r="AA214" s="39">
        <v>0</v>
      </c>
      <c r="AB214" s="39">
        <v>0</v>
      </c>
      <c r="AC214" s="39">
        <v>0</v>
      </c>
      <c r="AD214" s="39">
        <v>0</v>
      </c>
      <c r="AE214" s="39">
        <v>0</v>
      </c>
      <c r="AF214" s="39">
        <v>0</v>
      </c>
      <c r="AG214" s="39">
        <v>0</v>
      </c>
      <c r="AH214" s="39">
        <v>0</v>
      </c>
      <c r="AI214" s="39">
        <v>0</v>
      </c>
      <c r="AJ214" s="39">
        <f>'Row data'!$S214+'Row data'!$T214+'Row data'!$U214+'Row data'!$W214+'Row data'!$X214+'Row data'!$Y214+'Row data'!$Z214+'Row data'!$AA214+'Row data'!$AB214+'Row data'!$AD214-'Row data'!$AC214-'Row data'!$AE214-'Row data'!$AF214-'Row data'!$AG214-'Row data'!$AH214-'Row data'!$AI214</f>
        <v>13405</v>
      </c>
      <c r="AK214" s="39">
        <v>13405</v>
      </c>
      <c r="AL214" s="39">
        <v>0</v>
      </c>
    </row>
    <row r="215" spans="1:38" x14ac:dyDescent="0.3">
      <c r="A215" s="40">
        <v>214</v>
      </c>
      <c r="B215" s="35" t="s">
        <v>36</v>
      </c>
      <c r="C215" s="35">
        <v>6013577</v>
      </c>
      <c r="D215" s="36" t="s">
        <v>569</v>
      </c>
      <c r="E215" s="35" t="s">
        <v>38</v>
      </c>
      <c r="F215" s="35" t="s">
        <v>46</v>
      </c>
      <c r="G215" s="35" t="s">
        <v>50</v>
      </c>
      <c r="H215" s="37"/>
      <c r="I215" s="38">
        <v>45049</v>
      </c>
      <c r="J215" s="38"/>
      <c r="K215" s="17"/>
      <c r="L215" s="38">
        <v>30273</v>
      </c>
      <c r="M215" s="35">
        <f ca="1">IF('Row data'!$J215="",DATEDIF('Row data'!$L215,TODAY(),"y"),"0")</f>
        <v>43</v>
      </c>
      <c r="N215" s="35" t="s">
        <v>42</v>
      </c>
      <c r="O215" s="35" t="s">
        <v>553</v>
      </c>
      <c r="P215" s="39" t="s">
        <v>554</v>
      </c>
      <c r="Q215" s="39">
        <v>13405</v>
      </c>
      <c r="R215" s="39">
        <v>13405</v>
      </c>
      <c r="S215" s="39">
        <v>7303</v>
      </c>
      <c r="T215" s="39">
        <v>3652</v>
      </c>
      <c r="U215" s="39">
        <v>750</v>
      </c>
      <c r="V215" s="39">
        <v>450</v>
      </c>
      <c r="W215" s="39">
        <v>0</v>
      </c>
      <c r="X215" s="39">
        <v>0</v>
      </c>
      <c r="Y215" s="39">
        <v>1250</v>
      </c>
      <c r="Z215" s="39">
        <v>450</v>
      </c>
      <c r="AA215" s="39">
        <v>0</v>
      </c>
      <c r="AB215" s="39">
        <v>0</v>
      </c>
      <c r="AC215" s="39">
        <v>0</v>
      </c>
      <c r="AD215" s="39">
        <v>0</v>
      </c>
      <c r="AE215" s="39">
        <v>0</v>
      </c>
      <c r="AF215" s="39">
        <v>0</v>
      </c>
      <c r="AG215" s="39">
        <v>0</v>
      </c>
      <c r="AH215" s="39">
        <v>0</v>
      </c>
      <c r="AI215" s="39">
        <v>0</v>
      </c>
      <c r="AJ215" s="39">
        <f>'Row data'!$S215+'Row data'!$T215+'Row data'!$U215+'Row data'!$W215+'Row data'!$X215+'Row data'!$Y215+'Row data'!$Z215+'Row data'!$AA215+'Row data'!$AB215+'Row data'!$AD215-'Row data'!$AC215-'Row data'!$AE215-'Row data'!$AF215-'Row data'!$AG215-'Row data'!$AH215-'Row data'!$AI215</f>
        <v>13405</v>
      </c>
      <c r="AK215" s="39">
        <v>13405</v>
      </c>
      <c r="AL215" s="39">
        <v>0</v>
      </c>
    </row>
    <row r="216" spans="1:38" x14ac:dyDescent="0.3">
      <c r="A216" s="40">
        <v>215</v>
      </c>
      <c r="B216" s="35" t="s">
        <v>36</v>
      </c>
      <c r="C216" s="35">
        <v>8269729</v>
      </c>
      <c r="D216" s="36" t="s">
        <v>570</v>
      </c>
      <c r="E216" s="35" t="s">
        <v>38</v>
      </c>
      <c r="F216" s="35" t="s">
        <v>46</v>
      </c>
      <c r="G216" s="35" t="s">
        <v>50</v>
      </c>
      <c r="H216" s="37"/>
      <c r="I216" s="38">
        <v>45143</v>
      </c>
      <c r="J216" s="38">
        <v>44562</v>
      </c>
      <c r="K216" s="17">
        <f>YEAR('Row data'!$J216)</f>
        <v>2022</v>
      </c>
      <c r="L216" s="38">
        <v>31067</v>
      </c>
      <c r="M216" s="35" t="str">
        <f ca="1">IF('Row data'!$J216="",DATEDIF('Row data'!$L216,TODAY(),"y"),"0")</f>
        <v>0</v>
      </c>
      <c r="N216" s="35" t="s">
        <v>42</v>
      </c>
      <c r="O216" s="35" t="s">
        <v>553</v>
      </c>
      <c r="P216" s="39" t="s">
        <v>554</v>
      </c>
      <c r="Q216" s="39">
        <v>13405</v>
      </c>
      <c r="R216" s="39">
        <v>13405</v>
      </c>
      <c r="S216" s="39">
        <v>7303</v>
      </c>
      <c r="T216" s="39">
        <v>3652</v>
      </c>
      <c r="U216" s="39">
        <v>750</v>
      </c>
      <c r="V216" s="39">
        <v>450</v>
      </c>
      <c r="W216" s="39">
        <v>0</v>
      </c>
      <c r="X216" s="39">
        <v>0</v>
      </c>
      <c r="Y216" s="39">
        <v>1250</v>
      </c>
      <c r="Z216" s="39">
        <v>450</v>
      </c>
      <c r="AA216" s="39">
        <v>0</v>
      </c>
      <c r="AB216" s="39">
        <v>0</v>
      </c>
      <c r="AC216" s="39">
        <v>0</v>
      </c>
      <c r="AD216" s="39">
        <v>0</v>
      </c>
      <c r="AE216" s="39">
        <v>0</v>
      </c>
      <c r="AF216" s="39">
        <v>0</v>
      </c>
      <c r="AG216" s="39">
        <v>0</v>
      </c>
      <c r="AH216" s="39">
        <v>0</v>
      </c>
      <c r="AI216" s="39">
        <v>0</v>
      </c>
      <c r="AJ216" s="39">
        <f>'Row data'!$S216+'Row data'!$T216+'Row data'!$U216+'Row data'!$W216+'Row data'!$X216+'Row data'!$Y216+'Row data'!$Z216+'Row data'!$AA216+'Row data'!$AB216+'Row data'!$AD216-'Row data'!$AC216-'Row data'!$AE216-'Row data'!$AF216-'Row data'!$AG216-'Row data'!$AH216-'Row data'!$AI216</f>
        <v>13405</v>
      </c>
      <c r="AK216" s="39">
        <v>13405</v>
      </c>
      <c r="AL216" s="39">
        <v>0</v>
      </c>
    </row>
    <row r="217" spans="1:38" x14ac:dyDescent="0.3">
      <c r="A217" s="40">
        <v>216</v>
      </c>
      <c r="B217" s="35" t="s">
        <v>36</v>
      </c>
      <c r="C217" s="35">
        <v>7507759</v>
      </c>
      <c r="D217" s="36" t="s">
        <v>571</v>
      </c>
      <c r="E217" s="35" t="s">
        <v>38</v>
      </c>
      <c r="F217" s="35" t="s">
        <v>46</v>
      </c>
      <c r="G217" s="35" t="s">
        <v>164</v>
      </c>
      <c r="H217" s="37"/>
      <c r="I217" s="38">
        <v>42283</v>
      </c>
      <c r="J217" s="38">
        <v>44562</v>
      </c>
      <c r="K217" s="17">
        <f>YEAR('Row data'!$J217)</f>
        <v>2022</v>
      </c>
      <c r="L217" s="38">
        <v>23803</v>
      </c>
      <c r="M217" s="35" t="str">
        <f ca="1">IF('Row data'!$J217="",DATEDIF('Row data'!$L217,TODAY(),"y"),"0")</f>
        <v>0</v>
      </c>
      <c r="N217" s="35" t="s">
        <v>42</v>
      </c>
      <c r="O217" s="35" t="s">
        <v>553</v>
      </c>
      <c r="P217" s="39" t="s">
        <v>554</v>
      </c>
      <c r="Q217" s="39">
        <v>15337</v>
      </c>
      <c r="R217" s="39">
        <v>15337</v>
      </c>
      <c r="S217" s="39">
        <v>8591</v>
      </c>
      <c r="T217" s="39">
        <v>4296</v>
      </c>
      <c r="U217" s="39">
        <v>750</v>
      </c>
      <c r="V217" s="39">
        <v>450</v>
      </c>
      <c r="W217" s="39">
        <v>0</v>
      </c>
      <c r="X217" s="39">
        <v>0</v>
      </c>
      <c r="Y217" s="39">
        <v>1250</v>
      </c>
      <c r="Z217" s="39">
        <v>450</v>
      </c>
      <c r="AA217" s="39">
        <v>0</v>
      </c>
      <c r="AB217" s="39">
        <v>0</v>
      </c>
      <c r="AC217" s="39">
        <v>0</v>
      </c>
      <c r="AD217" s="39">
        <v>0</v>
      </c>
      <c r="AE217" s="39">
        <v>0</v>
      </c>
      <c r="AF217" s="39">
        <v>0</v>
      </c>
      <c r="AG217" s="39">
        <v>1500</v>
      </c>
      <c r="AH217" s="39">
        <v>0</v>
      </c>
      <c r="AI217" s="39">
        <v>0</v>
      </c>
      <c r="AJ217" s="39">
        <f>'Row data'!$S217+'Row data'!$T217+'Row data'!$U217+'Row data'!$W217+'Row data'!$X217+'Row data'!$Y217+'Row data'!$Z217+'Row data'!$AA217+'Row data'!$AB217+'Row data'!$AD217-'Row data'!$AC217-'Row data'!$AE217-'Row data'!$AF217-'Row data'!$AG217-'Row data'!$AH217-'Row data'!$AI217</f>
        <v>13837</v>
      </c>
      <c r="AK217" s="39">
        <v>13837</v>
      </c>
      <c r="AL217" s="39">
        <v>0</v>
      </c>
    </row>
    <row r="218" spans="1:38" x14ac:dyDescent="0.3">
      <c r="A218" s="40">
        <v>217</v>
      </c>
      <c r="B218" s="35" t="s">
        <v>36</v>
      </c>
      <c r="C218" s="35">
        <v>7560690</v>
      </c>
      <c r="D218" s="36" t="s">
        <v>572</v>
      </c>
      <c r="E218" s="35" t="s">
        <v>38</v>
      </c>
      <c r="F218" s="35" t="s">
        <v>46</v>
      </c>
      <c r="G218" s="35" t="s">
        <v>50</v>
      </c>
      <c r="H218" s="37"/>
      <c r="I218" s="38">
        <v>44653</v>
      </c>
      <c r="J218" s="38">
        <v>44562</v>
      </c>
      <c r="K218" s="17">
        <f>YEAR('Row data'!$J218)</f>
        <v>2022</v>
      </c>
      <c r="L218" s="38">
        <v>30440</v>
      </c>
      <c r="M218" s="35" t="str">
        <f ca="1">IF('Row data'!$J218="",DATEDIF('Row data'!$L218,TODAY(),"y"),"0")</f>
        <v>0</v>
      </c>
      <c r="N218" s="35" t="s">
        <v>42</v>
      </c>
      <c r="O218" s="35" t="s">
        <v>553</v>
      </c>
      <c r="P218" s="39" t="s">
        <v>554</v>
      </c>
      <c r="Q218" s="39">
        <v>13405</v>
      </c>
      <c r="R218" s="39">
        <v>13405</v>
      </c>
      <c r="S218" s="39">
        <v>7303</v>
      </c>
      <c r="T218" s="39">
        <v>3652</v>
      </c>
      <c r="U218" s="39">
        <v>750</v>
      </c>
      <c r="V218" s="39">
        <v>450</v>
      </c>
      <c r="W218" s="39">
        <v>0</v>
      </c>
      <c r="X218" s="39">
        <v>0</v>
      </c>
      <c r="Y218" s="39">
        <v>1250</v>
      </c>
      <c r="Z218" s="39">
        <v>450</v>
      </c>
      <c r="AA218" s="39">
        <v>0</v>
      </c>
      <c r="AB218" s="39">
        <v>0</v>
      </c>
      <c r="AC218" s="39">
        <v>0</v>
      </c>
      <c r="AD218" s="39">
        <v>0</v>
      </c>
      <c r="AE218" s="39">
        <v>0</v>
      </c>
      <c r="AF218" s="39">
        <v>0</v>
      </c>
      <c r="AG218" s="39">
        <v>0</v>
      </c>
      <c r="AH218" s="39">
        <v>0</v>
      </c>
      <c r="AI218" s="39">
        <v>0</v>
      </c>
      <c r="AJ218" s="39">
        <f>'Row data'!$S218+'Row data'!$T218+'Row data'!$U218+'Row data'!$W218+'Row data'!$X218+'Row data'!$Y218+'Row data'!$Z218+'Row data'!$AA218+'Row data'!$AB218+'Row data'!$AD218-'Row data'!$AC218-'Row data'!$AE218-'Row data'!$AF218-'Row data'!$AG218-'Row data'!$AH218-'Row data'!$AI218</f>
        <v>13405</v>
      </c>
      <c r="AK218" s="39">
        <v>13405</v>
      </c>
      <c r="AL218" s="39">
        <v>0</v>
      </c>
    </row>
    <row r="219" spans="1:38" x14ac:dyDescent="0.3">
      <c r="A219" s="40">
        <v>218</v>
      </c>
      <c r="B219" s="35" t="s">
        <v>36</v>
      </c>
      <c r="C219" s="35">
        <v>5420152</v>
      </c>
      <c r="D219" s="36" t="s">
        <v>573</v>
      </c>
      <c r="E219" s="35" t="s">
        <v>38</v>
      </c>
      <c r="F219" s="35" t="s">
        <v>56</v>
      </c>
      <c r="G219" s="35" t="s">
        <v>50</v>
      </c>
      <c r="H219" s="37"/>
      <c r="I219" s="38">
        <v>44927</v>
      </c>
      <c r="J219" s="38">
        <v>44562</v>
      </c>
      <c r="K219" s="17">
        <f>YEAR('Row data'!$J219)</f>
        <v>2022</v>
      </c>
      <c r="L219" s="38">
        <v>29510</v>
      </c>
      <c r="M219" s="35" t="str">
        <f ca="1">IF('Row data'!$J219="",DATEDIF('Row data'!$L219,TODAY(),"y"),"0")</f>
        <v>0</v>
      </c>
      <c r="N219" s="35" t="s">
        <v>42</v>
      </c>
      <c r="O219" s="35" t="s">
        <v>553</v>
      </c>
      <c r="P219" s="39" t="s">
        <v>554</v>
      </c>
      <c r="Q219" s="39">
        <v>13405</v>
      </c>
      <c r="R219" s="39">
        <v>13405</v>
      </c>
      <c r="S219" s="39">
        <v>7303</v>
      </c>
      <c r="T219" s="39">
        <v>3652</v>
      </c>
      <c r="U219" s="39">
        <v>750</v>
      </c>
      <c r="V219" s="39">
        <v>450</v>
      </c>
      <c r="W219" s="39">
        <v>0</v>
      </c>
      <c r="X219" s="39">
        <v>0</v>
      </c>
      <c r="Y219" s="39">
        <v>1250</v>
      </c>
      <c r="Z219" s="39">
        <v>450</v>
      </c>
      <c r="AA219" s="39">
        <v>0</v>
      </c>
      <c r="AB219" s="39">
        <v>0</v>
      </c>
      <c r="AC219" s="39">
        <v>0</v>
      </c>
      <c r="AD219" s="39">
        <v>0</v>
      </c>
      <c r="AE219" s="39">
        <v>0</v>
      </c>
      <c r="AF219" s="39">
        <v>0</v>
      </c>
      <c r="AG219" s="39">
        <v>0</v>
      </c>
      <c r="AH219" s="39">
        <v>0</v>
      </c>
      <c r="AI219" s="39">
        <v>0</v>
      </c>
      <c r="AJ219" s="39">
        <f>'Row data'!$S219+'Row data'!$T219+'Row data'!$U219+'Row data'!$W219+'Row data'!$X219+'Row data'!$Y219+'Row data'!$Z219+'Row data'!$AA219+'Row data'!$AB219+'Row data'!$AD219-'Row data'!$AC219-'Row data'!$AE219-'Row data'!$AF219-'Row data'!$AG219-'Row data'!$AH219-'Row data'!$AI219</f>
        <v>13405</v>
      </c>
      <c r="AK219" s="39">
        <v>13405</v>
      </c>
      <c r="AL219" s="39">
        <v>0</v>
      </c>
    </row>
    <row r="220" spans="1:38" x14ac:dyDescent="0.3">
      <c r="A220" s="40">
        <v>219</v>
      </c>
      <c r="B220" s="35" t="s">
        <v>36</v>
      </c>
      <c r="C220" s="35">
        <v>8272460</v>
      </c>
      <c r="D220" s="36" t="s">
        <v>574</v>
      </c>
      <c r="E220" s="35" t="s">
        <v>38</v>
      </c>
      <c r="F220" s="35" t="s">
        <v>56</v>
      </c>
      <c r="G220" s="35" t="s">
        <v>164</v>
      </c>
      <c r="H220" s="37"/>
      <c r="I220" s="38">
        <v>43122</v>
      </c>
      <c r="J220" s="38">
        <v>44562</v>
      </c>
      <c r="K220" s="17">
        <f>YEAR('Row data'!$J220)</f>
        <v>2022</v>
      </c>
      <c r="L220" s="38">
        <v>34335</v>
      </c>
      <c r="M220" s="35" t="str">
        <f ca="1">IF('Row data'!$J220="",DATEDIF('Row data'!$L220,TODAY(),"y"),"0")</f>
        <v>0</v>
      </c>
      <c r="N220" s="35" t="s">
        <v>42</v>
      </c>
      <c r="O220" s="35" t="s">
        <v>43</v>
      </c>
      <c r="P220" s="39" t="s">
        <v>554</v>
      </c>
      <c r="Q220" s="39">
        <v>21326</v>
      </c>
      <c r="R220" s="39">
        <v>21326</v>
      </c>
      <c r="S220" s="39">
        <v>12584</v>
      </c>
      <c r="T220" s="39">
        <v>6292</v>
      </c>
      <c r="U220" s="39">
        <v>750</v>
      </c>
      <c r="V220" s="39">
        <v>450</v>
      </c>
      <c r="W220" s="39">
        <v>0</v>
      </c>
      <c r="X220" s="39">
        <v>0</v>
      </c>
      <c r="Y220" s="39">
        <v>1250</v>
      </c>
      <c r="Z220" s="39">
        <v>450</v>
      </c>
      <c r="AA220" s="39">
        <v>0</v>
      </c>
      <c r="AB220" s="39">
        <v>0</v>
      </c>
      <c r="AC220" s="39">
        <v>0</v>
      </c>
      <c r="AD220" s="39">
        <v>0</v>
      </c>
      <c r="AE220" s="39">
        <v>0</v>
      </c>
      <c r="AF220" s="39">
        <v>0</v>
      </c>
      <c r="AG220" s="39">
        <v>0</v>
      </c>
      <c r="AH220" s="39">
        <v>0</v>
      </c>
      <c r="AI220" s="39">
        <v>0</v>
      </c>
      <c r="AJ220" s="39">
        <f>'Row data'!$S220+'Row data'!$T220+'Row data'!$U220+'Row data'!$W220+'Row data'!$X220+'Row data'!$Y220+'Row data'!$Z220+'Row data'!$AA220+'Row data'!$AB220+'Row data'!$AD220-'Row data'!$AC220-'Row data'!$AE220-'Row data'!$AF220-'Row data'!$AG220-'Row data'!$AH220-'Row data'!$AI220</f>
        <v>21326</v>
      </c>
      <c r="AK220" s="39">
        <v>21326</v>
      </c>
      <c r="AL220" s="39">
        <v>0</v>
      </c>
    </row>
    <row r="221" spans="1:38" x14ac:dyDescent="0.3">
      <c r="A221" s="40">
        <v>220</v>
      </c>
      <c r="B221" s="35" t="s">
        <v>36</v>
      </c>
      <c r="C221" s="35">
        <v>7954375</v>
      </c>
      <c r="D221" s="36" t="s">
        <v>575</v>
      </c>
      <c r="E221" s="35" t="s">
        <v>38</v>
      </c>
      <c r="F221" s="35" t="s">
        <v>56</v>
      </c>
      <c r="G221" s="35" t="s">
        <v>164</v>
      </c>
      <c r="H221" s="37"/>
      <c r="I221" s="38">
        <v>43282</v>
      </c>
      <c r="J221" s="38">
        <v>44562</v>
      </c>
      <c r="K221" s="17">
        <f>YEAR('Row data'!$J221)</f>
        <v>2022</v>
      </c>
      <c r="L221" s="38">
        <v>33218</v>
      </c>
      <c r="M221" s="35" t="str">
        <f ca="1">IF('Row data'!$J221="",DATEDIF('Row data'!$L221,TODAY(),"y"),"0")</f>
        <v>0</v>
      </c>
      <c r="N221" s="35" t="s">
        <v>42</v>
      </c>
      <c r="O221" s="35" t="s">
        <v>553</v>
      </c>
      <c r="P221" s="39" t="s">
        <v>554</v>
      </c>
      <c r="Q221" s="39">
        <v>18571</v>
      </c>
      <c r="R221" s="39">
        <v>18571</v>
      </c>
      <c r="S221" s="39">
        <v>10747</v>
      </c>
      <c r="T221" s="39">
        <v>5374</v>
      </c>
      <c r="U221" s="39">
        <v>750</v>
      </c>
      <c r="V221" s="39">
        <v>450</v>
      </c>
      <c r="W221" s="39">
        <v>0</v>
      </c>
      <c r="X221" s="39">
        <v>0</v>
      </c>
      <c r="Y221" s="39">
        <v>1250</v>
      </c>
      <c r="Z221" s="39">
        <v>450</v>
      </c>
      <c r="AA221" s="39">
        <v>350</v>
      </c>
      <c r="AB221" s="39">
        <v>0</v>
      </c>
      <c r="AC221" s="39">
        <v>0</v>
      </c>
      <c r="AD221" s="39">
        <v>0</v>
      </c>
      <c r="AE221" s="39">
        <v>0</v>
      </c>
      <c r="AF221" s="39">
        <v>0</v>
      </c>
      <c r="AG221" s="39">
        <v>0</v>
      </c>
      <c r="AH221" s="39">
        <v>0</v>
      </c>
      <c r="AI221" s="39">
        <v>0</v>
      </c>
      <c r="AJ221" s="39">
        <f>'Row data'!$S221+'Row data'!$T221+'Row data'!$U221+'Row data'!$W221+'Row data'!$X221+'Row data'!$Y221+'Row data'!$Z221+'Row data'!$AA221+'Row data'!$AB221+'Row data'!$AD221-'Row data'!$AC221-'Row data'!$AE221-'Row data'!$AF221-'Row data'!$AG221-'Row data'!$AH221-'Row data'!$AI221</f>
        <v>18921</v>
      </c>
      <c r="AK221" s="39">
        <v>18921</v>
      </c>
      <c r="AL221" s="39">
        <v>0</v>
      </c>
    </row>
    <row r="222" spans="1:38" x14ac:dyDescent="0.3">
      <c r="A222" s="40">
        <v>221</v>
      </c>
      <c r="B222" s="35" t="s">
        <v>36</v>
      </c>
      <c r="C222" s="35">
        <v>9297741</v>
      </c>
      <c r="D222" s="36" t="s">
        <v>576</v>
      </c>
      <c r="E222" s="35" t="s">
        <v>38</v>
      </c>
      <c r="F222" s="35" t="s">
        <v>56</v>
      </c>
      <c r="G222" s="35" t="s">
        <v>50</v>
      </c>
      <c r="H222" s="37"/>
      <c r="I222" s="38">
        <v>45048</v>
      </c>
      <c r="J222" s="38"/>
      <c r="K222" s="17"/>
      <c r="L222" s="38">
        <v>31079</v>
      </c>
      <c r="M222" s="35">
        <f ca="1">IF('Row data'!$J222="",DATEDIF('Row data'!$L222,TODAY(),"y"),"0")</f>
        <v>41</v>
      </c>
      <c r="N222" s="35" t="s">
        <v>42</v>
      </c>
      <c r="O222" s="35" t="s">
        <v>553</v>
      </c>
      <c r="P222" s="39" t="s">
        <v>554</v>
      </c>
      <c r="Q222" s="39">
        <v>13405</v>
      </c>
      <c r="R222" s="39">
        <v>13405</v>
      </c>
      <c r="S222" s="39">
        <v>7303</v>
      </c>
      <c r="T222" s="39">
        <v>3652</v>
      </c>
      <c r="U222" s="39">
        <v>750</v>
      </c>
      <c r="V222" s="39">
        <v>450</v>
      </c>
      <c r="W222" s="39">
        <v>0</v>
      </c>
      <c r="X222" s="39">
        <v>0</v>
      </c>
      <c r="Y222" s="39">
        <v>1250</v>
      </c>
      <c r="Z222" s="39">
        <v>450</v>
      </c>
      <c r="AA222" s="39">
        <v>0</v>
      </c>
      <c r="AB222" s="39">
        <v>0</v>
      </c>
      <c r="AC222" s="39">
        <v>0</v>
      </c>
      <c r="AD222" s="39">
        <v>0</v>
      </c>
      <c r="AE222" s="39">
        <v>0</v>
      </c>
      <c r="AF222" s="39">
        <v>0</v>
      </c>
      <c r="AG222" s="39">
        <v>0</v>
      </c>
      <c r="AH222" s="39">
        <v>0</v>
      </c>
      <c r="AI222" s="39">
        <v>0</v>
      </c>
      <c r="AJ222" s="39">
        <f>'Row data'!$S222+'Row data'!$T222+'Row data'!$U222+'Row data'!$W222+'Row data'!$X222+'Row data'!$Y222+'Row data'!$Z222+'Row data'!$AA222+'Row data'!$AB222+'Row data'!$AD222-'Row data'!$AC222-'Row data'!$AE222-'Row data'!$AF222-'Row data'!$AG222-'Row data'!$AH222-'Row data'!$AI222</f>
        <v>13405</v>
      </c>
      <c r="AK222" s="39">
        <v>13405</v>
      </c>
      <c r="AL222" s="39">
        <v>0</v>
      </c>
    </row>
    <row r="223" spans="1:38" x14ac:dyDescent="0.3">
      <c r="A223" s="40">
        <v>222</v>
      </c>
      <c r="B223" s="35" t="s">
        <v>36</v>
      </c>
      <c r="C223" s="35">
        <v>8418716</v>
      </c>
      <c r="D223" s="36" t="s">
        <v>577</v>
      </c>
      <c r="E223" s="35" t="s">
        <v>38</v>
      </c>
      <c r="F223" s="35" t="s">
        <v>56</v>
      </c>
      <c r="G223" s="35" t="s">
        <v>50</v>
      </c>
      <c r="H223" s="37"/>
      <c r="I223" s="38">
        <v>45085</v>
      </c>
      <c r="J223" s="38"/>
      <c r="K223" s="17"/>
      <c r="L223" s="38">
        <v>32701</v>
      </c>
      <c r="M223" s="35">
        <f ca="1">IF('Row data'!$J223="",DATEDIF('Row data'!$L223,TODAY(),"y"),"0")</f>
        <v>37</v>
      </c>
      <c r="N223" s="35" t="s">
        <v>42</v>
      </c>
      <c r="O223" s="35" t="s">
        <v>553</v>
      </c>
      <c r="P223" s="39" t="s">
        <v>554</v>
      </c>
      <c r="Q223" s="39">
        <v>13405</v>
      </c>
      <c r="R223" s="39">
        <v>13405</v>
      </c>
      <c r="S223" s="39">
        <v>7303</v>
      </c>
      <c r="T223" s="39">
        <v>3652</v>
      </c>
      <c r="U223" s="39">
        <v>750</v>
      </c>
      <c r="V223" s="39">
        <v>450</v>
      </c>
      <c r="W223" s="39">
        <v>0</v>
      </c>
      <c r="X223" s="39">
        <v>0</v>
      </c>
      <c r="Y223" s="39">
        <v>1250</v>
      </c>
      <c r="Z223" s="39">
        <v>450</v>
      </c>
      <c r="AA223" s="39">
        <v>0</v>
      </c>
      <c r="AB223" s="39">
        <v>0</v>
      </c>
      <c r="AC223" s="39">
        <v>0</v>
      </c>
      <c r="AD223" s="39">
        <v>0</v>
      </c>
      <c r="AE223" s="39">
        <v>0</v>
      </c>
      <c r="AF223" s="39">
        <v>0</v>
      </c>
      <c r="AG223" s="39">
        <v>0</v>
      </c>
      <c r="AH223" s="39">
        <v>0</v>
      </c>
      <c r="AI223" s="39">
        <v>0</v>
      </c>
      <c r="AJ223" s="39">
        <f>'Row data'!$S223+'Row data'!$T223+'Row data'!$U223+'Row data'!$W223+'Row data'!$X223+'Row data'!$Y223+'Row data'!$Z223+'Row data'!$AA223+'Row data'!$AB223+'Row data'!$AD223-'Row data'!$AC223-'Row data'!$AE223-'Row data'!$AF223-'Row data'!$AG223-'Row data'!$AH223-'Row data'!$AI223</f>
        <v>13405</v>
      </c>
      <c r="AK223" s="39">
        <v>13405</v>
      </c>
      <c r="AL223" s="39">
        <v>0</v>
      </c>
    </row>
    <row r="224" spans="1:38" x14ac:dyDescent="0.3">
      <c r="A224" s="40">
        <v>223</v>
      </c>
      <c r="B224" s="35" t="s">
        <v>36</v>
      </c>
      <c r="C224" s="35">
        <v>8125657</v>
      </c>
      <c r="D224" s="36" t="s">
        <v>578</v>
      </c>
      <c r="E224" s="35" t="s">
        <v>38</v>
      </c>
      <c r="F224" s="35" t="s">
        <v>56</v>
      </c>
      <c r="G224" s="35" t="s">
        <v>50</v>
      </c>
      <c r="H224" s="37"/>
      <c r="I224" s="38">
        <v>45232</v>
      </c>
      <c r="J224" s="38"/>
      <c r="K224" s="17"/>
      <c r="L224" s="38">
        <v>36594</v>
      </c>
      <c r="M224" s="35">
        <f ca="1">IF('Row data'!$J224="",DATEDIF('Row data'!$L224,TODAY(),"y"),"0")</f>
        <v>26</v>
      </c>
      <c r="N224" s="35" t="s">
        <v>42</v>
      </c>
      <c r="O224" s="35" t="s">
        <v>553</v>
      </c>
      <c r="P224" s="39" t="s">
        <v>554</v>
      </c>
      <c r="Q224" s="39">
        <v>13405</v>
      </c>
      <c r="R224" s="39">
        <v>13405</v>
      </c>
      <c r="S224" s="39">
        <v>7303</v>
      </c>
      <c r="T224" s="39">
        <v>3652</v>
      </c>
      <c r="U224" s="39">
        <v>750</v>
      </c>
      <c r="V224" s="39">
        <v>450</v>
      </c>
      <c r="W224" s="39">
        <v>0</v>
      </c>
      <c r="X224" s="39">
        <v>0</v>
      </c>
      <c r="Y224" s="39">
        <v>1250</v>
      </c>
      <c r="Z224" s="39">
        <v>450</v>
      </c>
      <c r="AA224" s="39">
        <v>350</v>
      </c>
      <c r="AB224" s="39">
        <v>0</v>
      </c>
      <c r="AC224" s="39">
        <v>0</v>
      </c>
      <c r="AD224" s="39">
        <v>0</v>
      </c>
      <c r="AE224" s="39">
        <v>0</v>
      </c>
      <c r="AF224" s="39">
        <v>0</v>
      </c>
      <c r="AG224" s="39">
        <v>0</v>
      </c>
      <c r="AH224" s="39">
        <v>0</v>
      </c>
      <c r="AI224" s="39">
        <v>0</v>
      </c>
      <c r="AJ224" s="39">
        <f>'Row data'!$S224+'Row data'!$T224+'Row data'!$U224+'Row data'!$W224+'Row data'!$X224+'Row data'!$Y224+'Row data'!$Z224+'Row data'!$AA224+'Row data'!$AB224+'Row data'!$AD224-'Row data'!$AC224-'Row data'!$AE224-'Row data'!$AF224-'Row data'!$AG224-'Row data'!$AH224-'Row data'!$AI224</f>
        <v>13755</v>
      </c>
      <c r="AK224" s="39">
        <v>13755</v>
      </c>
      <c r="AL224" s="39">
        <v>0</v>
      </c>
    </row>
    <row r="225" spans="1:38" x14ac:dyDescent="0.3">
      <c r="A225" s="40">
        <v>224</v>
      </c>
      <c r="B225" s="35" t="s">
        <v>36</v>
      </c>
      <c r="C225" s="35">
        <v>8985065</v>
      </c>
      <c r="D225" s="36" t="s">
        <v>579</v>
      </c>
      <c r="E225" s="35" t="s">
        <v>38</v>
      </c>
      <c r="F225" s="35" t="s">
        <v>56</v>
      </c>
      <c r="G225" s="35" t="s">
        <v>50</v>
      </c>
      <c r="H225" s="37"/>
      <c r="I225" s="38">
        <v>44929</v>
      </c>
      <c r="J225" s="38"/>
      <c r="K225" s="17"/>
      <c r="L225" s="38">
        <v>30433</v>
      </c>
      <c r="M225" s="35">
        <f ca="1">IF('Row data'!$J225="",DATEDIF('Row data'!$L225,TODAY(),"y"),"0")</f>
        <v>43</v>
      </c>
      <c r="N225" s="35" t="s">
        <v>42</v>
      </c>
      <c r="O225" s="35" t="s">
        <v>553</v>
      </c>
      <c r="P225" s="39" t="s">
        <v>554</v>
      </c>
      <c r="Q225" s="39">
        <v>13405</v>
      </c>
      <c r="R225" s="39">
        <v>13405</v>
      </c>
      <c r="S225" s="39">
        <v>7303</v>
      </c>
      <c r="T225" s="39">
        <v>3652</v>
      </c>
      <c r="U225" s="39">
        <v>750</v>
      </c>
      <c r="V225" s="39">
        <v>450</v>
      </c>
      <c r="W225" s="39">
        <v>0</v>
      </c>
      <c r="X225" s="39">
        <v>0</v>
      </c>
      <c r="Y225" s="39">
        <v>1250</v>
      </c>
      <c r="Z225" s="39">
        <v>450</v>
      </c>
      <c r="AA225" s="39">
        <v>250</v>
      </c>
      <c r="AB225" s="39">
        <v>0</v>
      </c>
      <c r="AC225" s="39">
        <v>0</v>
      </c>
      <c r="AD225" s="39">
        <v>0</v>
      </c>
      <c r="AE225" s="39">
        <v>0</v>
      </c>
      <c r="AF225" s="39">
        <v>0</v>
      </c>
      <c r="AG225" s="39">
        <v>0</v>
      </c>
      <c r="AH225" s="39">
        <v>0</v>
      </c>
      <c r="AI225" s="39">
        <v>0</v>
      </c>
      <c r="AJ225" s="39">
        <f>'Row data'!$S225+'Row data'!$T225+'Row data'!$U225+'Row data'!$W225+'Row data'!$X225+'Row data'!$Y225+'Row data'!$Z225+'Row data'!$AA225+'Row data'!$AB225+'Row data'!$AD225-'Row data'!$AC225-'Row data'!$AE225-'Row data'!$AF225-'Row data'!$AG225-'Row data'!$AH225-'Row data'!$AI225</f>
        <v>13655</v>
      </c>
      <c r="AK225" s="39">
        <v>13655</v>
      </c>
      <c r="AL225" s="39">
        <v>0</v>
      </c>
    </row>
    <row r="226" spans="1:38" x14ac:dyDescent="0.3">
      <c r="A226" s="40">
        <v>225</v>
      </c>
      <c r="B226" s="35" t="s">
        <v>36</v>
      </c>
      <c r="C226" s="35">
        <v>7357437</v>
      </c>
      <c r="D226" s="36" t="s">
        <v>580</v>
      </c>
      <c r="E226" s="35" t="s">
        <v>38</v>
      </c>
      <c r="F226" s="35" t="s">
        <v>56</v>
      </c>
      <c r="G226" s="35" t="s">
        <v>50</v>
      </c>
      <c r="H226" s="37"/>
      <c r="I226" s="38">
        <v>44898</v>
      </c>
      <c r="J226" s="38">
        <v>44593</v>
      </c>
      <c r="K226" s="17">
        <f>YEAR('Row data'!$J226)</f>
        <v>2022</v>
      </c>
      <c r="L226" s="38">
        <v>32174</v>
      </c>
      <c r="M226" s="35" t="str">
        <f ca="1">IF('Row data'!$J226="",DATEDIF('Row data'!$L226,TODAY(),"y"),"0")</f>
        <v>0</v>
      </c>
      <c r="N226" s="35" t="s">
        <v>42</v>
      </c>
      <c r="O226" s="35" t="s">
        <v>553</v>
      </c>
      <c r="P226" s="39" t="s">
        <v>554</v>
      </c>
      <c r="Q226" s="39">
        <v>13405</v>
      </c>
      <c r="R226" s="39">
        <v>13405</v>
      </c>
      <c r="S226" s="39">
        <v>7303</v>
      </c>
      <c r="T226" s="39">
        <v>3652</v>
      </c>
      <c r="U226" s="39">
        <v>750</v>
      </c>
      <c r="V226" s="39">
        <v>450</v>
      </c>
      <c r="W226" s="39">
        <v>0</v>
      </c>
      <c r="X226" s="39">
        <v>0</v>
      </c>
      <c r="Y226" s="39">
        <v>1250</v>
      </c>
      <c r="Z226" s="39">
        <v>450</v>
      </c>
      <c r="AA226" s="39">
        <v>350</v>
      </c>
      <c r="AB226" s="39">
        <v>0</v>
      </c>
      <c r="AC226" s="39">
        <v>0</v>
      </c>
      <c r="AD226" s="39">
        <v>0</v>
      </c>
      <c r="AE226" s="39">
        <v>0</v>
      </c>
      <c r="AF226" s="39">
        <v>0</v>
      </c>
      <c r="AG226" s="39">
        <v>0</v>
      </c>
      <c r="AH226" s="39">
        <v>0</v>
      </c>
      <c r="AI226" s="39">
        <v>0</v>
      </c>
      <c r="AJ226" s="39">
        <f>'Row data'!$S226+'Row data'!$T226+'Row data'!$U226+'Row data'!$W226+'Row data'!$X226+'Row data'!$Y226+'Row data'!$Z226+'Row data'!$AA226+'Row data'!$AB226+'Row data'!$AD226-'Row data'!$AC226-'Row data'!$AE226-'Row data'!$AF226-'Row data'!$AG226-'Row data'!$AH226-'Row data'!$AI226</f>
        <v>13755</v>
      </c>
      <c r="AK226" s="39">
        <v>13755</v>
      </c>
      <c r="AL226" s="39">
        <v>0</v>
      </c>
    </row>
    <row r="227" spans="1:38" x14ac:dyDescent="0.3">
      <c r="A227" s="40">
        <v>226</v>
      </c>
      <c r="B227" s="35" t="s">
        <v>36</v>
      </c>
      <c r="C227" s="35">
        <v>8609415</v>
      </c>
      <c r="D227" s="36" t="s">
        <v>581</v>
      </c>
      <c r="E227" s="35" t="s">
        <v>38</v>
      </c>
      <c r="F227" s="35" t="s">
        <v>56</v>
      </c>
      <c r="G227" s="35" t="s">
        <v>50</v>
      </c>
      <c r="H227" s="37"/>
      <c r="I227" s="38">
        <v>44990</v>
      </c>
      <c r="J227" s="38"/>
      <c r="K227" s="17"/>
      <c r="L227" s="38">
        <v>35069</v>
      </c>
      <c r="M227" s="35">
        <f ca="1">IF('Row data'!$J227="",DATEDIF('Row data'!$L227,TODAY(),"y"),"0")</f>
        <v>30</v>
      </c>
      <c r="N227" s="35" t="s">
        <v>42</v>
      </c>
      <c r="O227" s="35" t="s">
        <v>553</v>
      </c>
      <c r="P227" s="39" t="s">
        <v>554</v>
      </c>
      <c r="Q227" s="39">
        <v>13405</v>
      </c>
      <c r="R227" s="39">
        <v>13405</v>
      </c>
      <c r="S227" s="39">
        <v>7303</v>
      </c>
      <c r="T227" s="39">
        <v>3652</v>
      </c>
      <c r="U227" s="39">
        <v>750</v>
      </c>
      <c r="V227" s="39">
        <v>450</v>
      </c>
      <c r="W227" s="39">
        <v>0</v>
      </c>
      <c r="X227" s="39">
        <v>0</v>
      </c>
      <c r="Y227" s="39">
        <v>1250</v>
      </c>
      <c r="Z227" s="39">
        <v>450</v>
      </c>
      <c r="AA227" s="39">
        <v>0</v>
      </c>
      <c r="AB227" s="39">
        <v>0</v>
      </c>
      <c r="AC227" s="39">
        <v>0</v>
      </c>
      <c r="AD227" s="39">
        <v>0</v>
      </c>
      <c r="AE227" s="39">
        <v>0</v>
      </c>
      <c r="AF227" s="39">
        <v>0</v>
      </c>
      <c r="AG227" s="39">
        <v>0</v>
      </c>
      <c r="AH227" s="39">
        <v>0</v>
      </c>
      <c r="AI227" s="39">
        <v>0</v>
      </c>
      <c r="AJ227" s="39">
        <f>'Row data'!$S227+'Row data'!$T227+'Row data'!$U227+'Row data'!$W227+'Row data'!$X227+'Row data'!$Y227+'Row data'!$Z227+'Row data'!$AA227+'Row data'!$AB227+'Row data'!$AD227-'Row data'!$AC227-'Row data'!$AE227-'Row data'!$AF227-'Row data'!$AG227-'Row data'!$AH227-'Row data'!$AI227</f>
        <v>13405</v>
      </c>
      <c r="AK227" s="39">
        <v>13405</v>
      </c>
      <c r="AL227" s="39">
        <v>0</v>
      </c>
    </row>
    <row r="228" spans="1:38" x14ac:dyDescent="0.3">
      <c r="A228" s="40">
        <v>227</v>
      </c>
      <c r="B228" s="35" t="s">
        <v>36</v>
      </c>
      <c r="C228" s="35">
        <v>5513512</v>
      </c>
      <c r="D228" s="36" t="s">
        <v>582</v>
      </c>
      <c r="E228" s="35" t="s">
        <v>38</v>
      </c>
      <c r="F228" s="35" t="s">
        <v>56</v>
      </c>
      <c r="G228" s="35" t="s">
        <v>50</v>
      </c>
      <c r="H228" s="37"/>
      <c r="I228" s="38">
        <v>44716</v>
      </c>
      <c r="J228" s="38"/>
      <c r="K228" s="17"/>
      <c r="L228" s="38">
        <v>32898</v>
      </c>
      <c r="M228" s="35">
        <f ca="1">IF('Row data'!$J228="",DATEDIF('Row data'!$L228,TODAY(),"y"),"0")</f>
        <v>36</v>
      </c>
      <c r="N228" s="35" t="s">
        <v>42</v>
      </c>
      <c r="O228" s="35" t="s">
        <v>553</v>
      </c>
      <c r="P228" s="39" t="s">
        <v>554</v>
      </c>
      <c r="Q228" s="39">
        <v>13405</v>
      </c>
      <c r="R228" s="39">
        <v>13405</v>
      </c>
      <c r="S228" s="39">
        <v>7303</v>
      </c>
      <c r="T228" s="39">
        <v>3652</v>
      </c>
      <c r="U228" s="39">
        <v>750</v>
      </c>
      <c r="V228" s="39">
        <v>450</v>
      </c>
      <c r="W228" s="39">
        <v>0</v>
      </c>
      <c r="X228" s="39">
        <v>0</v>
      </c>
      <c r="Y228" s="39">
        <v>1250</v>
      </c>
      <c r="Z228" s="39">
        <v>450</v>
      </c>
      <c r="AA228" s="39">
        <v>0</v>
      </c>
      <c r="AB228" s="39">
        <v>0</v>
      </c>
      <c r="AC228" s="39">
        <v>0</v>
      </c>
      <c r="AD228" s="39">
        <v>0</v>
      </c>
      <c r="AE228" s="39">
        <v>0</v>
      </c>
      <c r="AF228" s="39">
        <v>0</v>
      </c>
      <c r="AG228" s="39">
        <v>0</v>
      </c>
      <c r="AH228" s="39">
        <v>0</v>
      </c>
      <c r="AI228" s="39">
        <v>0</v>
      </c>
      <c r="AJ228" s="39">
        <f>'Row data'!$S228+'Row data'!$T228+'Row data'!$U228+'Row data'!$W228+'Row data'!$X228+'Row data'!$Y228+'Row data'!$Z228+'Row data'!$AA228+'Row data'!$AB228+'Row data'!$AD228-'Row data'!$AC228-'Row data'!$AE228-'Row data'!$AF228-'Row data'!$AG228-'Row data'!$AH228-'Row data'!$AI228</f>
        <v>13405</v>
      </c>
      <c r="AK228" s="39">
        <v>13405</v>
      </c>
      <c r="AL228" s="39">
        <v>0</v>
      </c>
    </row>
    <row r="229" spans="1:38" x14ac:dyDescent="0.3">
      <c r="A229" s="40">
        <v>228</v>
      </c>
      <c r="B229" s="35" t="s">
        <v>36</v>
      </c>
      <c r="C229" s="35">
        <v>5332219</v>
      </c>
      <c r="D229" s="36" t="s">
        <v>583</v>
      </c>
      <c r="E229" s="35" t="s">
        <v>38</v>
      </c>
      <c r="F229" s="35" t="s">
        <v>56</v>
      </c>
      <c r="G229" s="35" t="s">
        <v>50</v>
      </c>
      <c r="H229" s="37"/>
      <c r="I229" s="38">
        <v>44842</v>
      </c>
      <c r="J229" s="38">
        <v>44708</v>
      </c>
      <c r="K229" s="17">
        <f>YEAR('Row data'!$J229)</f>
        <v>2022</v>
      </c>
      <c r="L229" s="38">
        <v>28272</v>
      </c>
      <c r="M229" s="35" t="str">
        <f ca="1">IF('Row data'!$J229="",DATEDIF('Row data'!$L229,TODAY(),"y"),"0")</f>
        <v>0</v>
      </c>
      <c r="N229" s="35" t="s">
        <v>42</v>
      </c>
      <c r="O229" s="35" t="s">
        <v>553</v>
      </c>
      <c r="P229" s="39" t="s">
        <v>554</v>
      </c>
      <c r="Q229" s="39">
        <v>13405</v>
      </c>
      <c r="R229" s="39">
        <v>13144</v>
      </c>
      <c r="S229" s="39">
        <v>7303</v>
      </c>
      <c r="T229" s="39">
        <v>3652</v>
      </c>
      <c r="U229" s="39">
        <v>750</v>
      </c>
      <c r="V229" s="39">
        <v>450</v>
      </c>
      <c r="W229" s="39">
        <v>0</v>
      </c>
      <c r="X229" s="39">
        <v>0</v>
      </c>
      <c r="Y229" s="39">
        <v>1250</v>
      </c>
      <c r="Z229" s="39">
        <v>450</v>
      </c>
      <c r="AA229" s="39">
        <v>0</v>
      </c>
      <c r="AB229" s="39">
        <v>0</v>
      </c>
      <c r="AC229" s="39">
        <v>0</v>
      </c>
      <c r="AD229" s="39">
        <v>0</v>
      </c>
      <c r="AE229" s="39">
        <v>261</v>
      </c>
      <c r="AF229" s="39">
        <v>0</v>
      </c>
      <c r="AG229" s="39">
        <v>0</v>
      </c>
      <c r="AH229" s="39">
        <v>0</v>
      </c>
      <c r="AI229" s="39">
        <v>0</v>
      </c>
      <c r="AJ229" s="39">
        <f>'Row data'!$S229+'Row data'!$T229+'Row data'!$U229+'Row data'!$W229+'Row data'!$X229+'Row data'!$Y229+'Row data'!$Z229+'Row data'!$AA229+'Row data'!$AB229+'Row data'!$AD229-'Row data'!$AC229-'Row data'!$AE229-'Row data'!$AF229-'Row data'!$AG229-'Row data'!$AH229-'Row data'!$AI229</f>
        <v>13144</v>
      </c>
      <c r="AK229" s="39">
        <v>13144</v>
      </c>
      <c r="AL229" s="39">
        <v>0</v>
      </c>
    </row>
    <row r="230" spans="1:38" x14ac:dyDescent="0.3">
      <c r="A230" s="40">
        <v>229</v>
      </c>
      <c r="B230" s="35" t="s">
        <v>36</v>
      </c>
      <c r="C230" s="35">
        <v>6388076</v>
      </c>
      <c r="D230" s="36" t="s">
        <v>584</v>
      </c>
      <c r="E230" s="35" t="s">
        <v>38</v>
      </c>
      <c r="F230" s="35" t="s">
        <v>56</v>
      </c>
      <c r="G230" s="35" t="s">
        <v>50</v>
      </c>
      <c r="H230" s="37"/>
      <c r="I230" s="38">
        <v>44840</v>
      </c>
      <c r="J230" s="38"/>
      <c r="K230" s="17"/>
      <c r="L230" s="38">
        <v>37052</v>
      </c>
      <c r="M230" s="35">
        <f ca="1">IF('Row data'!$J230="",DATEDIF('Row data'!$L230,TODAY(),"y"),"0")</f>
        <v>25</v>
      </c>
      <c r="N230" s="35" t="s">
        <v>42</v>
      </c>
      <c r="O230" s="35" t="s">
        <v>553</v>
      </c>
      <c r="P230" s="39" t="s">
        <v>554</v>
      </c>
      <c r="Q230" s="39">
        <v>13405</v>
      </c>
      <c r="R230" s="39">
        <v>13405</v>
      </c>
      <c r="S230" s="39">
        <v>7303</v>
      </c>
      <c r="T230" s="39">
        <v>3652</v>
      </c>
      <c r="U230" s="39">
        <v>750</v>
      </c>
      <c r="V230" s="39">
        <v>450</v>
      </c>
      <c r="W230" s="39">
        <v>0</v>
      </c>
      <c r="X230" s="39">
        <v>0</v>
      </c>
      <c r="Y230" s="39">
        <v>1250</v>
      </c>
      <c r="Z230" s="39">
        <v>450</v>
      </c>
      <c r="AA230" s="39">
        <v>250</v>
      </c>
      <c r="AB230" s="39">
        <v>0</v>
      </c>
      <c r="AC230" s="39">
        <v>0</v>
      </c>
      <c r="AD230" s="39">
        <v>0</v>
      </c>
      <c r="AE230" s="39">
        <v>0</v>
      </c>
      <c r="AF230" s="39">
        <v>0</v>
      </c>
      <c r="AG230" s="39">
        <v>0</v>
      </c>
      <c r="AH230" s="39">
        <v>0</v>
      </c>
      <c r="AI230" s="39">
        <v>0</v>
      </c>
      <c r="AJ230" s="39">
        <f>'Row data'!$S230+'Row data'!$T230+'Row data'!$U230+'Row data'!$W230+'Row data'!$X230+'Row data'!$Y230+'Row data'!$Z230+'Row data'!$AA230+'Row data'!$AB230+'Row data'!$AD230-'Row data'!$AC230-'Row data'!$AE230-'Row data'!$AF230-'Row data'!$AG230-'Row data'!$AH230-'Row data'!$AI230</f>
        <v>13655</v>
      </c>
      <c r="AK230" s="39">
        <v>13655</v>
      </c>
      <c r="AL230" s="39">
        <v>0</v>
      </c>
    </row>
    <row r="231" spans="1:38" x14ac:dyDescent="0.3">
      <c r="A231" s="40">
        <v>230</v>
      </c>
      <c r="B231" s="35" t="s">
        <v>36</v>
      </c>
      <c r="C231" s="35">
        <v>9890568</v>
      </c>
      <c r="D231" s="36" t="s">
        <v>583</v>
      </c>
      <c r="E231" s="35" t="s">
        <v>38</v>
      </c>
      <c r="F231" s="35" t="s">
        <v>56</v>
      </c>
      <c r="G231" s="35" t="s">
        <v>50</v>
      </c>
      <c r="H231" s="37"/>
      <c r="I231" s="38">
        <v>44774</v>
      </c>
      <c r="J231" s="38"/>
      <c r="K231" s="17"/>
      <c r="L231" s="38">
        <v>31445</v>
      </c>
      <c r="M231" s="35">
        <f ca="1">IF('Row data'!$J231="",DATEDIF('Row data'!$L231,TODAY(),"y"),"0")</f>
        <v>40</v>
      </c>
      <c r="N231" s="35" t="s">
        <v>42</v>
      </c>
      <c r="O231" s="35" t="s">
        <v>553</v>
      </c>
      <c r="P231" s="39" t="s">
        <v>554</v>
      </c>
      <c r="Q231" s="39">
        <v>13405</v>
      </c>
      <c r="R231" s="39">
        <v>12623</v>
      </c>
      <c r="S231" s="39">
        <v>7303</v>
      </c>
      <c r="T231" s="39">
        <v>3652</v>
      </c>
      <c r="U231" s="39">
        <v>750</v>
      </c>
      <c r="V231" s="39">
        <v>450</v>
      </c>
      <c r="W231" s="39">
        <v>0</v>
      </c>
      <c r="X231" s="39">
        <v>0</v>
      </c>
      <c r="Y231" s="39">
        <v>1250</v>
      </c>
      <c r="Z231" s="39">
        <v>450</v>
      </c>
      <c r="AA231" s="39">
        <v>0</v>
      </c>
      <c r="AB231" s="39">
        <v>0</v>
      </c>
      <c r="AC231" s="39">
        <v>0</v>
      </c>
      <c r="AD231" s="39">
        <v>0</v>
      </c>
      <c r="AE231" s="39">
        <v>782</v>
      </c>
      <c r="AF231" s="39">
        <v>0</v>
      </c>
      <c r="AG231" s="39">
        <v>0</v>
      </c>
      <c r="AH231" s="39">
        <v>0</v>
      </c>
      <c r="AI231" s="39">
        <v>0</v>
      </c>
      <c r="AJ231" s="39">
        <f>'Row data'!$S231+'Row data'!$T231+'Row data'!$U231+'Row data'!$W231+'Row data'!$X231+'Row data'!$Y231+'Row data'!$Z231+'Row data'!$AA231+'Row data'!$AB231+'Row data'!$AD231-'Row data'!$AC231-'Row data'!$AE231-'Row data'!$AF231-'Row data'!$AG231-'Row data'!$AH231-'Row data'!$AI231</f>
        <v>12623</v>
      </c>
      <c r="AK231" s="39">
        <v>12623</v>
      </c>
      <c r="AL231" s="39">
        <v>0</v>
      </c>
    </row>
    <row r="232" spans="1:38" x14ac:dyDescent="0.3">
      <c r="A232" s="40">
        <v>231</v>
      </c>
      <c r="B232" s="35" t="s">
        <v>36</v>
      </c>
      <c r="C232" s="35">
        <v>9142273</v>
      </c>
      <c r="D232" s="36" t="s">
        <v>585</v>
      </c>
      <c r="E232" s="35" t="s">
        <v>38</v>
      </c>
      <c r="F232" s="35" t="s">
        <v>56</v>
      </c>
      <c r="G232" s="35" t="s">
        <v>50</v>
      </c>
      <c r="H232" s="37"/>
      <c r="I232" s="38">
        <v>44783</v>
      </c>
      <c r="J232" s="38"/>
      <c r="K232" s="17"/>
      <c r="L232" s="38">
        <v>37469</v>
      </c>
      <c r="M232" s="35">
        <f ca="1">IF('Row data'!$J232="",DATEDIF('Row data'!$L232,TODAY(),"y"),"0")</f>
        <v>24</v>
      </c>
      <c r="N232" s="35" t="s">
        <v>42</v>
      </c>
      <c r="O232" s="35" t="s">
        <v>553</v>
      </c>
      <c r="P232" s="39" t="s">
        <v>554</v>
      </c>
      <c r="Q232" s="39">
        <v>13405</v>
      </c>
      <c r="R232" s="39">
        <v>13405</v>
      </c>
      <c r="S232" s="39">
        <v>7303</v>
      </c>
      <c r="T232" s="39">
        <v>3652</v>
      </c>
      <c r="U232" s="39">
        <v>750</v>
      </c>
      <c r="V232" s="39">
        <v>450</v>
      </c>
      <c r="W232" s="39">
        <v>0</v>
      </c>
      <c r="X232" s="39">
        <v>0</v>
      </c>
      <c r="Y232" s="39">
        <v>1250</v>
      </c>
      <c r="Z232" s="39">
        <v>450</v>
      </c>
      <c r="AA232" s="39">
        <v>350</v>
      </c>
      <c r="AB232" s="39">
        <v>0</v>
      </c>
      <c r="AC232" s="39">
        <v>0</v>
      </c>
      <c r="AD232" s="39">
        <v>0</v>
      </c>
      <c r="AE232" s="39">
        <v>0</v>
      </c>
      <c r="AF232" s="39">
        <v>0</v>
      </c>
      <c r="AG232" s="39">
        <v>0</v>
      </c>
      <c r="AH232" s="39">
        <v>0</v>
      </c>
      <c r="AI232" s="39">
        <v>0</v>
      </c>
      <c r="AJ232" s="39">
        <f>'Row data'!$S232+'Row data'!$T232+'Row data'!$U232+'Row data'!$W232+'Row data'!$X232+'Row data'!$Y232+'Row data'!$Z232+'Row data'!$AA232+'Row data'!$AB232+'Row data'!$AD232-'Row data'!$AC232-'Row data'!$AE232-'Row data'!$AF232-'Row data'!$AG232-'Row data'!$AH232-'Row data'!$AI232</f>
        <v>13755</v>
      </c>
      <c r="AK232" s="39">
        <v>13755</v>
      </c>
      <c r="AL232" s="39">
        <v>0</v>
      </c>
    </row>
    <row r="233" spans="1:38" x14ac:dyDescent="0.3">
      <c r="A233" s="40">
        <v>232</v>
      </c>
      <c r="B233" s="35" t="s">
        <v>69</v>
      </c>
      <c r="C233" s="35">
        <v>8492301</v>
      </c>
      <c r="D233" s="36" t="s">
        <v>586</v>
      </c>
      <c r="E233" s="35" t="s">
        <v>71</v>
      </c>
      <c r="F233" s="35" t="s">
        <v>587</v>
      </c>
      <c r="G233" s="35" t="s">
        <v>588</v>
      </c>
      <c r="H233" s="37"/>
      <c r="I233" s="38">
        <v>45048</v>
      </c>
      <c r="J233" s="38"/>
      <c r="K233" s="17"/>
      <c r="L233" s="38">
        <v>30630</v>
      </c>
      <c r="M233" s="35">
        <f ca="1">IF('Row data'!$J233="",DATEDIF('Row data'!$L233,TODAY(),"y"),"0")</f>
        <v>42</v>
      </c>
      <c r="N233" s="35" t="s">
        <v>75</v>
      </c>
      <c r="O233" s="35" t="s">
        <v>553</v>
      </c>
      <c r="P233" s="39" t="s">
        <v>554</v>
      </c>
      <c r="Q233" s="39">
        <v>13732</v>
      </c>
      <c r="R233" s="39">
        <v>13732</v>
      </c>
      <c r="S233" s="39">
        <v>7521</v>
      </c>
      <c r="T233" s="39">
        <v>3761</v>
      </c>
      <c r="U233" s="39">
        <v>750</v>
      </c>
      <c r="V233" s="39">
        <v>450</v>
      </c>
      <c r="W233" s="39">
        <v>0</v>
      </c>
      <c r="X233" s="39">
        <v>0</v>
      </c>
      <c r="Y233" s="39">
        <v>1250</v>
      </c>
      <c r="Z233" s="39">
        <v>450</v>
      </c>
      <c r="AA233" s="39">
        <v>0</v>
      </c>
      <c r="AB233" s="39">
        <v>0</v>
      </c>
      <c r="AC233" s="39">
        <v>0</v>
      </c>
      <c r="AD233" s="39">
        <v>0</v>
      </c>
      <c r="AE233" s="39">
        <v>0</v>
      </c>
      <c r="AF233" s="39">
        <v>0</v>
      </c>
      <c r="AG233" s="39">
        <v>0</v>
      </c>
      <c r="AH233" s="39">
        <v>0</v>
      </c>
      <c r="AI233" s="39">
        <v>0</v>
      </c>
      <c r="AJ233" s="39">
        <f>'Row data'!$S233+'Row data'!$T233+'Row data'!$U233+'Row data'!$W233+'Row data'!$X233+'Row data'!$Y233+'Row data'!$Z233+'Row data'!$AA233+'Row data'!$AB233+'Row data'!$AD233-'Row data'!$AC233-'Row data'!$AE233-'Row data'!$AF233-'Row data'!$AG233-'Row data'!$AH233-'Row data'!$AI233</f>
        <v>13732</v>
      </c>
      <c r="AK233" s="39">
        <v>13732</v>
      </c>
      <c r="AL233" s="39">
        <v>0</v>
      </c>
    </row>
    <row r="234" spans="1:38" x14ac:dyDescent="0.3">
      <c r="A234" s="40">
        <v>233</v>
      </c>
      <c r="B234" s="35" t="s">
        <v>69</v>
      </c>
      <c r="C234" s="35">
        <v>8546573</v>
      </c>
      <c r="D234" s="36" t="s">
        <v>583</v>
      </c>
      <c r="E234" s="35" t="s">
        <v>71</v>
      </c>
      <c r="F234" s="35" t="s">
        <v>587</v>
      </c>
      <c r="G234" s="35" t="s">
        <v>589</v>
      </c>
      <c r="H234" s="37"/>
      <c r="I234" s="38">
        <v>45434</v>
      </c>
      <c r="J234" s="38"/>
      <c r="K234" s="17"/>
      <c r="L234" s="38">
        <v>37331</v>
      </c>
      <c r="M234" s="35">
        <f ca="1">IF('Row data'!$J234="",DATEDIF('Row data'!$L234,TODAY(),"y"),"0")</f>
        <v>24</v>
      </c>
      <c r="N234" s="35" t="s">
        <v>42</v>
      </c>
      <c r="O234" s="35" t="s">
        <v>553</v>
      </c>
      <c r="P234" s="39" t="s">
        <v>554</v>
      </c>
      <c r="Q234" s="39">
        <v>12800</v>
      </c>
      <c r="R234" s="39">
        <v>11554</v>
      </c>
      <c r="S234" s="39">
        <v>6900</v>
      </c>
      <c r="T234" s="39">
        <v>3450</v>
      </c>
      <c r="U234" s="39">
        <v>750</v>
      </c>
      <c r="V234" s="39">
        <v>450</v>
      </c>
      <c r="W234" s="39">
        <v>0</v>
      </c>
      <c r="X234" s="39">
        <v>0</v>
      </c>
      <c r="Y234" s="39">
        <v>1250</v>
      </c>
      <c r="Z234" s="39">
        <v>450</v>
      </c>
      <c r="AA234" s="39">
        <v>0</v>
      </c>
      <c r="AB234" s="39">
        <v>0</v>
      </c>
      <c r="AC234" s="39">
        <v>-1000</v>
      </c>
      <c r="AD234" s="39">
        <v>0</v>
      </c>
      <c r="AE234" s="39">
        <v>0</v>
      </c>
      <c r="AF234" s="39">
        <v>246</v>
      </c>
      <c r="AG234" s="39">
        <v>0</v>
      </c>
      <c r="AH234" s="39">
        <v>0</v>
      </c>
      <c r="AI234" s="39">
        <v>0</v>
      </c>
      <c r="AJ234" s="39">
        <f>'Row data'!$S234+'Row data'!$T234+'Row data'!$U234+'Row data'!$W234+'Row data'!$X234+'Row data'!$Y234+'Row data'!$Z234+'Row data'!$AA234+'Row data'!$AB234+'Row data'!$AD234-'Row data'!$AC234-'Row data'!$AE234-'Row data'!$AF234-'Row data'!$AG234-'Row data'!$AH234-'Row data'!$AI234</f>
        <v>13554</v>
      </c>
      <c r="AK234" s="39">
        <v>11554</v>
      </c>
      <c r="AL234" s="39">
        <v>0</v>
      </c>
    </row>
    <row r="235" spans="1:38" x14ac:dyDescent="0.3">
      <c r="A235" s="40">
        <v>234</v>
      </c>
      <c r="B235" s="35" t="s">
        <v>69</v>
      </c>
      <c r="C235" s="35">
        <v>9148413</v>
      </c>
      <c r="D235" s="36" t="s">
        <v>590</v>
      </c>
      <c r="E235" s="35" t="s">
        <v>38</v>
      </c>
      <c r="F235" s="35" t="s">
        <v>133</v>
      </c>
      <c r="G235" s="35" t="s">
        <v>50</v>
      </c>
      <c r="H235" s="37"/>
      <c r="I235" s="38">
        <v>44805</v>
      </c>
      <c r="J235" s="38"/>
      <c r="K235" s="17"/>
      <c r="L235" s="38">
        <v>30745</v>
      </c>
      <c r="M235" s="35">
        <f ca="1">IF('Row data'!$J235="",DATEDIF('Row data'!$L235,TODAY(),"y"),"0")</f>
        <v>42</v>
      </c>
      <c r="N235" s="35" t="s">
        <v>42</v>
      </c>
      <c r="O235" s="35" t="s">
        <v>553</v>
      </c>
      <c r="P235" s="39" t="s">
        <v>554</v>
      </c>
      <c r="Q235" s="39">
        <v>13405</v>
      </c>
      <c r="R235" s="39">
        <v>12901</v>
      </c>
      <c r="S235" s="39">
        <v>7303</v>
      </c>
      <c r="T235" s="39">
        <v>3652</v>
      </c>
      <c r="U235" s="39">
        <v>750</v>
      </c>
      <c r="V235" s="39">
        <v>450</v>
      </c>
      <c r="W235" s="39">
        <v>0</v>
      </c>
      <c r="X235" s="39">
        <v>0</v>
      </c>
      <c r="Y235" s="39">
        <v>1250</v>
      </c>
      <c r="Z235" s="39">
        <v>450</v>
      </c>
      <c r="AA235" s="39">
        <v>0</v>
      </c>
      <c r="AB235" s="39">
        <v>0</v>
      </c>
      <c r="AC235" s="39">
        <v>-243</v>
      </c>
      <c r="AD235" s="39">
        <v>0</v>
      </c>
      <c r="AE235" s="39">
        <v>261</v>
      </c>
      <c r="AF235" s="39">
        <v>0</v>
      </c>
      <c r="AG235" s="39">
        <v>0</v>
      </c>
      <c r="AH235" s="39">
        <v>0</v>
      </c>
      <c r="AI235" s="39">
        <v>0</v>
      </c>
      <c r="AJ235" s="39">
        <f>'Row data'!$S235+'Row data'!$T235+'Row data'!$U235+'Row data'!$W235+'Row data'!$X235+'Row data'!$Y235+'Row data'!$Z235+'Row data'!$AA235+'Row data'!$AB235+'Row data'!$AD235-'Row data'!$AC235-'Row data'!$AE235-'Row data'!$AF235-'Row data'!$AG235-'Row data'!$AH235-'Row data'!$AI235</f>
        <v>13387</v>
      </c>
      <c r="AK235" s="39">
        <v>12901</v>
      </c>
      <c r="AL235" s="39">
        <v>0</v>
      </c>
    </row>
    <row r="236" spans="1:38" x14ac:dyDescent="0.3">
      <c r="A236" s="40">
        <v>235</v>
      </c>
      <c r="B236" s="35" t="s">
        <v>69</v>
      </c>
      <c r="C236" s="35">
        <v>7555672</v>
      </c>
      <c r="D236" s="36" t="s">
        <v>591</v>
      </c>
      <c r="E236" s="35" t="s">
        <v>38</v>
      </c>
      <c r="F236" s="35" t="s">
        <v>133</v>
      </c>
      <c r="G236" s="35" t="s">
        <v>50</v>
      </c>
      <c r="H236" s="37"/>
      <c r="I236" s="38">
        <v>44837</v>
      </c>
      <c r="J236" s="38"/>
      <c r="K236" s="17"/>
      <c r="L236" s="38">
        <v>44814</v>
      </c>
      <c r="M236" s="35">
        <f ca="1">IF('Row data'!$J236="",DATEDIF('Row data'!$L236,TODAY(),"y"),"0")</f>
        <v>4</v>
      </c>
      <c r="N236" s="35" t="s">
        <v>42</v>
      </c>
      <c r="O236" s="35" t="s">
        <v>553</v>
      </c>
      <c r="P236" s="39" t="s">
        <v>554</v>
      </c>
      <c r="Q236" s="39">
        <v>13405</v>
      </c>
      <c r="R236" s="39">
        <v>13405</v>
      </c>
      <c r="S236" s="39">
        <v>7303</v>
      </c>
      <c r="T236" s="39">
        <v>3652</v>
      </c>
      <c r="U236" s="39">
        <v>750</v>
      </c>
      <c r="V236" s="39">
        <v>450</v>
      </c>
      <c r="W236" s="39">
        <v>0</v>
      </c>
      <c r="X236" s="39">
        <v>0</v>
      </c>
      <c r="Y236" s="39">
        <v>1250</v>
      </c>
      <c r="Z236" s="39">
        <v>450</v>
      </c>
      <c r="AA236" s="39">
        <v>0</v>
      </c>
      <c r="AB236" s="39">
        <v>0</v>
      </c>
      <c r="AC236" s="39">
        <v>0</v>
      </c>
      <c r="AD236" s="39">
        <v>0</v>
      </c>
      <c r="AE236" s="39">
        <v>0</v>
      </c>
      <c r="AF236" s="39">
        <v>0</v>
      </c>
      <c r="AG236" s="39">
        <v>0</v>
      </c>
      <c r="AH236" s="39">
        <v>0</v>
      </c>
      <c r="AI236" s="39">
        <v>0</v>
      </c>
      <c r="AJ236" s="39">
        <f>'Row data'!$S236+'Row data'!$T236+'Row data'!$U236+'Row data'!$W236+'Row data'!$X236+'Row data'!$Y236+'Row data'!$Z236+'Row data'!$AA236+'Row data'!$AB236+'Row data'!$AD236-'Row data'!$AC236-'Row data'!$AE236-'Row data'!$AF236-'Row data'!$AG236-'Row data'!$AH236-'Row data'!$AI236</f>
        <v>13405</v>
      </c>
      <c r="AK236" s="39">
        <v>13405</v>
      </c>
      <c r="AL236" s="39">
        <v>0</v>
      </c>
    </row>
    <row r="237" spans="1:38" x14ac:dyDescent="0.3">
      <c r="A237" s="40">
        <v>236</v>
      </c>
      <c r="B237" s="35" t="s">
        <v>69</v>
      </c>
      <c r="C237" s="35">
        <v>8276642</v>
      </c>
      <c r="D237" s="36" t="s">
        <v>592</v>
      </c>
      <c r="E237" s="35" t="s">
        <v>38</v>
      </c>
      <c r="F237" s="35" t="s">
        <v>133</v>
      </c>
      <c r="G237" s="35" t="s">
        <v>50</v>
      </c>
      <c r="H237" s="37"/>
      <c r="I237" s="38">
        <v>44482</v>
      </c>
      <c r="J237" s="38"/>
      <c r="K237" s="17"/>
      <c r="L237" s="38">
        <v>28023</v>
      </c>
      <c r="M237" s="35">
        <f ca="1">IF('Row data'!$J237="",DATEDIF('Row data'!$L237,TODAY(),"y"),"0")</f>
        <v>50</v>
      </c>
      <c r="N237" s="35" t="s">
        <v>42</v>
      </c>
      <c r="O237" s="35" t="s">
        <v>553</v>
      </c>
      <c r="P237" s="39" t="s">
        <v>554</v>
      </c>
      <c r="Q237" s="39">
        <v>13405</v>
      </c>
      <c r="R237" s="39">
        <v>13405</v>
      </c>
      <c r="S237" s="39">
        <v>7303</v>
      </c>
      <c r="T237" s="39">
        <v>3652</v>
      </c>
      <c r="U237" s="39">
        <v>750</v>
      </c>
      <c r="V237" s="39">
        <v>450</v>
      </c>
      <c r="W237" s="39">
        <v>0</v>
      </c>
      <c r="X237" s="39">
        <v>0</v>
      </c>
      <c r="Y237" s="39">
        <v>1250</v>
      </c>
      <c r="Z237" s="39">
        <v>450</v>
      </c>
      <c r="AA237" s="39">
        <v>350</v>
      </c>
      <c r="AB237" s="39">
        <v>0</v>
      </c>
      <c r="AC237" s="39">
        <v>0</v>
      </c>
      <c r="AD237" s="39">
        <v>0</v>
      </c>
      <c r="AE237" s="39">
        <v>0</v>
      </c>
      <c r="AF237" s="39">
        <v>0</v>
      </c>
      <c r="AG237" s="39">
        <v>0</v>
      </c>
      <c r="AH237" s="39">
        <v>0</v>
      </c>
      <c r="AI237" s="39">
        <v>0</v>
      </c>
      <c r="AJ237" s="39">
        <f>'Row data'!$S237+'Row data'!$T237+'Row data'!$U237+'Row data'!$W237+'Row data'!$X237+'Row data'!$Y237+'Row data'!$Z237+'Row data'!$AA237+'Row data'!$AB237+'Row data'!$AD237-'Row data'!$AC237-'Row data'!$AE237-'Row data'!$AF237-'Row data'!$AG237-'Row data'!$AH237-'Row data'!$AI237</f>
        <v>13755</v>
      </c>
      <c r="AK237" s="39">
        <v>13755</v>
      </c>
      <c r="AL237" s="39">
        <v>0</v>
      </c>
    </row>
    <row r="238" spans="1:38" x14ac:dyDescent="0.3">
      <c r="A238" s="40">
        <v>237</v>
      </c>
      <c r="B238" s="35" t="s">
        <v>69</v>
      </c>
      <c r="C238" s="35">
        <v>8980953</v>
      </c>
      <c r="D238" s="36" t="s">
        <v>593</v>
      </c>
      <c r="E238" s="35" t="s">
        <v>38</v>
      </c>
      <c r="F238" s="35" t="s">
        <v>133</v>
      </c>
      <c r="G238" s="35" t="s">
        <v>50</v>
      </c>
      <c r="H238" s="37"/>
      <c r="I238" s="38">
        <v>44480</v>
      </c>
      <c r="J238" s="38"/>
      <c r="K238" s="17"/>
      <c r="L238" s="38">
        <v>34252</v>
      </c>
      <c r="M238" s="35">
        <f ca="1">IF('Row data'!$J238="",DATEDIF('Row data'!$L238,TODAY(),"y"),"0")</f>
        <v>32</v>
      </c>
      <c r="N238" s="35" t="s">
        <v>42</v>
      </c>
      <c r="O238" s="35" t="s">
        <v>553</v>
      </c>
      <c r="P238" s="39" t="s">
        <v>554</v>
      </c>
      <c r="Q238" s="39">
        <v>13405</v>
      </c>
      <c r="R238" s="39">
        <v>13405</v>
      </c>
      <c r="S238" s="39">
        <v>7303</v>
      </c>
      <c r="T238" s="39">
        <v>3652</v>
      </c>
      <c r="U238" s="39">
        <v>750</v>
      </c>
      <c r="V238" s="39">
        <v>450</v>
      </c>
      <c r="W238" s="39">
        <v>0</v>
      </c>
      <c r="X238" s="39">
        <v>0</v>
      </c>
      <c r="Y238" s="39">
        <v>1250</v>
      </c>
      <c r="Z238" s="39">
        <v>450</v>
      </c>
      <c r="AA238" s="39">
        <v>350</v>
      </c>
      <c r="AB238" s="39">
        <v>0</v>
      </c>
      <c r="AC238" s="39">
        <v>0</v>
      </c>
      <c r="AD238" s="39">
        <v>0</v>
      </c>
      <c r="AE238" s="39">
        <v>0</v>
      </c>
      <c r="AF238" s="39">
        <v>0</v>
      </c>
      <c r="AG238" s="39">
        <v>0</v>
      </c>
      <c r="AH238" s="39">
        <v>0</v>
      </c>
      <c r="AI238" s="39">
        <v>0</v>
      </c>
      <c r="AJ238" s="39">
        <f>'Row data'!$S238+'Row data'!$T238+'Row data'!$U238+'Row data'!$W238+'Row data'!$X238+'Row data'!$Y238+'Row data'!$Z238+'Row data'!$AA238+'Row data'!$AB238+'Row data'!$AD238-'Row data'!$AC238-'Row data'!$AE238-'Row data'!$AF238-'Row data'!$AG238-'Row data'!$AH238-'Row data'!$AI238</f>
        <v>13755</v>
      </c>
      <c r="AK238" s="39">
        <v>13755</v>
      </c>
      <c r="AL238" s="39">
        <v>0</v>
      </c>
    </row>
    <row r="239" spans="1:38" x14ac:dyDescent="0.3">
      <c r="A239" s="40">
        <v>238</v>
      </c>
      <c r="B239" s="35" t="s">
        <v>69</v>
      </c>
      <c r="C239" s="35">
        <v>7598432</v>
      </c>
      <c r="D239" s="36" t="s">
        <v>594</v>
      </c>
      <c r="E239" s="35" t="s">
        <v>38</v>
      </c>
      <c r="F239" s="35" t="s">
        <v>133</v>
      </c>
      <c r="G239" s="35" t="s">
        <v>595</v>
      </c>
      <c r="H239" s="37"/>
      <c r="I239" s="38">
        <v>43344</v>
      </c>
      <c r="J239" s="38"/>
      <c r="K239" s="17"/>
      <c r="L239" s="38">
        <v>35614</v>
      </c>
      <c r="M239" s="35">
        <f ca="1">IF('Row data'!$J239="",DATEDIF('Row data'!$L239,TODAY(),"y"),"0")</f>
        <v>29</v>
      </c>
      <c r="N239" s="35" t="s">
        <v>42</v>
      </c>
      <c r="O239" s="35" t="s">
        <v>553</v>
      </c>
      <c r="P239" s="39" t="s">
        <v>554</v>
      </c>
      <c r="Q239" s="39">
        <v>13622</v>
      </c>
      <c r="R239" s="39">
        <v>13622</v>
      </c>
      <c r="S239" s="39">
        <v>7448</v>
      </c>
      <c r="T239" s="39">
        <v>3724</v>
      </c>
      <c r="U239" s="39">
        <v>750</v>
      </c>
      <c r="V239" s="39">
        <v>450</v>
      </c>
      <c r="W239" s="39">
        <v>0</v>
      </c>
      <c r="X239" s="39">
        <v>0</v>
      </c>
      <c r="Y239" s="39">
        <v>1250</v>
      </c>
      <c r="Z239" s="39">
        <v>450</v>
      </c>
      <c r="AA239" s="39">
        <v>0</v>
      </c>
      <c r="AB239" s="39">
        <v>0</v>
      </c>
      <c r="AC239" s="39">
        <v>0</v>
      </c>
      <c r="AD239" s="39">
        <v>0</v>
      </c>
      <c r="AE239" s="39">
        <v>0</v>
      </c>
      <c r="AF239" s="39">
        <v>0</v>
      </c>
      <c r="AG239" s="39">
        <v>0</v>
      </c>
      <c r="AH239" s="39">
        <v>0</v>
      </c>
      <c r="AI239" s="39">
        <v>0</v>
      </c>
      <c r="AJ239" s="39">
        <f>'Row data'!$S239+'Row data'!$T239+'Row data'!$U239+'Row data'!$W239+'Row data'!$X239+'Row data'!$Y239+'Row data'!$Z239+'Row data'!$AA239+'Row data'!$AB239+'Row data'!$AD239-'Row data'!$AC239-'Row data'!$AE239-'Row data'!$AF239-'Row data'!$AG239-'Row data'!$AH239-'Row data'!$AI239</f>
        <v>13622</v>
      </c>
      <c r="AK239" s="39">
        <v>13622</v>
      </c>
      <c r="AL239" s="39">
        <v>0</v>
      </c>
    </row>
    <row r="240" spans="1:38" x14ac:dyDescent="0.3">
      <c r="A240" s="40">
        <v>239</v>
      </c>
      <c r="B240" s="35" t="s">
        <v>69</v>
      </c>
      <c r="C240" s="35">
        <v>6235075</v>
      </c>
      <c r="D240" s="36" t="s">
        <v>596</v>
      </c>
      <c r="E240" s="35" t="s">
        <v>38</v>
      </c>
      <c r="F240" s="35" t="s">
        <v>133</v>
      </c>
      <c r="G240" s="35" t="s">
        <v>170</v>
      </c>
      <c r="H240" s="37"/>
      <c r="I240" s="38">
        <v>43808</v>
      </c>
      <c r="J240" s="38"/>
      <c r="K240" s="17"/>
      <c r="L240" s="38">
        <v>33248</v>
      </c>
      <c r="M240" s="35">
        <f ca="1">IF('Row data'!$J240="",DATEDIF('Row data'!$L240,TODAY(),"y"),"0")</f>
        <v>35</v>
      </c>
      <c r="N240" s="35" t="s">
        <v>42</v>
      </c>
      <c r="O240" s="35" t="s">
        <v>553</v>
      </c>
      <c r="P240" s="39" t="s">
        <v>554</v>
      </c>
      <c r="Q240" s="39">
        <v>13514</v>
      </c>
      <c r="R240" s="39">
        <v>13514</v>
      </c>
      <c r="S240" s="39">
        <v>7376</v>
      </c>
      <c r="T240" s="39">
        <v>3688</v>
      </c>
      <c r="U240" s="39">
        <v>750</v>
      </c>
      <c r="V240" s="39">
        <v>450</v>
      </c>
      <c r="W240" s="39">
        <v>0</v>
      </c>
      <c r="X240" s="39">
        <v>0</v>
      </c>
      <c r="Y240" s="39">
        <v>1250</v>
      </c>
      <c r="Z240" s="39">
        <v>450</v>
      </c>
      <c r="AA240" s="39">
        <v>0</v>
      </c>
      <c r="AB240" s="39">
        <v>0</v>
      </c>
      <c r="AC240" s="39">
        <v>0</v>
      </c>
      <c r="AD240" s="39">
        <v>0</v>
      </c>
      <c r="AE240" s="39">
        <v>0</v>
      </c>
      <c r="AF240" s="39">
        <v>0</v>
      </c>
      <c r="AG240" s="39">
        <v>0</v>
      </c>
      <c r="AH240" s="39">
        <v>0</v>
      </c>
      <c r="AI240" s="39">
        <v>0</v>
      </c>
      <c r="AJ240" s="39">
        <f>'Row data'!$S240+'Row data'!$T240+'Row data'!$U240+'Row data'!$W240+'Row data'!$X240+'Row data'!$Y240+'Row data'!$Z240+'Row data'!$AA240+'Row data'!$AB240+'Row data'!$AD240-'Row data'!$AC240-'Row data'!$AE240-'Row data'!$AF240-'Row data'!$AG240-'Row data'!$AH240-'Row data'!$AI240</f>
        <v>13514</v>
      </c>
      <c r="AK240" s="39">
        <v>13514</v>
      </c>
      <c r="AL240" s="39">
        <v>0</v>
      </c>
    </row>
    <row r="241" spans="1:38" x14ac:dyDescent="0.3">
      <c r="A241" s="40">
        <v>240</v>
      </c>
      <c r="B241" s="35" t="s">
        <v>69</v>
      </c>
      <c r="C241" s="35">
        <v>6365823</v>
      </c>
      <c r="D241" s="36" t="s">
        <v>583</v>
      </c>
      <c r="E241" s="35" t="s">
        <v>38</v>
      </c>
      <c r="F241" s="35" t="s">
        <v>133</v>
      </c>
      <c r="G241" s="35" t="s">
        <v>588</v>
      </c>
      <c r="H241" s="37"/>
      <c r="I241" s="38">
        <v>43020</v>
      </c>
      <c r="J241" s="38"/>
      <c r="K241" s="17"/>
      <c r="L241" s="38">
        <v>29677</v>
      </c>
      <c r="M241" s="35">
        <f ca="1">IF('Row data'!$J241="",DATEDIF('Row data'!$L241,TODAY(),"y"),"0")</f>
        <v>45</v>
      </c>
      <c r="N241" s="35" t="s">
        <v>75</v>
      </c>
      <c r="O241" s="35" t="s">
        <v>553</v>
      </c>
      <c r="P241" s="39" t="s">
        <v>554</v>
      </c>
      <c r="Q241" s="39">
        <v>13841</v>
      </c>
      <c r="R241" s="39">
        <v>13841</v>
      </c>
      <c r="S241" s="39">
        <v>7594</v>
      </c>
      <c r="T241" s="39">
        <v>3797</v>
      </c>
      <c r="U241" s="39">
        <v>750</v>
      </c>
      <c r="V241" s="39">
        <v>450</v>
      </c>
      <c r="W241" s="39">
        <v>0</v>
      </c>
      <c r="X241" s="39">
        <v>0</v>
      </c>
      <c r="Y241" s="39">
        <v>1250</v>
      </c>
      <c r="Z241" s="39">
        <v>450</v>
      </c>
      <c r="AA241" s="39">
        <v>350</v>
      </c>
      <c r="AB241" s="39">
        <v>0</v>
      </c>
      <c r="AC241" s="39">
        <v>0</v>
      </c>
      <c r="AD241" s="39">
        <v>0</v>
      </c>
      <c r="AE241" s="39">
        <v>0</v>
      </c>
      <c r="AF241" s="39">
        <v>0</v>
      </c>
      <c r="AG241" s="39">
        <v>0</v>
      </c>
      <c r="AH241" s="39">
        <v>0</v>
      </c>
      <c r="AI241" s="39">
        <v>0</v>
      </c>
      <c r="AJ241" s="39">
        <f>'Row data'!$S241+'Row data'!$T241+'Row data'!$U241+'Row data'!$W241+'Row data'!$X241+'Row data'!$Y241+'Row data'!$Z241+'Row data'!$AA241+'Row data'!$AB241+'Row data'!$AD241-'Row data'!$AC241-'Row data'!$AE241-'Row data'!$AF241-'Row data'!$AG241-'Row data'!$AH241-'Row data'!$AI241</f>
        <v>14191</v>
      </c>
      <c r="AK241" s="39">
        <v>14191</v>
      </c>
      <c r="AL241" s="39">
        <v>0</v>
      </c>
    </row>
    <row r="242" spans="1:38" x14ac:dyDescent="0.3">
      <c r="A242" s="40">
        <v>241</v>
      </c>
      <c r="B242" s="35" t="s">
        <v>69</v>
      </c>
      <c r="C242" s="35">
        <v>8976247</v>
      </c>
      <c r="D242" s="36" t="s">
        <v>597</v>
      </c>
      <c r="E242" s="35" t="s">
        <v>38</v>
      </c>
      <c r="F242" s="35" t="s">
        <v>133</v>
      </c>
      <c r="G242" s="35" t="s">
        <v>598</v>
      </c>
      <c r="H242" s="37"/>
      <c r="I242" s="38">
        <v>43678</v>
      </c>
      <c r="J242" s="38"/>
      <c r="K242" s="17"/>
      <c r="L242" s="38">
        <v>32852</v>
      </c>
      <c r="M242" s="35">
        <f ca="1">IF('Row data'!$J242="",DATEDIF('Row data'!$L242,TODAY(),"y"),"0")</f>
        <v>36</v>
      </c>
      <c r="N242" s="35" t="s">
        <v>42</v>
      </c>
      <c r="O242" s="35" t="s">
        <v>553</v>
      </c>
      <c r="P242" s="39" t="s">
        <v>554</v>
      </c>
      <c r="Q242" s="39">
        <v>13514</v>
      </c>
      <c r="R242" s="39">
        <v>13514</v>
      </c>
      <c r="S242" s="39">
        <v>7376</v>
      </c>
      <c r="T242" s="39">
        <v>3688</v>
      </c>
      <c r="U242" s="39">
        <v>750</v>
      </c>
      <c r="V242" s="39">
        <v>450</v>
      </c>
      <c r="W242" s="39">
        <v>0</v>
      </c>
      <c r="X242" s="39">
        <v>0</v>
      </c>
      <c r="Y242" s="39">
        <v>1250</v>
      </c>
      <c r="Z242" s="39">
        <v>450</v>
      </c>
      <c r="AA242" s="39">
        <v>350</v>
      </c>
      <c r="AB242" s="39">
        <v>0</v>
      </c>
      <c r="AC242" s="39">
        <v>0</v>
      </c>
      <c r="AD242" s="39">
        <v>0</v>
      </c>
      <c r="AE242" s="39">
        <v>0</v>
      </c>
      <c r="AF242" s="39">
        <v>0</v>
      </c>
      <c r="AG242" s="39">
        <v>0</v>
      </c>
      <c r="AH242" s="39">
        <v>0</v>
      </c>
      <c r="AI242" s="39">
        <v>0</v>
      </c>
      <c r="AJ242" s="39">
        <f>'Row data'!$S242+'Row data'!$T242+'Row data'!$U242+'Row data'!$W242+'Row data'!$X242+'Row data'!$Y242+'Row data'!$Z242+'Row data'!$AA242+'Row data'!$AB242+'Row data'!$AD242-'Row data'!$AC242-'Row data'!$AE242-'Row data'!$AF242-'Row data'!$AG242-'Row data'!$AH242-'Row data'!$AI242</f>
        <v>13864</v>
      </c>
      <c r="AK242" s="39">
        <v>13864</v>
      </c>
      <c r="AL242" s="39">
        <v>0</v>
      </c>
    </row>
    <row r="243" spans="1:38" x14ac:dyDescent="0.3">
      <c r="A243" s="40">
        <v>242</v>
      </c>
      <c r="B243" s="35" t="s">
        <v>69</v>
      </c>
      <c r="C243" s="35">
        <v>7668635</v>
      </c>
      <c r="D243" s="36" t="s">
        <v>599</v>
      </c>
      <c r="E243" s="35" t="s">
        <v>38</v>
      </c>
      <c r="F243" s="35" t="s">
        <v>133</v>
      </c>
      <c r="G243" s="35" t="s">
        <v>598</v>
      </c>
      <c r="H243" s="37"/>
      <c r="I243" s="38">
        <v>43837</v>
      </c>
      <c r="J243" s="38"/>
      <c r="K243" s="17"/>
      <c r="L243" s="38">
        <v>33979</v>
      </c>
      <c r="M243" s="35">
        <f ca="1">IF('Row data'!$J243="",DATEDIF('Row data'!$L243,TODAY(),"y"),"0")</f>
        <v>33</v>
      </c>
      <c r="N243" s="35" t="s">
        <v>42</v>
      </c>
      <c r="O243" s="35" t="s">
        <v>553</v>
      </c>
      <c r="P243" s="39" t="s">
        <v>554</v>
      </c>
      <c r="Q243" s="39">
        <v>13405</v>
      </c>
      <c r="R243" s="39">
        <v>13405</v>
      </c>
      <c r="S243" s="39">
        <v>7303</v>
      </c>
      <c r="T243" s="39">
        <v>3652</v>
      </c>
      <c r="U243" s="39">
        <v>750</v>
      </c>
      <c r="V243" s="39">
        <v>450</v>
      </c>
      <c r="W243" s="39">
        <v>0</v>
      </c>
      <c r="X243" s="39">
        <v>0</v>
      </c>
      <c r="Y243" s="39">
        <v>1250</v>
      </c>
      <c r="Z243" s="39">
        <v>450</v>
      </c>
      <c r="AA243" s="39">
        <v>0</v>
      </c>
      <c r="AB243" s="39">
        <v>0</v>
      </c>
      <c r="AC243" s="39">
        <v>0</v>
      </c>
      <c r="AD243" s="39">
        <v>0</v>
      </c>
      <c r="AE243" s="39">
        <v>0</v>
      </c>
      <c r="AF243" s="39">
        <v>0</v>
      </c>
      <c r="AG243" s="39">
        <v>0</v>
      </c>
      <c r="AH243" s="39">
        <v>0</v>
      </c>
      <c r="AI243" s="39">
        <v>0</v>
      </c>
      <c r="AJ243" s="39">
        <f>'Row data'!$S243+'Row data'!$T243+'Row data'!$U243+'Row data'!$W243+'Row data'!$X243+'Row data'!$Y243+'Row data'!$Z243+'Row data'!$AA243+'Row data'!$AB243+'Row data'!$AD243-'Row data'!$AC243-'Row data'!$AE243-'Row data'!$AF243-'Row data'!$AG243-'Row data'!$AH243-'Row data'!$AI243</f>
        <v>13405</v>
      </c>
      <c r="AK243" s="39">
        <v>13405</v>
      </c>
      <c r="AL243" s="39">
        <v>0</v>
      </c>
    </row>
    <row r="244" spans="1:38" x14ac:dyDescent="0.3">
      <c r="A244" s="40">
        <v>243</v>
      </c>
      <c r="B244" s="35" t="s">
        <v>69</v>
      </c>
      <c r="C244" s="35">
        <v>5488344</v>
      </c>
      <c r="D244" s="36" t="s">
        <v>600</v>
      </c>
      <c r="E244" s="35" t="s">
        <v>38</v>
      </c>
      <c r="F244" s="35" t="s">
        <v>133</v>
      </c>
      <c r="G244" s="35" t="s">
        <v>595</v>
      </c>
      <c r="H244" s="37"/>
      <c r="I244" s="38">
        <v>43848</v>
      </c>
      <c r="J244" s="38"/>
      <c r="K244" s="17"/>
      <c r="L244" s="38">
        <v>34290</v>
      </c>
      <c r="M244" s="35">
        <f ca="1">IF('Row data'!$J244="",DATEDIF('Row data'!$L244,TODAY(),"y"),"0")</f>
        <v>32</v>
      </c>
      <c r="N244" s="35" t="s">
        <v>42</v>
      </c>
      <c r="O244" s="35" t="s">
        <v>553</v>
      </c>
      <c r="P244" s="39" t="s">
        <v>554</v>
      </c>
      <c r="Q244" s="39">
        <v>13405</v>
      </c>
      <c r="R244" s="39">
        <v>13405</v>
      </c>
      <c r="S244" s="39">
        <v>7303</v>
      </c>
      <c r="T244" s="39">
        <v>3652</v>
      </c>
      <c r="U244" s="39">
        <v>750</v>
      </c>
      <c r="V244" s="39">
        <v>450</v>
      </c>
      <c r="W244" s="39">
        <v>0</v>
      </c>
      <c r="X244" s="39">
        <v>0</v>
      </c>
      <c r="Y244" s="39">
        <v>1250</v>
      </c>
      <c r="Z244" s="39">
        <v>450</v>
      </c>
      <c r="AA244" s="39">
        <v>350</v>
      </c>
      <c r="AB244" s="39">
        <v>0</v>
      </c>
      <c r="AC244" s="39">
        <v>0</v>
      </c>
      <c r="AD244" s="39">
        <v>0</v>
      </c>
      <c r="AE244" s="39">
        <v>0</v>
      </c>
      <c r="AF244" s="39">
        <v>0</v>
      </c>
      <c r="AG244" s="39">
        <v>0</v>
      </c>
      <c r="AH244" s="39">
        <v>0</v>
      </c>
      <c r="AI244" s="39">
        <v>0</v>
      </c>
      <c r="AJ244" s="39">
        <f>'Row data'!$S244+'Row data'!$T244+'Row data'!$U244+'Row data'!$W244+'Row data'!$X244+'Row data'!$Y244+'Row data'!$Z244+'Row data'!$AA244+'Row data'!$AB244+'Row data'!$AD244-'Row data'!$AC244-'Row data'!$AE244-'Row data'!$AF244-'Row data'!$AG244-'Row data'!$AH244-'Row data'!$AI244</f>
        <v>13755</v>
      </c>
      <c r="AK244" s="39">
        <v>13755</v>
      </c>
      <c r="AL244" s="39">
        <v>0</v>
      </c>
    </row>
    <row r="245" spans="1:38" x14ac:dyDescent="0.3">
      <c r="A245" s="40">
        <v>244</v>
      </c>
      <c r="B245" s="35" t="s">
        <v>69</v>
      </c>
      <c r="C245" s="35">
        <v>5969839</v>
      </c>
      <c r="D245" s="36" t="s">
        <v>601</v>
      </c>
      <c r="E245" s="35" t="s">
        <v>38</v>
      </c>
      <c r="F245" s="35" t="s">
        <v>133</v>
      </c>
      <c r="G245" s="35" t="s">
        <v>595</v>
      </c>
      <c r="H245" s="37"/>
      <c r="I245" s="38">
        <v>43851</v>
      </c>
      <c r="J245" s="38"/>
      <c r="K245" s="17"/>
      <c r="L245" s="38">
        <v>35778</v>
      </c>
      <c r="M245" s="35">
        <f ca="1">IF('Row data'!$J245="",DATEDIF('Row data'!$L245,TODAY(),"y"),"0")</f>
        <v>28</v>
      </c>
      <c r="N245" s="35" t="s">
        <v>42</v>
      </c>
      <c r="O245" s="35" t="s">
        <v>553</v>
      </c>
      <c r="P245" s="39" t="s">
        <v>554</v>
      </c>
      <c r="Q245" s="39">
        <v>13405</v>
      </c>
      <c r="R245" s="39">
        <v>13405</v>
      </c>
      <c r="S245" s="39">
        <v>7303</v>
      </c>
      <c r="T245" s="39">
        <v>3652</v>
      </c>
      <c r="U245" s="39">
        <v>750</v>
      </c>
      <c r="V245" s="39">
        <v>450</v>
      </c>
      <c r="W245" s="39">
        <v>0</v>
      </c>
      <c r="X245" s="39">
        <v>0</v>
      </c>
      <c r="Y245" s="39">
        <v>1250</v>
      </c>
      <c r="Z245" s="39">
        <v>450</v>
      </c>
      <c r="AA245" s="39">
        <v>350</v>
      </c>
      <c r="AB245" s="39">
        <v>0</v>
      </c>
      <c r="AC245" s="39">
        <v>0</v>
      </c>
      <c r="AD245" s="39">
        <v>0</v>
      </c>
      <c r="AE245" s="39">
        <v>0</v>
      </c>
      <c r="AF245" s="39">
        <v>0</v>
      </c>
      <c r="AG245" s="39">
        <v>0</v>
      </c>
      <c r="AH245" s="39">
        <v>0</v>
      </c>
      <c r="AI245" s="39">
        <v>0</v>
      </c>
      <c r="AJ245" s="39">
        <f>'Row data'!$S245+'Row data'!$T245+'Row data'!$U245+'Row data'!$W245+'Row data'!$X245+'Row data'!$Y245+'Row data'!$Z245+'Row data'!$AA245+'Row data'!$AB245+'Row data'!$AD245-'Row data'!$AC245-'Row data'!$AE245-'Row data'!$AF245-'Row data'!$AG245-'Row data'!$AH245-'Row data'!$AI245</f>
        <v>13755</v>
      </c>
      <c r="AK245" s="39">
        <v>13755</v>
      </c>
      <c r="AL245" s="39">
        <v>0</v>
      </c>
    </row>
    <row r="246" spans="1:38" x14ac:dyDescent="0.3">
      <c r="A246" s="40">
        <v>245</v>
      </c>
      <c r="B246" s="35" t="s">
        <v>69</v>
      </c>
      <c r="C246" s="35">
        <v>6117102</v>
      </c>
      <c r="D246" s="36" t="s">
        <v>597</v>
      </c>
      <c r="E246" s="35" t="s">
        <v>38</v>
      </c>
      <c r="F246" s="35" t="s">
        <v>133</v>
      </c>
      <c r="G246" s="35" t="s">
        <v>50</v>
      </c>
      <c r="H246" s="37"/>
      <c r="I246" s="38">
        <v>44353</v>
      </c>
      <c r="J246" s="38"/>
      <c r="K246" s="17"/>
      <c r="L246" s="38">
        <v>35625</v>
      </c>
      <c r="M246" s="35">
        <f ca="1">IF('Row data'!$J246="",DATEDIF('Row data'!$L246,TODAY(),"y"),"0")</f>
        <v>29</v>
      </c>
      <c r="N246" s="35" t="s">
        <v>42</v>
      </c>
      <c r="O246" s="35" t="s">
        <v>553</v>
      </c>
      <c r="P246" s="39" t="s">
        <v>554</v>
      </c>
      <c r="Q246" s="39">
        <v>13405</v>
      </c>
      <c r="R246" s="39">
        <v>13405</v>
      </c>
      <c r="S246" s="39">
        <v>7303</v>
      </c>
      <c r="T246" s="39">
        <v>3652</v>
      </c>
      <c r="U246" s="39">
        <v>750</v>
      </c>
      <c r="V246" s="39">
        <v>450</v>
      </c>
      <c r="W246" s="39">
        <v>0</v>
      </c>
      <c r="X246" s="39">
        <v>0</v>
      </c>
      <c r="Y246" s="39">
        <v>1250</v>
      </c>
      <c r="Z246" s="39">
        <v>450</v>
      </c>
      <c r="AA246" s="39">
        <v>0</v>
      </c>
      <c r="AB246" s="39">
        <v>0</v>
      </c>
      <c r="AC246" s="39">
        <v>0</v>
      </c>
      <c r="AD246" s="39">
        <v>0</v>
      </c>
      <c r="AE246" s="39">
        <v>0</v>
      </c>
      <c r="AF246" s="39">
        <v>0</v>
      </c>
      <c r="AG246" s="39">
        <v>0</v>
      </c>
      <c r="AH246" s="39">
        <v>0</v>
      </c>
      <c r="AI246" s="39">
        <v>0</v>
      </c>
      <c r="AJ246" s="39">
        <f>'Row data'!$S246+'Row data'!$T246+'Row data'!$U246+'Row data'!$W246+'Row data'!$X246+'Row data'!$Y246+'Row data'!$Z246+'Row data'!$AA246+'Row data'!$AB246+'Row data'!$AD246-'Row data'!$AC246-'Row data'!$AE246-'Row data'!$AF246-'Row data'!$AG246-'Row data'!$AH246-'Row data'!$AI246</f>
        <v>13405</v>
      </c>
      <c r="AK246" s="39">
        <v>13405</v>
      </c>
      <c r="AL246" s="39">
        <v>0</v>
      </c>
    </row>
    <row r="247" spans="1:38" x14ac:dyDescent="0.3">
      <c r="A247" s="40">
        <v>246</v>
      </c>
      <c r="B247" s="35" t="s">
        <v>69</v>
      </c>
      <c r="C247" s="35">
        <v>6202288</v>
      </c>
      <c r="D247" s="36" t="s">
        <v>602</v>
      </c>
      <c r="E247" s="35" t="s">
        <v>38</v>
      </c>
      <c r="F247" s="35" t="s">
        <v>133</v>
      </c>
      <c r="G247" s="35" t="s">
        <v>50</v>
      </c>
      <c r="H247" s="37"/>
      <c r="I247" s="38">
        <v>44366</v>
      </c>
      <c r="J247" s="38"/>
      <c r="K247" s="17"/>
      <c r="L247" s="38">
        <v>34199</v>
      </c>
      <c r="M247" s="35">
        <f ca="1">IF('Row data'!$J247="",DATEDIF('Row data'!$L247,TODAY(),"y"),"0")</f>
        <v>33</v>
      </c>
      <c r="N247" s="35" t="s">
        <v>42</v>
      </c>
      <c r="O247" s="35" t="s">
        <v>553</v>
      </c>
      <c r="P247" s="39" t="s">
        <v>554</v>
      </c>
      <c r="Q247" s="39">
        <v>13405</v>
      </c>
      <c r="R247" s="39">
        <v>13405</v>
      </c>
      <c r="S247" s="39">
        <v>7303</v>
      </c>
      <c r="T247" s="39">
        <v>3652</v>
      </c>
      <c r="U247" s="39">
        <v>750</v>
      </c>
      <c r="V247" s="39">
        <v>450</v>
      </c>
      <c r="W247" s="39">
        <v>0</v>
      </c>
      <c r="X247" s="39">
        <v>0</v>
      </c>
      <c r="Y247" s="39">
        <v>1250</v>
      </c>
      <c r="Z247" s="39">
        <v>450</v>
      </c>
      <c r="AA247" s="39">
        <v>350</v>
      </c>
      <c r="AB247" s="39">
        <v>0</v>
      </c>
      <c r="AC247" s="39">
        <v>0</v>
      </c>
      <c r="AD247" s="39">
        <v>0</v>
      </c>
      <c r="AE247" s="39">
        <v>0</v>
      </c>
      <c r="AF247" s="39">
        <v>0</v>
      </c>
      <c r="AG247" s="39">
        <v>0</v>
      </c>
      <c r="AH247" s="39">
        <v>0</v>
      </c>
      <c r="AI247" s="39">
        <v>0</v>
      </c>
      <c r="AJ247" s="39">
        <f>'Row data'!$S247+'Row data'!$T247+'Row data'!$U247+'Row data'!$W247+'Row data'!$X247+'Row data'!$Y247+'Row data'!$Z247+'Row data'!$AA247+'Row data'!$AB247+'Row data'!$AD247-'Row data'!$AC247-'Row data'!$AE247-'Row data'!$AF247-'Row data'!$AG247-'Row data'!$AH247-'Row data'!$AI247</f>
        <v>13755</v>
      </c>
      <c r="AK247" s="39">
        <v>13755</v>
      </c>
      <c r="AL247" s="39">
        <v>0</v>
      </c>
    </row>
    <row r="248" spans="1:38" x14ac:dyDescent="0.3">
      <c r="A248" s="40">
        <v>247</v>
      </c>
      <c r="B248" s="35" t="s">
        <v>69</v>
      </c>
      <c r="C248" s="35">
        <v>7086092</v>
      </c>
      <c r="D248" s="36" t="s">
        <v>583</v>
      </c>
      <c r="E248" s="35" t="s">
        <v>38</v>
      </c>
      <c r="F248" s="35" t="s">
        <v>133</v>
      </c>
      <c r="G248" s="35" t="s">
        <v>50</v>
      </c>
      <c r="H248" s="37"/>
      <c r="I248" s="38">
        <v>44378</v>
      </c>
      <c r="J248" s="38"/>
      <c r="K248" s="17"/>
      <c r="L248" s="38">
        <v>37366</v>
      </c>
      <c r="M248" s="35">
        <f ca="1">IF('Row data'!$J248="",DATEDIF('Row data'!$L248,TODAY(),"y"),"0")</f>
        <v>24</v>
      </c>
      <c r="N248" s="35" t="s">
        <v>42</v>
      </c>
      <c r="O248" s="35" t="s">
        <v>553</v>
      </c>
      <c r="P248" s="39" t="s">
        <v>554</v>
      </c>
      <c r="Q248" s="39">
        <v>13405</v>
      </c>
      <c r="R248" s="39">
        <v>13405</v>
      </c>
      <c r="S248" s="39">
        <v>7303</v>
      </c>
      <c r="T248" s="39">
        <v>3652</v>
      </c>
      <c r="U248" s="39">
        <v>750</v>
      </c>
      <c r="V248" s="39">
        <v>450</v>
      </c>
      <c r="W248" s="39">
        <v>0</v>
      </c>
      <c r="X248" s="39">
        <v>0</v>
      </c>
      <c r="Y248" s="39">
        <v>1250</v>
      </c>
      <c r="Z248" s="39">
        <v>450</v>
      </c>
      <c r="AA248" s="39">
        <v>350</v>
      </c>
      <c r="AB248" s="39">
        <v>0</v>
      </c>
      <c r="AC248" s="39">
        <v>0</v>
      </c>
      <c r="AD248" s="39">
        <v>0</v>
      </c>
      <c r="AE248" s="39">
        <v>0</v>
      </c>
      <c r="AF248" s="39">
        <v>0</v>
      </c>
      <c r="AG248" s="39">
        <v>0</v>
      </c>
      <c r="AH248" s="39">
        <v>0</v>
      </c>
      <c r="AI248" s="39">
        <v>0</v>
      </c>
      <c r="AJ248" s="39">
        <f>'Row data'!$S248+'Row data'!$T248+'Row data'!$U248+'Row data'!$W248+'Row data'!$X248+'Row data'!$Y248+'Row data'!$Z248+'Row data'!$AA248+'Row data'!$AB248+'Row data'!$AD248-'Row data'!$AC248-'Row data'!$AE248-'Row data'!$AF248-'Row data'!$AG248-'Row data'!$AH248-'Row data'!$AI248</f>
        <v>13755</v>
      </c>
      <c r="AK248" s="39">
        <v>13755</v>
      </c>
      <c r="AL248" s="39">
        <v>0</v>
      </c>
    </row>
    <row r="249" spans="1:38" x14ac:dyDescent="0.3">
      <c r="A249" s="40">
        <v>248</v>
      </c>
      <c r="B249" s="35" t="s">
        <v>69</v>
      </c>
      <c r="C249" s="35">
        <v>6476370</v>
      </c>
      <c r="D249" s="36" t="s">
        <v>603</v>
      </c>
      <c r="E249" s="35" t="s">
        <v>38</v>
      </c>
      <c r="F249" s="35" t="s">
        <v>133</v>
      </c>
      <c r="G249" s="35" t="s">
        <v>50</v>
      </c>
      <c r="H249" s="37"/>
      <c r="I249" s="38">
        <v>44256</v>
      </c>
      <c r="J249" s="38"/>
      <c r="K249" s="17"/>
      <c r="L249" s="38">
        <v>36931</v>
      </c>
      <c r="M249" s="35">
        <f ca="1">IF('Row data'!$J249="",DATEDIF('Row data'!$L249,TODAY(),"y"),"0")</f>
        <v>25</v>
      </c>
      <c r="N249" s="35" t="s">
        <v>42</v>
      </c>
      <c r="O249" s="35" t="s">
        <v>553</v>
      </c>
      <c r="P249" s="39" t="s">
        <v>554</v>
      </c>
      <c r="Q249" s="39">
        <v>13405</v>
      </c>
      <c r="R249" s="39">
        <v>13405</v>
      </c>
      <c r="S249" s="39">
        <v>7303</v>
      </c>
      <c r="T249" s="39">
        <v>3652</v>
      </c>
      <c r="U249" s="39">
        <v>750</v>
      </c>
      <c r="V249" s="39">
        <v>450</v>
      </c>
      <c r="W249" s="39">
        <v>0</v>
      </c>
      <c r="X249" s="39">
        <v>0</v>
      </c>
      <c r="Y249" s="39">
        <v>1250</v>
      </c>
      <c r="Z249" s="39">
        <v>450</v>
      </c>
      <c r="AA249" s="39">
        <v>350</v>
      </c>
      <c r="AB249" s="39">
        <v>0</v>
      </c>
      <c r="AC249" s="39">
        <v>0</v>
      </c>
      <c r="AD249" s="39">
        <v>0</v>
      </c>
      <c r="AE249" s="39">
        <v>0</v>
      </c>
      <c r="AF249" s="39">
        <v>0</v>
      </c>
      <c r="AG249" s="39">
        <v>0</v>
      </c>
      <c r="AH249" s="39">
        <v>0</v>
      </c>
      <c r="AI249" s="39">
        <v>0</v>
      </c>
      <c r="AJ249" s="39">
        <f>'Row data'!$S249+'Row data'!$T249+'Row data'!$U249+'Row data'!$W249+'Row data'!$X249+'Row data'!$Y249+'Row data'!$Z249+'Row data'!$AA249+'Row data'!$AB249+'Row data'!$AD249-'Row data'!$AC249-'Row data'!$AE249-'Row data'!$AF249-'Row data'!$AG249-'Row data'!$AH249-'Row data'!$AI249</f>
        <v>13755</v>
      </c>
      <c r="AK249" s="39">
        <v>13755</v>
      </c>
      <c r="AL249" s="39">
        <v>0</v>
      </c>
    </row>
    <row r="250" spans="1:38" x14ac:dyDescent="0.3">
      <c r="A250" s="40">
        <v>249</v>
      </c>
      <c r="B250" s="35" t="s">
        <v>69</v>
      </c>
      <c r="C250" s="35">
        <v>6633029</v>
      </c>
      <c r="D250" s="36" t="s">
        <v>594</v>
      </c>
      <c r="E250" s="35" t="s">
        <v>38</v>
      </c>
      <c r="F250" s="35" t="s">
        <v>133</v>
      </c>
      <c r="G250" s="35" t="s">
        <v>604</v>
      </c>
      <c r="H250" s="37"/>
      <c r="I250" s="38">
        <v>43148</v>
      </c>
      <c r="J250" s="38"/>
      <c r="K250" s="17"/>
      <c r="L250" s="38">
        <v>35776</v>
      </c>
      <c r="M250" s="35">
        <f ca="1">IF('Row data'!$J250="",DATEDIF('Row data'!$L250,TODAY(),"y"),"0")</f>
        <v>28</v>
      </c>
      <c r="N250" s="35" t="s">
        <v>42</v>
      </c>
      <c r="O250" s="35" t="s">
        <v>553</v>
      </c>
      <c r="P250" s="39" t="s">
        <v>554</v>
      </c>
      <c r="Q250" s="39">
        <v>14659</v>
      </c>
      <c r="R250" s="39">
        <v>14659</v>
      </c>
      <c r="S250" s="39">
        <v>8139</v>
      </c>
      <c r="T250" s="39">
        <v>4070</v>
      </c>
      <c r="U250" s="39">
        <v>750</v>
      </c>
      <c r="V250" s="39">
        <v>450</v>
      </c>
      <c r="W250" s="39">
        <v>0</v>
      </c>
      <c r="X250" s="39">
        <v>0</v>
      </c>
      <c r="Y250" s="39">
        <v>1250</v>
      </c>
      <c r="Z250" s="39">
        <v>450</v>
      </c>
      <c r="AA250" s="39">
        <v>0</v>
      </c>
      <c r="AB250" s="39">
        <v>0</v>
      </c>
      <c r="AC250" s="39">
        <v>0</v>
      </c>
      <c r="AD250" s="39">
        <v>0</v>
      </c>
      <c r="AE250" s="39">
        <v>0</v>
      </c>
      <c r="AF250" s="39">
        <v>0</v>
      </c>
      <c r="AG250" s="39">
        <v>0</v>
      </c>
      <c r="AH250" s="39">
        <v>0</v>
      </c>
      <c r="AI250" s="39">
        <v>0</v>
      </c>
      <c r="AJ250" s="39">
        <f>'Row data'!$S250+'Row data'!$T250+'Row data'!$U250+'Row data'!$W250+'Row data'!$X250+'Row data'!$Y250+'Row data'!$Z250+'Row data'!$AA250+'Row data'!$AB250+'Row data'!$AD250-'Row data'!$AC250-'Row data'!$AE250-'Row data'!$AF250-'Row data'!$AG250-'Row data'!$AH250-'Row data'!$AI250</f>
        <v>14659</v>
      </c>
      <c r="AK250" s="39">
        <v>14659</v>
      </c>
      <c r="AL250" s="39">
        <v>0</v>
      </c>
    </row>
    <row r="251" spans="1:38" x14ac:dyDescent="0.3">
      <c r="A251" s="40">
        <v>250</v>
      </c>
      <c r="B251" s="35" t="s">
        <v>69</v>
      </c>
      <c r="C251" s="35">
        <v>8900441</v>
      </c>
      <c r="D251" s="36" t="s">
        <v>605</v>
      </c>
      <c r="E251" s="35" t="s">
        <v>38</v>
      </c>
      <c r="F251" s="35" t="s">
        <v>133</v>
      </c>
      <c r="G251" s="35" t="s">
        <v>606</v>
      </c>
      <c r="H251" s="37"/>
      <c r="I251" s="38">
        <v>43146</v>
      </c>
      <c r="J251" s="38"/>
      <c r="K251" s="17"/>
      <c r="L251" s="38">
        <v>32643</v>
      </c>
      <c r="M251" s="35">
        <f ca="1">IF('Row data'!$J251="",DATEDIF('Row data'!$L251,TODAY(),"y"),"0")</f>
        <v>37</v>
      </c>
      <c r="N251" s="35" t="s">
        <v>42</v>
      </c>
      <c r="O251" s="35" t="s">
        <v>553</v>
      </c>
      <c r="P251" s="39" t="s">
        <v>554</v>
      </c>
      <c r="Q251" s="39">
        <v>14549</v>
      </c>
      <c r="R251" s="39">
        <v>14549</v>
      </c>
      <c r="S251" s="39">
        <v>8066</v>
      </c>
      <c r="T251" s="39">
        <v>4033</v>
      </c>
      <c r="U251" s="39">
        <v>750</v>
      </c>
      <c r="V251" s="39">
        <v>450</v>
      </c>
      <c r="W251" s="39">
        <v>0</v>
      </c>
      <c r="X251" s="39">
        <v>0</v>
      </c>
      <c r="Y251" s="39">
        <v>1250</v>
      </c>
      <c r="Z251" s="39">
        <v>450</v>
      </c>
      <c r="AA251" s="39">
        <v>350</v>
      </c>
      <c r="AB251" s="39">
        <v>0</v>
      </c>
      <c r="AC251" s="39">
        <v>0</v>
      </c>
      <c r="AD251" s="39">
        <v>0</v>
      </c>
      <c r="AE251" s="39">
        <v>0</v>
      </c>
      <c r="AF251" s="39">
        <v>0</v>
      </c>
      <c r="AG251" s="39">
        <v>0</v>
      </c>
      <c r="AH251" s="39">
        <v>0</v>
      </c>
      <c r="AI251" s="39">
        <v>0</v>
      </c>
      <c r="AJ251" s="39">
        <f>'Row data'!$S251+'Row data'!$T251+'Row data'!$U251+'Row data'!$W251+'Row data'!$X251+'Row data'!$Y251+'Row data'!$Z251+'Row data'!$AA251+'Row data'!$AB251+'Row data'!$AD251-'Row data'!$AC251-'Row data'!$AE251-'Row data'!$AF251-'Row data'!$AG251-'Row data'!$AH251-'Row data'!$AI251</f>
        <v>14899</v>
      </c>
      <c r="AK251" s="39">
        <v>14899</v>
      </c>
      <c r="AL251" s="39">
        <v>0</v>
      </c>
    </row>
    <row r="252" spans="1:38" x14ac:dyDescent="0.3">
      <c r="A252" s="40">
        <v>251</v>
      </c>
      <c r="B252" s="35" t="s">
        <v>69</v>
      </c>
      <c r="C252" s="35">
        <v>7374291</v>
      </c>
      <c r="D252" s="36" t="s">
        <v>607</v>
      </c>
      <c r="E252" s="35" t="s">
        <v>38</v>
      </c>
      <c r="F252" s="35" t="s">
        <v>608</v>
      </c>
      <c r="G252" s="35" t="s">
        <v>609</v>
      </c>
      <c r="H252" s="37"/>
      <c r="I252" s="38">
        <v>42095</v>
      </c>
      <c r="J252" s="38"/>
      <c r="K252" s="17"/>
      <c r="L252" s="38">
        <v>33978</v>
      </c>
      <c r="M252" s="35">
        <f ca="1">IF('Row data'!$J252="",DATEDIF('Row data'!$L252,TODAY(),"y"),"0")</f>
        <v>33</v>
      </c>
      <c r="N252" s="35" t="s">
        <v>42</v>
      </c>
      <c r="O252" s="35" t="s">
        <v>553</v>
      </c>
      <c r="P252" s="39" t="s">
        <v>554</v>
      </c>
      <c r="Q252" s="39">
        <v>15337</v>
      </c>
      <c r="R252" s="39">
        <v>14723</v>
      </c>
      <c r="S252" s="39">
        <v>8591</v>
      </c>
      <c r="T252" s="39">
        <v>4296</v>
      </c>
      <c r="U252" s="39">
        <v>750</v>
      </c>
      <c r="V252" s="39">
        <v>450</v>
      </c>
      <c r="W252" s="39">
        <v>0</v>
      </c>
      <c r="X252" s="39">
        <v>0</v>
      </c>
      <c r="Y252" s="39">
        <v>1250</v>
      </c>
      <c r="Z252" s="39">
        <v>450</v>
      </c>
      <c r="AA252" s="39">
        <v>0</v>
      </c>
      <c r="AB252" s="39">
        <v>0</v>
      </c>
      <c r="AC252" s="39">
        <v>0</v>
      </c>
      <c r="AD252" s="39">
        <v>0</v>
      </c>
      <c r="AE252" s="39">
        <v>614</v>
      </c>
      <c r="AF252" s="39">
        <v>0</v>
      </c>
      <c r="AG252" s="39">
        <v>0</v>
      </c>
      <c r="AH252" s="39">
        <v>0</v>
      </c>
      <c r="AI252" s="39">
        <v>0</v>
      </c>
      <c r="AJ252" s="39">
        <f>'Row data'!$S252+'Row data'!$T252+'Row data'!$U252+'Row data'!$W252+'Row data'!$X252+'Row data'!$Y252+'Row data'!$Z252+'Row data'!$AA252+'Row data'!$AB252+'Row data'!$AD252-'Row data'!$AC252-'Row data'!$AE252-'Row data'!$AF252-'Row data'!$AG252-'Row data'!$AH252-'Row data'!$AI252</f>
        <v>14723</v>
      </c>
      <c r="AK252" s="39">
        <v>14723</v>
      </c>
      <c r="AL252" s="39">
        <v>0</v>
      </c>
    </row>
    <row r="253" spans="1:38" x14ac:dyDescent="0.3">
      <c r="A253" s="40">
        <v>252</v>
      </c>
      <c r="B253" s="35" t="s">
        <v>69</v>
      </c>
      <c r="C253" s="35">
        <v>8708438</v>
      </c>
      <c r="D253" s="36" t="s">
        <v>583</v>
      </c>
      <c r="E253" s="35" t="s">
        <v>38</v>
      </c>
      <c r="F253" s="35" t="s">
        <v>608</v>
      </c>
      <c r="G253" s="35" t="s">
        <v>610</v>
      </c>
      <c r="H253" s="37"/>
      <c r="I253" s="38">
        <v>43844</v>
      </c>
      <c r="J253" s="38"/>
      <c r="K253" s="17"/>
      <c r="L253" s="38">
        <v>34751</v>
      </c>
      <c r="M253" s="35">
        <f ca="1">IF('Row data'!$J253="",DATEDIF('Row data'!$L253,TODAY(),"y"),"0")</f>
        <v>31</v>
      </c>
      <c r="N253" s="35" t="s">
        <v>75</v>
      </c>
      <c r="O253" s="35" t="s">
        <v>553</v>
      </c>
      <c r="P253" s="39" t="s">
        <v>554</v>
      </c>
      <c r="Q253" s="39">
        <v>13514</v>
      </c>
      <c r="R253" s="39">
        <v>13514</v>
      </c>
      <c r="S253" s="39">
        <v>7376</v>
      </c>
      <c r="T253" s="39">
        <v>3688</v>
      </c>
      <c r="U253" s="39">
        <v>750</v>
      </c>
      <c r="V253" s="39">
        <v>450</v>
      </c>
      <c r="W253" s="39">
        <v>0</v>
      </c>
      <c r="X253" s="39">
        <v>0</v>
      </c>
      <c r="Y253" s="39">
        <v>1250</v>
      </c>
      <c r="Z253" s="39">
        <v>450</v>
      </c>
      <c r="AA253" s="39">
        <v>0</v>
      </c>
      <c r="AB253" s="39">
        <v>0</v>
      </c>
      <c r="AC253" s="39">
        <v>0</v>
      </c>
      <c r="AD253" s="39">
        <v>0</v>
      </c>
      <c r="AE253" s="39">
        <v>0</v>
      </c>
      <c r="AF253" s="39">
        <v>0</v>
      </c>
      <c r="AG253" s="39">
        <v>0</v>
      </c>
      <c r="AH253" s="39">
        <v>0</v>
      </c>
      <c r="AI253" s="39">
        <v>0</v>
      </c>
      <c r="AJ253" s="39">
        <f>'Row data'!$S253+'Row data'!$T253+'Row data'!$U253+'Row data'!$W253+'Row data'!$X253+'Row data'!$Y253+'Row data'!$Z253+'Row data'!$AA253+'Row data'!$AB253+'Row data'!$AD253-'Row data'!$AC253-'Row data'!$AE253-'Row data'!$AF253-'Row data'!$AG253-'Row data'!$AH253-'Row data'!$AI253</f>
        <v>13514</v>
      </c>
      <c r="AK253" s="39">
        <v>13514</v>
      </c>
      <c r="AL253" s="39">
        <v>0</v>
      </c>
    </row>
    <row r="254" spans="1:38" x14ac:dyDescent="0.3">
      <c r="A254" s="40">
        <v>253</v>
      </c>
      <c r="B254" s="35" t="s">
        <v>69</v>
      </c>
      <c r="C254" s="35">
        <v>6147706</v>
      </c>
      <c r="D254" s="36" t="s">
        <v>611</v>
      </c>
      <c r="E254" s="35" t="s">
        <v>38</v>
      </c>
      <c r="F254" s="35" t="s">
        <v>608</v>
      </c>
      <c r="G254" s="35" t="s">
        <v>610</v>
      </c>
      <c r="H254" s="37"/>
      <c r="I254" s="38">
        <v>43831</v>
      </c>
      <c r="J254" s="38"/>
      <c r="K254" s="17"/>
      <c r="L254" s="38">
        <v>34703</v>
      </c>
      <c r="M254" s="35">
        <f ca="1">IF('Row data'!$J254="",DATEDIF('Row data'!$L254,TODAY(),"y"),"0")</f>
        <v>31</v>
      </c>
      <c r="N254" s="35" t="s">
        <v>75</v>
      </c>
      <c r="O254" s="35" t="s">
        <v>553</v>
      </c>
      <c r="P254" s="39" t="s">
        <v>554</v>
      </c>
      <c r="Q254" s="39">
        <v>13514</v>
      </c>
      <c r="R254" s="39">
        <v>12724</v>
      </c>
      <c r="S254" s="39">
        <v>7376</v>
      </c>
      <c r="T254" s="39">
        <v>3688</v>
      </c>
      <c r="U254" s="39">
        <v>750</v>
      </c>
      <c r="V254" s="39">
        <v>450</v>
      </c>
      <c r="W254" s="39">
        <v>0</v>
      </c>
      <c r="X254" s="39">
        <v>0</v>
      </c>
      <c r="Y254" s="39">
        <v>1250</v>
      </c>
      <c r="Z254" s="39">
        <v>450</v>
      </c>
      <c r="AA254" s="39">
        <v>0</v>
      </c>
      <c r="AB254" s="39">
        <v>0</v>
      </c>
      <c r="AC254" s="39">
        <v>0</v>
      </c>
      <c r="AD254" s="39">
        <v>0</v>
      </c>
      <c r="AE254" s="39">
        <v>790</v>
      </c>
      <c r="AF254" s="39">
        <v>0</v>
      </c>
      <c r="AG254" s="39">
        <v>0</v>
      </c>
      <c r="AH254" s="39">
        <v>0</v>
      </c>
      <c r="AI254" s="39">
        <v>0</v>
      </c>
      <c r="AJ254" s="39">
        <f>'Row data'!$S254+'Row data'!$T254+'Row data'!$U254+'Row data'!$W254+'Row data'!$X254+'Row data'!$Y254+'Row data'!$Z254+'Row data'!$AA254+'Row data'!$AB254+'Row data'!$AD254-'Row data'!$AC254-'Row data'!$AE254-'Row data'!$AF254-'Row data'!$AG254-'Row data'!$AH254-'Row data'!$AI254</f>
        <v>12724</v>
      </c>
      <c r="AK254" s="39">
        <v>12724</v>
      </c>
      <c r="AL254" s="39">
        <v>0</v>
      </c>
    </row>
    <row r="255" spans="1:38" x14ac:dyDescent="0.3">
      <c r="A255" s="40">
        <v>254</v>
      </c>
      <c r="B255" s="35" t="s">
        <v>69</v>
      </c>
      <c r="C255" s="35">
        <v>8278254</v>
      </c>
      <c r="D255" s="36" t="s">
        <v>583</v>
      </c>
      <c r="E255" s="35" t="s">
        <v>38</v>
      </c>
      <c r="F255" s="35" t="s">
        <v>608</v>
      </c>
      <c r="G255" s="35" t="s">
        <v>610</v>
      </c>
      <c r="H255" s="37"/>
      <c r="I255" s="38">
        <v>43831</v>
      </c>
      <c r="J255" s="38"/>
      <c r="K255" s="17"/>
      <c r="L255" s="38">
        <v>31933</v>
      </c>
      <c r="M255" s="35">
        <f ca="1">IF('Row data'!$J255="",DATEDIF('Row data'!$L255,TODAY(),"y"),"0")</f>
        <v>39</v>
      </c>
      <c r="N255" s="35" t="s">
        <v>75</v>
      </c>
      <c r="O255" s="35" t="s">
        <v>553</v>
      </c>
      <c r="P255" s="39" t="s">
        <v>554</v>
      </c>
      <c r="Q255" s="39">
        <v>13514</v>
      </c>
      <c r="R255" s="39">
        <v>13514</v>
      </c>
      <c r="S255" s="39">
        <v>7376</v>
      </c>
      <c r="T255" s="39">
        <v>3688</v>
      </c>
      <c r="U255" s="39">
        <v>750</v>
      </c>
      <c r="V255" s="39">
        <v>450</v>
      </c>
      <c r="W255" s="39">
        <v>0</v>
      </c>
      <c r="X255" s="39">
        <v>0</v>
      </c>
      <c r="Y255" s="39">
        <v>1250</v>
      </c>
      <c r="Z255" s="39">
        <v>450</v>
      </c>
      <c r="AA255" s="39">
        <v>250</v>
      </c>
      <c r="AB255" s="39">
        <v>0</v>
      </c>
      <c r="AC255" s="39">
        <v>0</v>
      </c>
      <c r="AD255" s="39">
        <v>0</v>
      </c>
      <c r="AE255" s="39">
        <v>0</v>
      </c>
      <c r="AF255" s="39">
        <v>0</v>
      </c>
      <c r="AG255" s="39">
        <v>0</v>
      </c>
      <c r="AH255" s="39">
        <v>0</v>
      </c>
      <c r="AI255" s="39">
        <v>0</v>
      </c>
      <c r="AJ255" s="39">
        <f>'Row data'!$S255+'Row data'!$T255+'Row data'!$U255+'Row data'!$W255+'Row data'!$X255+'Row data'!$Y255+'Row data'!$Z255+'Row data'!$AA255+'Row data'!$AB255+'Row data'!$AD255-'Row data'!$AC255-'Row data'!$AE255-'Row data'!$AF255-'Row data'!$AG255-'Row data'!$AH255-'Row data'!$AI255</f>
        <v>13764</v>
      </c>
      <c r="AK255" s="39">
        <v>13764</v>
      </c>
      <c r="AL255" s="39">
        <v>0</v>
      </c>
    </row>
    <row r="256" spans="1:38" x14ac:dyDescent="0.3">
      <c r="A256" s="40">
        <v>255</v>
      </c>
      <c r="B256" s="35" t="s">
        <v>69</v>
      </c>
      <c r="C256" s="35">
        <v>8483176</v>
      </c>
      <c r="D256" s="36" t="s">
        <v>583</v>
      </c>
      <c r="E256" s="35" t="s">
        <v>38</v>
      </c>
      <c r="F256" s="35" t="s">
        <v>608</v>
      </c>
      <c r="G256" s="35" t="s">
        <v>610</v>
      </c>
      <c r="H256" s="37"/>
      <c r="I256" s="38">
        <v>43831</v>
      </c>
      <c r="J256" s="38"/>
      <c r="K256" s="17"/>
      <c r="L256" s="38">
        <v>36447</v>
      </c>
      <c r="M256" s="35">
        <f ca="1">IF('Row data'!$J256="",DATEDIF('Row data'!$L256,TODAY(),"y"),"0")</f>
        <v>26</v>
      </c>
      <c r="N256" s="35" t="s">
        <v>75</v>
      </c>
      <c r="O256" s="35" t="s">
        <v>553</v>
      </c>
      <c r="P256" s="39" t="s">
        <v>554</v>
      </c>
      <c r="Q256" s="39">
        <v>13514</v>
      </c>
      <c r="R256" s="39">
        <v>12987</v>
      </c>
      <c r="S256" s="39">
        <v>7376</v>
      </c>
      <c r="T256" s="39">
        <v>3688</v>
      </c>
      <c r="U256" s="39">
        <v>750</v>
      </c>
      <c r="V256" s="39">
        <v>450</v>
      </c>
      <c r="W256" s="39">
        <v>0</v>
      </c>
      <c r="X256" s="39">
        <v>0</v>
      </c>
      <c r="Y256" s="39">
        <v>1250</v>
      </c>
      <c r="Z256" s="39">
        <v>450</v>
      </c>
      <c r="AA256" s="39">
        <v>0</v>
      </c>
      <c r="AB256" s="39">
        <v>0</v>
      </c>
      <c r="AC256" s="39">
        <v>0</v>
      </c>
      <c r="AD256" s="39">
        <v>0</v>
      </c>
      <c r="AE256" s="39">
        <v>527</v>
      </c>
      <c r="AF256" s="39">
        <v>0</v>
      </c>
      <c r="AG256" s="39">
        <v>0</v>
      </c>
      <c r="AH256" s="39">
        <v>0</v>
      </c>
      <c r="AI256" s="39">
        <v>0</v>
      </c>
      <c r="AJ256" s="39">
        <f>'Row data'!$S256+'Row data'!$T256+'Row data'!$U256+'Row data'!$W256+'Row data'!$X256+'Row data'!$Y256+'Row data'!$Z256+'Row data'!$AA256+'Row data'!$AB256+'Row data'!$AD256-'Row data'!$AC256-'Row data'!$AE256-'Row data'!$AF256-'Row data'!$AG256-'Row data'!$AH256-'Row data'!$AI256</f>
        <v>12987</v>
      </c>
      <c r="AK256" s="39">
        <v>12987</v>
      </c>
      <c r="AL256" s="39">
        <v>0</v>
      </c>
    </row>
    <row r="257" spans="1:38" x14ac:dyDescent="0.3">
      <c r="A257" s="40">
        <v>256</v>
      </c>
      <c r="B257" s="35" t="s">
        <v>69</v>
      </c>
      <c r="C257" s="35">
        <v>8898612</v>
      </c>
      <c r="D257" s="36" t="s">
        <v>612</v>
      </c>
      <c r="E257" s="35" t="s">
        <v>38</v>
      </c>
      <c r="F257" s="35" t="s">
        <v>608</v>
      </c>
      <c r="G257" s="35" t="s">
        <v>164</v>
      </c>
      <c r="H257" s="37"/>
      <c r="I257" s="38">
        <v>43813</v>
      </c>
      <c r="J257" s="38">
        <v>44764</v>
      </c>
      <c r="K257" s="17">
        <f>YEAR('Row data'!$J257)</f>
        <v>2022</v>
      </c>
      <c r="L257" s="38">
        <v>32346</v>
      </c>
      <c r="M257" s="35" t="str">
        <f ca="1">IF('Row data'!$J257="",DATEDIF('Row data'!$L257,TODAY(),"y"),"0")</f>
        <v>0</v>
      </c>
      <c r="N257" s="35" t="s">
        <v>42</v>
      </c>
      <c r="O257" s="35" t="s">
        <v>43</v>
      </c>
      <c r="P257" s="39" t="s">
        <v>554</v>
      </c>
      <c r="Q257" s="39">
        <v>19402</v>
      </c>
      <c r="R257" s="39">
        <v>19402</v>
      </c>
      <c r="S257" s="39">
        <v>11301</v>
      </c>
      <c r="T257" s="39">
        <v>5651</v>
      </c>
      <c r="U257" s="39">
        <v>750</v>
      </c>
      <c r="V257" s="39">
        <v>450</v>
      </c>
      <c r="W257" s="39">
        <v>0</v>
      </c>
      <c r="X257" s="39">
        <v>0</v>
      </c>
      <c r="Y257" s="39">
        <v>1250</v>
      </c>
      <c r="Z257" s="39">
        <v>450</v>
      </c>
      <c r="AA257" s="39">
        <v>350</v>
      </c>
      <c r="AB257" s="39">
        <v>0</v>
      </c>
      <c r="AC257" s="39">
        <v>0</v>
      </c>
      <c r="AD257" s="39">
        <v>0</v>
      </c>
      <c r="AE257" s="39">
        <v>0</v>
      </c>
      <c r="AF257" s="39">
        <v>0</v>
      </c>
      <c r="AG257" s="39">
        <v>0</v>
      </c>
      <c r="AH257" s="39">
        <v>0</v>
      </c>
      <c r="AI257" s="39">
        <v>0</v>
      </c>
      <c r="AJ257" s="39">
        <f>'Row data'!$S257+'Row data'!$T257+'Row data'!$U257+'Row data'!$W257+'Row data'!$X257+'Row data'!$Y257+'Row data'!$Z257+'Row data'!$AA257+'Row data'!$AB257+'Row data'!$AD257-'Row data'!$AC257-'Row data'!$AE257-'Row data'!$AF257-'Row data'!$AG257-'Row data'!$AH257-'Row data'!$AI257</f>
        <v>19752</v>
      </c>
      <c r="AK257" s="39">
        <v>19752</v>
      </c>
      <c r="AL257" s="39">
        <v>0</v>
      </c>
    </row>
    <row r="258" spans="1:38" x14ac:dyDescent="0.3">
      <c r="A258" s="40">
        <v>257</v>
      </c>
      <c r="B258" s="35" t="s">
        <v>69</v>
      </c>
      <c r="C258" s="35">
        <v>5524819</v>
      </c>
      <c r="D258" s="36" t="s">
        <v>613</v>
      </c>
      <c r="E258" s="35" t="s">
        <v>38</v>
      </c>
      <c r="F258" s="35" t="s">
        <v>608</v>
      </c>
      <c r="G258" s="35" t="s">
        <v>164</v>
      </c>
      <c r="H258" s="37"/>
      <c r="I258" s="38">
        <v>43803</v>
      </c>
      <c r="J258" s="38"/>
      <c r="K258" s="17"/>
      <c r="L258" s="38">
        <v>34335</v>
      </c>
      <c r="M258" s="35">
        <f ca="1">IF('Row data'!$J258="",DATEDIF('Row data'!$L258,TODAY(),"y"),"0")</f>
        <v>32</v>
      </c>
      <c r="N258" s="35" t="s">
        <v>42</v>
      </c>
      <c r="O258" s="35" t="s">
        <v>43</v>
      </c>
      <c r="P258" s="39" t="s">
        <v>554</v>
      </c>
      <c r="Q258" s="39">
        <v>19402</v>
      </c>
      <c r="R258" s="39">
        <v>19402</v>
      </c>
      <c r="S258" s="39">
        <v>11301</v>
      </c>
      <c r="T258" s="39">
        <v>5651</v>
      </c>
      <c r="U258" s="39">
        <v>750</v>
      </c>
      <c r="V258" s="39">
        <v>450</v>
      </c>
      <c r="W258" s="39">
        <v>0</v>
      </c>
      <c r="X258" s="39">
        <v>0</v>
      </c>
      <c r="Y258" s="39">
        <v>1250</v>
      </c>
      <c r="Z258" s="39">
        <v>450</v>
      </c>
      <c r="AA258" s="39">
        <v>350</v>
      </c>
      <c r="AB258" s="39">
        <v>0</v>
      </c>
      <c r="AC258" s="39">
        <v>0</v>
      </c>
      <c r="AD258" s="39">
        <v>0</v>
      </c>
      <c r="AE258" s="39">
        <v>0</v>
      </c>
      <c r="AF258" s="39">
        <v>0</v>
      </c>
      <c r="AG258" s="39">
        <v>0</v>
      </c>
      <c r="AH258" s="39">
        <v>0</v>
      </c>
      <c r="AI258" s="39">
        <v>0</v>
      </c>
      <c r="AJ258" s="39">
        <f>'Row data'!$S258+'Row data'!$T258+'Row data'!$U258+'Row data'!$W258+'Row data'!$X258+'Row data'!$Y258+'Row data'!$Z258+'Row data'!$AA258+'Row data'!$AB258+'Row data'!$AD258-'Row data'!$AC258-'Row data'!$AE258-'Row data'!$AF258-'Row data'!$AG258-'Row data'!$AH258-'Row data'!$AI258</f>
        <v>19752</v>
      </c>
      <c r="AK258" s="39">
        <v>19752</v>
      </c>
      <c r="AL258" s="39">
        <v>0</v>
      </c>
    </row>
    <row r="259" spans="1:38" x14ac:dyDescent="0.3">
      <c r="A259" s="40">
        <v>258</v>
      </c>
      <c r="B259" s="35" t="s">
        <v>69</v>
      </c>
      <c r="C259" s="35">
        <v>9325794</v>
      </c>
      <c r="D259" s="36" t="s">
        <v>614</v>
      </c>
      <c r="E259" s="35" t="s">
        <v>38</v>
      </c>
      <c r="F259" s="35" t="s">
        <v>608</v>
      </c>
      <c r="G259" s="35" t="s">
        <v>50</v>
      </c>
      <c r="H259" s="37"/>
      <c r="I259" s="38">
        <v>45148</v>
      </c>
      <c r="J259" s="38"/>
      <c r="K259" s="17"/>
      <c r="L259" s="38">
        <v>35431</v>
      </c>
      <c r="M259" s="35">
        <f ca="1">IF('Row data'!$J259="",DATEDIF('Row data'!$L259,TODAY(),"y"),"0")</f>
        <v>29</v>
      </c>
      <c r="N259" s="35" t="s">
        <v>42</v>
      </c>
      <c r="O259" s="35" t="s">
        <v>553</v>
      </c>
      <c r="P259" s="39" t="s">
        <v>554</v>
      </c>
      <c r="Q259" s="39">
        <v>13405</v>
      </c>
      <c r="R259" s="39">
        <v>13405</v>
      </c>
      <c r="S259" s="39">
        <v>7303</v>
      </c>
      <c r="T259" s="39">
        <v>3652</v>
      </c>
      <c r="U259" s="39">
        <v>750</v>
      </c>
      <c r="V259" s="39">
        <v>450</v>
      </c>
      <c r="W259" s="39">
        <v>0</v>
      </c>
      <c r="X259" s="39">
        <v>0</v>
      </c>
      <c r="Y259" s="39">
        <v>1250</v>
      </c>
      <c r="Z259" s="39">
        <v>450</v>
      </c>
      <c r="AA259" s="39">
        <v>350</v>
      </c>
      <c r="AB259" s="39">
        <v>0</v>
      </c>
      <c r="AC259" s="39">
        <v>0</v>
      </c>
      <c r="AD259" s="39">
        <v>0</v>
      </c>
      <c r="AE259" s="39">
        <v>0</v>
      </c>
      <c r="AF259" s="39">
        <v>0</v>
      </c>
      <c r="AG259" s="39">
        <v>0</v>
      </c>
      <c r="AH259" s="39">
        <v>0</v>
      </c>
      <c r="AI259" s="39">
        <v>0</v>
      </c>
      <c r="AJ259" s="39">
        <f>'Row data'!$S259+'Row data'!$T259+'Row data'!$U259+'Row data'!$W259+'Row data'!$X259+'Row data'!$Y259+'Row data'!$Z259+'Row data'!$AA259+'Row data'!$AB259+'Row data'!$AD259-'Row data'!$AC259-'Row data'!$AE259-'Row data'!$AF259-'Row data'!$AG259-'Row data'!$AH259-'Row data'!$AI259</f>
        <v>13755</v>
      </c>
      <c r="AK259" s="39">
        <v>13755</v>
      </c>
      <c r="AL259" s="39">
        <v>0</v>
      </c>
    </row>
    <row r="260" spans="1:38" x14ac:dyDescent="0.3">
      <c r="A260" s="40">
        <v>259</v>
      </c>
      <c r="B260" s="35" t="s">
        <v>69</v>
      </c>
      <c r="C260" s="35">
        <v>6714307</v>
      </c>
      <c r="D260" s="36" t="s">
        <v>615</v>
      </c>
      <c r="E260" s="35" t="s">
        <v>38</v>
      </c>
      <c r="F260" s="35" t="s">
        <v>608</v>
      </c>
      <c r="G260" s="35" t="s">
        <v>50</v>
      </c>
      <c r="H260" s="37"/>
      <c r="I260" s="38">
        <v>45143</v>
      </c>
      <c r="J260" s="38"/>
      <c r="K260" s="17"/>
      <c r="L260" s="38">
        <v>35409</v>
      </c>
      <c r="M260" s="35">
        <f ca="1">IF('Row data'!$J260="",DATEDIF('Row data'!$L260,TODAY(),"y"),"0")</f>
        <v>29</v>
      </c>
      <c r="N260" s="35" t="s">
        <v>42</v>
      </c>
      <c r="O260" s="35" t="s">
        <v>553</v>
      </c>
      <c r="P260" s="39" t="s">
        <v>554</v>
      </c>
      <c r="Q260" s="39">
        <v>13405</v>
      </c>
      <c r="R260" s="39">
        <v>13405</v>
      </c>
      <c r="S260" s="39">
        <v>7303</v>
      </c>
      <c r="T260" s="39">
        <v>3652</v>
      </c>
      <c r="U260" s="39">
        <v>750</v>
      </c>
      <c r="V260" s="39">
        <v>450</v>
      </c>
      <c r="W260" s="39">
        <v>0</v>
      </c>
      <c r="X260" s="39">
        <v>0</v>
      </c>
      <c r="Y260" s="39">
        <v>1250</v>
      </c>
      <c r="Z260" s="39">
        <v>450</v>
      </c>
      <c r="AA260" s="39">
        <v>350</v>
      </c>
      <c r="AB260" s="39">
        <v>0</v>
      </c>
      <c r="AC260" s="39">
        <v>0</v>
      </c>
      <c r="AD260" s="39">
        <v>0</v>
      </c>
      <c r="AE260" s="39">
        <v>0</v>
      </c>
      <c r="AF260" s="39">
        <v>0</v>
      </c>
      <c r="AG260" s="39">
        <v>0</v>
      </c>
      <c r="AH260" s="39">
        <v>0</v>
      </c>
      <c r="AI260" s="39">
        <v>0</v>
      </c>
      <c r="AJ260" s="39">
        <f>'Row data'!$S260+'Row data'!$T260+'Row data'!$U260+'Row data'!$W260+'Row data'!$X260+'Row data'!$Y260+'Row data'!$Z260+'Row data'!$AA260+'Row data'!$AB260+'Row data'!$AD260-'Row data'!$AC260-'Row data'!$AE260-'Row data'!$AF260-'Row data'!$AG260-'Row data'!$AH260-'Row data'!$AI260</f>
        <v>13755</v>
      </c>
      <c r="AK260" s="39">
        <v>13755</v>
      </c>
      <c r="AL260" s="39">
        <v>0</v>
      </c>
    </row>
    <row r="261" spans="1:38" x14ac:dyDescent="0.3">
      <c r="A261" s="40">
        <v>260</v>
      </c>
      <c r="B261" s="35" t="s">
        <v>69</v>
      </c>
      <c r="C261" s="35">
        <v>9741738</v>
      </c>
      <c r="D261" s="36" t="s">
        <v>583</v>
      </c>
      <c r="E261" s="35" t="s">
        <v>38</v>
      </c>
      <c r="F261" s="35" t="s">
        <v>608</v>
      </c>
      <c r="G261" s="35" t="s">
        <v>50</v>
      </c>
      <c r="H261" s="37"/>
      <c r="I261" s="38">
        <v>45144</v>
      </c>
      <c r="J261" s="38"/>
      <c r="K261" s="17"/>
      <c r="L261" s="38">
        <v>37288</v>
      </c>
      <c r="M261" s="35">
        <f ca="1">IF('Row data'!$J261="",DATEDIF('Row data'!$L261,TODAY(),"y"),"0")</f>
        <v>24</v>
      </c>
      <c r="N261" s="35" t="s">
        <v>42</v>
      </c>
      <c r="O261" s="35" t="s">
        <v>553</v>
      </c>
      <c r="P261" s="39" t="s">
        <v>554</v>
      </c>
      <c r="Q261" s="39">
        <v>13405</v>
      </c>
      <c r="R261" s="39">
        <v>13405</v>
      </c>
      <c r="S261" s="39">
        <v>7303</v>
      </c>
      <c r="T261" s="39">
        <v>3652</v>
      </c>
      <c r="U261" s="39">
        <v>750</v>
      </c>
      <c r="V261" s="39">
        <v>450</v>
      </c>
      <c r="W261" s="39">
        <v>0</v>
      </c>
      <c r="X261" s="39">
        <v>0</v>
      </c>
      <c r="Y261" s="39">
        <v>1250</v>
      </c>
      <c r="Z261" s="39">
        <v>450</v>
      </c>
      <c r="AA261" s="39">
        <v>350</v>
      </c>
      <c r="AB261" s="39">
        <v>0</v>
      </c>
      <c r="AC261" s="39">
        <v>0</v>
      </c>
      <c r="AD261" s="39">
        <v>0</v>
      </c>
      <c r="AE261" s="39">
        <v>0</v>
      </c>
      <c r="AF261" s="39">
        <v>0</v>
      </c>
      <c r="AG261" s="39">
        <v>0</v>
      </c>
      <c r="AH261" s="39">
        <v>0</v>
      </c>
      <c r="AI261" s="39">
        <v>0</v>
      </c>
      <c r="AJ261" s="39">
        <f>'Row data'!$S261+'Row data'!$T261+'Row data'!$U261+'Row data'!$W261+'Row data'!$X261+'Row data'!$Y261+'Row data'!$Z261+'Row data'!$AA261+'Row data'!$AB261+'Row data'!$AD261-'Row data'!$AC261-'Row data'!$AE261-'Row data'!$AF261-'Row data'!$AG261-'Row data'!$AH261-'Row data'!$AI261</f>
        <v>13755</v>
      </c>
      <c r="AK261" s="39">
        <v>13755</v>
      </c>
      <c r="AL261" s="39">
        <v>0</v>
      </c>
    </row>
    <row r="262" spans="1:38" x14ac:dyDescent="0.3">
      <c r="A262" s="40">
        <v>261</v>
      </c>
      <c r="B262" s="35" t="s">
        <v>69</v>
      </c>
      <c r="C262" s="35">
        <v>9023029</v>
      </c>
      <c r="D262" s="36" t="s">
        <v>99</v>
      </c>
      <c r="E262" s="35" t="s">
        <v>38</v>
      </c>
      <c r="F262" s="35" t="s">
        <v>146</v>
      </c>
      <c r="G262" s="35" t="s">
        <v>50</v>
      </c>
      <c r="H262" s="37"/>
      <c r="I262" s="38">
        <v>44927</v>
      </c>
      <c r="J262" s="38"/>
      <c r="K262" s="17"/>
      <c r="L262" s="38">
        <v>27644</v>
      </c>
      <c r="M262" s="35">
        <f ca="1">IF('Row data'!$J262="",DATEDIF('Row data'!$L262,TODAY(),"y"),"0")</f>
        <v>51</v>
      </c>
      <c r="N262" s="35" t="s">
        <v>42</v>
      </c>
      <c r="O262" s="35" t="s">
        <v>43</v>
      </c>
      <c r="P262" s="39" t="s">
        <v>554</v>
      </c>
      <c r="Q262" s="39">
        <v>13405</v>
      </c>
      <c r="R262" s="39">
        <v>13405</v>
      </c>
      <c r="S262" s="39">
        <v>7303</v>
      </c>
      <c r="T262" s="39">
        <v>3652</v>
      </c>
      <c r="U262" s="39">
        <v>750</v>
      </c>
      <c r="V262" s="39">
        <v>450</v>
      </c>
      <c r="W262" s="39">
        <v>0</v>
      </c>
      <c r="X262" s="39">
        <v>0</v>
      </c>
      <c r="Y262" s="39">
        <v>1250</v>
      </c>
      <c r="Z262" s="39">
        <v>450</v>
      </c>
      <c r="AA262" s="39">
        <v>350</v>
      </c>
      <c r="AB262" s="39">
        <v>0</v>
      </c>
      <c r="AC262" s="39">
        <v>0</v>
      </c>
      <c r="AD262" s="39">
        <v>0</v>
      </c>
      <c r="AE262" s="39">
        <v>0</v>
      </c>
      <c r="AF262" s="39">
        <v>0</v>
      </c>
      <c r="AG262" s="39">
        <v>0</v>
      </c>
      <c r="AH262" s="39">
        <v>0</v>
      </c>
      <c r="AI262" s="39">
        <v>0</v>
      </c>
      <c r="AJ262" s="39">
        <f>'Row data'!$S262+'Row data'!$T262+'Row data'!$U262+'Row data'!$W262+'Row data'!$X262+'Row data'!$Y262+'Row data'!$Z262+'Row data'!$AA262+'Row data'!$AB262+'Row data'!$AD262-'Row data'!$AC262-'Row data'!$AE262-'Row data'!$AF262-'Row data'!$AG262-'Row data'!$AH262-'Row data'!$AI262</f>
        <v>13755</v>
      </c>
      <c r="AK262" s="39">
        <v>13755</v>
      </c>
      <c r="AL262" s="39">
        <v>0</v>
      </c>
    </row>
    <row r="263" spans="1:38" x14ac:dyDescent="0.3">
      <c r="A263" s="40">
        <v>262</v>
      </c>
      <c r="B263" s="35" t="s">
        <v>69</v>
      </c>
      <c r="C263" s="35">
        <v>5828984</v>
      </c>
      <c r="D263" s="36" t="s">
        <v>616</v>
      </c>
      <c r="E263" s="35" t="s">
        <v>38</v>
      </c>
      <c r="F263" s="35" t="s">
        <v>146</v>
      </c>
      <c r="G263" s="35" t="s">
        <v>50</v>
      </c>
      <c r="H263" s="37"/>
      <c r="I263" s="38">
        <v>45203</v>
      </c>
      <c r="J263" s="38"/>
      <c r="K263" s="17"/>
      <c r="L263" s="38">
        <v>30112</v>
      </c>
      <c r="M263" s="35">
        <f ca="1">IF('Row data'!$J263="",DATEDIF('Row data'!$L263,TODAY(),"y"),"0")</f>
        <v>44</v>
      </c>
      <c r="N263" s="35" t="s">
        <v>42</v>
      </c>
      <c r="O263" s="35" t="s">
        <v>553</v>
      </c>
      <c r="P263" s="39" t="s">
        <v>554</v>
      </c>
      <c r="Q263" s="39">
        <v>13405</v>
      </c>
      <c r="R263" s="39">
        <v>13405</v>
      </c>
      <c r="S263" s="39">
        <v>7303</v>
      </c>
      <c r="T263" s="39">
        <v>3652</v>
      </c>
      <c r="U263" s="39">
        <v>750</v>
      </c>
      <c r="V263" s="39">
        <v>450</v>
      </c>
      <c r="W263" s="39">
        <v>0</v>
      </c>
      <c r="X263" s="39">
        <v>0</v>
      </c>
      <c r="Y263" s="39">
        <v>1250</v>
      </c>
      <c r="Z263" s="39">
        <v>450</v>
      </c>
      <c r="AA263" s="39">
        <v>250</v>
      </c>
      <c r="AB263" s="39">
        <v>0</v>
      </c>
      <c r="AC263" s="39">
        <v>0</v>
      </c>
      <c r="AD263" s="39">
        <v>0</v>
      </c>
      <c r="AE263" s="39">
        <v>0</v>
      </c>
      <c r="AF263" s="39">
        <v>0</v>
      </c>
      <c r="AG263" s="39">
        <v>0</v>
      </c>
      <c r="AH263" s="39">
        <v>0</v>
      </c>
      <c r="AI263" s="39">
        <v>0</v>
      </c>
      <c r="AJ263" s="39">
        <f>'Row data'!$S263+'Row data'!$T263+'Row data'!$U263+'Row data'!$W263+'Row data'!$X263+'Row data'!$Y263+'Row data'!$Z263+'Row data'!$AA263+'Row data'!$AB263+'Row data'!$AD263-'Row data'!$AC263-'Row data'!$AE263-'Row data'!$AF263-'Row data'!$AG263-'Row data'!$AH263-'Row data'!$AI263</f>
        <v>13655</v>
      </c>
      <c r="AK263" s="39">
        <v>13655</v>
      </c>
      <c r="AL263" s="39">
        <v>0</v>
      </c>
    </row>
    <row r="264" spans="1:38" x14ac:dyDescent="0.3">
      <c r="A264" s="40">
        <v>263</v>
      </c>
      <c r="B264" s="35" t="s">
        <v>69</v>
      </c>
      <c r="C264" s="35">
        <v>9025426</v>
      </c>
      <c r="D264" s="36" t="s">
        <v>617</v>
      </c>
      <c r="E264" s="35" t="s">
        <v>38</v>
      </c>
      <c r="F264" s="35" t="s">
        <v>146</v>
      </c>
      <c r="G264" s="35" t="s">
        <v>147</v>
      </c>
      <c r="H264" s="37"/>
      <c r="I264" s="38">
        <v>45188</v>
      </c>
      <c r="J264" s="38"/>
      <c r="K264" s="17"/>
      <c r="L264" s="38">
        <v>35232</v>
      </c>
      <c r="M264" s="35">
        <f ca="1">IF('Row data'!$J264="",DATEDIF('Row data'!$L264,TODAY(),"y"),"0")</f>
        <v>30</v>
      </c>
      <c r="N264" s="35" t="s">
        <v>42</v>
      </c>
      <c r="O264" s="35" t="s">
        <v>553</v>
      </c>
      <c r="P264" s="39" t="s">
        <v>554</v>
      </c>
      <c r="Q264" s="39">
        <v>13405</v>
      </c>
      <c r="R264" s="39">
        <v>13405</v>
      </c>
      <c r="S264" s="39">
        <v>7303</v>
      </c>
      <c r="T264" s="39">
        <v>3652</v>
      </c>
      <c r="U264" s="39">
        <v>750</v>
      </c>
      <c r="V264" s="39">
        <v>450</v>
      </c>
      <c r="W264" s="39">
        <v>0</v>
      </c>
      <c r="X264" s="39">
        <v>0</v>
      </c>
      <c r="Y264" s="39">
        <v>1250</v>
      </c>
      <c r="Z264" s="39">
        <v>450</v>
      </c>
      <c r="AA264" s="39">
        <v>350</v>
      </c>
      <c r="AB264" s="39">
        <v>0</v>
      </c>
      <c r="AC264" s="39">
        <v>0</v>
      </c>
      <c r="AD264" s="39">
        <v>0</v>
      </c>
      <c r="AE264" s="39">
        <v>0</v>
      </c>
      <c r="AF264" s="39">
        <v>0</v>
      </c>
      <c r="AG264" s="39">
        <v>0</v>
      </c>
      <c r="AH264" s="39">
        <v>0</v>
      </c>
      <c r="AI264" s="39">
        <v>0</v>
      </c>
      <c r="AJ264" s="39">
        <f>'Row data'!$S264+'Row data'!$T264+'Row data'!$U264+'Row data'!$W264+'Row data'!$X264+'Row data'!$Y264+'Row data'!$Z264+'Row data'!$AA264+'Row data'!$AB264+'Row data'!$AD264-'Row data'!$AC264-'Row data'!$AE264-'Row data'!$AF264-'Row data'!$AG264-'Row data'!$AH264-'Row data'!$AI264</f>
        <v>13755</v>
      </c>
      <c r="AK264" s="39">
        <v>13755</v>
      </c>
      <c r="AL264" s="39">
        <v>0</v>
      </c>
    </row>
    <row r="265" spans="1:38" x14ac:dyDescent="0.3">
      <c r="A265" s="40">
        <v>264</v>
      </c>
      <c r="B265" s="35" t="s">
        <v>69</v>
      </c>
      <c r="C265" s="35">
        <v>9519659</v>
      </c>
      <c r="D265" s="36" t="s">
        <v>618</v>
      </c>
      <c r="E265" s="35" t="s">
        <v>38</v>
      </c>
      <c r="F265" s="35" t="s">
        <v>146</v>
      </c>
      <c r="G265" s="35" t="s">
        <v>147</v>
      </c>
      <c r="H265" s="37"/>
      <c r="I265" s="38">
        <v>44840</v>
      </c>
      <c r="J265" s="38"/>
      <c r="K265" s="17"/>
      <c r="L265" s="38">
        <v>37288</v>
      </c>
      <c r="M265" s="35">
        <f ca="1">IF('Row data'!$J265="",DATEDIF('Row data'!$L265,TODAY(),"y"),"0")</f>
        <v>24</v>
      </c>
      <c r="N265" s="35" t="s">
        <v>42</v>
      </c>
      <c r="O265" s="35" t="s">
        <v>553</v>
      </c>
      <c r="P265" s="39" t="s">
        <v>554</v>
      </c>
      <c r="Q265" s="39">
        <v>13405</v>
      </c>
      <c r="R265" s="39">
        <v>13405</v>
      </c>
      <c r="S265" s="39">
        <v>7303</v>
      </c>
      <c r="T265" s="39">
        <v>3652</v>
      </c>
      <c r="U265" s="39">
        <v>750</v>
      </c>
      <c r="V265" s="39">
        <v>450</v>
      </c>
      <c r="W265" s="39">
        <v>0</v>
      </c>
      <c r="X265" s="39">
        <v>0</v>
      </c>
      <c r="Y265" s="39">
        <v>1250</v>
      </c>
      <c r="Z265" s="39">
        <v>450</v>
      </c>
      <c r="AA265" s="39">
        <v>0</v>
      </c>
      <c r="AB265" s="39">
        <v>0</v>
      </c>
      <c r="AC265" s="39">
        <v>0</v>
      </c>
      <c r="AD265" s="39">
        <v>0</v>
      </c>
      <c r="AE265" s="39">
        <v>0</v>
      </c>
      <c r="AF265" s="39">
        <v>0</v>
      </c>
      <c r="AG265" s="39">
        <v>0</v>
      </c>
      <c r="AH265" s="39">
        <v>0</v>
      </c>
      <c r="AI265" s="39">
        <v>0</v>
      </c>
      <c r="AJ265" s="39">
        <f>'Row data'!$S265+'Row data'!$T265+'Row data'!$U265+'Row data'!$W265+'Row data'!$X265+'Row data'!$Y265+'Row data'!$Z265+'Row data'!$AA265+'Row data'!$AB265+'Row data'!$AD265-'Row data'!$AC265-'Row data'!$AE265-'Row data'!$AF265-'Row data'!$AG265-'Row data'!$AH265-'Row data'!$AI265</f>
        <v>13405</v>
      </c>
      <c r="AK265" s="39">
        <v>13405</v>
      </c>
      <c r="AL265" s="39">
        <v>0</v>
      </c>
    </row>
    <row r="266" spans="1:38" x14ac:dyDescent="0.3">
      <c r="A266" s="40">
        <v>265</v>
      </c>
      <c r="B266" s="35" t="s">
        <v>69</v>
      </c>
      <c r="C266" s="35">
        <v>6464525</v>
      </c>
      <c r="D266" s="36" t="s">
        <v>619</v>
      </c>
      <c r="E266" s="35" t="s">
        <v>38</v>
      </c>
      <c r="F266" s="35" t="s">
        <v>146</v>
      </c>
      <c r="G266" s="35" t="s">
        <v>147</v>
      </c>
      <c r="H266" s="37"/>
      <c r="I266" s="38">
        <v>41863</v>
      </c>
      <c r="J266" s="38"/>
      <c r="K266" s="17"/>
      <c r="L266" s="38">
        <v>35799</v>
      </c>
      <c r="M266" s="35">
        <f ca="1">IF('Row data'!$J266="",DATEDIF('Row data'!$L266,TODAY(),"y"),"0")</f>
        <v>28</v>
      </c>
      <c r="N266" s="35" t="s">
        <v>42</v>
      </c>
      <c r="O266" s="35" t="s">
        <v>553</v>
      </c>
      <c r="P266" s="39" t="s">
        <v>554</v>
      </c>
      <c r="Q266" s="39">
        <v>13949</v>
      </c>
      <c r="R266" s="39">
        <v>13949</v>
      </c>
      <c r="S266" s="39">
        <v>7666</v>
      </c>
      <c r="T266" s="39">
        <v>3833</v>
      </c>
      <c r="U266" s="39">
        <v>750</v>
      </c>
      <c r="V266" s="39">
        <v>450</v>
      </c>
      <c r="W266" s="39">
        <v>0</v>
      </c>
      <c r="X266" s="39">
        <v>0</v>
      </c>
      <c r="Y266" s="39">
        <v>1250</v>
      </c>
      <c r="Z266" s="39">
        <v>450</v>
      </c>
      <c r="AA266" s="39">
        <v>350</v>
      </c>
      <c r="AB266" s="39">
        <v>0</v>
      </c>
      <c r="AC266" s="39">
        <v>0</v>
      </c>
      <c r="AD266" s="39">
        <v>0</v>
      </c>
      <c r="AE266" s="39">
        <v>0</v>
      </c>
      <c r="AF266" s="39">
        <v>0</v>
      </c>
      <c r="AG266" s="39">
        <v>0</v>
      </c>
      <c r="AH266" s="39">
        <v>0</v>
      </c>
      <c r="AI266" s="39">
        <v>0</v>
      </c>
      <c r="AJ266" s="39">
        <f>'Row data'!$S266+'Row data'!$T266+'Row data'!$U266+'Row data'!$W266+'Row data'!$X266+'Row data'!$Y266+'Row data'!$Z266+'Row data'!$AA266+'Row data'!$AB266+'Row data'!$AD266-'Row data'!$AC266-'Row data'!$AE266-'Row data'!$AF266-'Row data'!$AG266-'Row data'!$AH266-'Row data'!$AI266</f>
        <v>14299</v>
      </c>
      <c r="AK266" s="39">
        <v>14299</v>
      </c>
      <c r="AL266" s="39">
        <v>0</v>
      </c>
    </row>
    <row r="267" spans="1:38" x14ac:dyDescent="0.3">
      <c r="A267" s="40">
        <v>266</v>
      </c>
      <c r="B267" s="35" t="s">
        <v>69</v>
      </c>
      <c r="C267" s="35">
        <v>7605373</v>
      </c>
      <c r="D267" s="36" t="s">
        <v>591</v>
      </c>
      <c r="E267" s="35" t="s">
        <v>38</v>
      </c>
      <c r="F267" s="35" t="s">
        <v>146</v>
      </c>
      <c r="G267" s="35" t="s">
        <v>147</v>
      </c>
      <c r="H267" s="37"/>
      <c r="I267" s="38">
        <v>44440</v>
      </c>
      <c r="J267" s="38"/>
      <c r="K267" s="17"/>
      <c r="L267" s="38">
        <v>29465</v>
      </c>
      <c r="M267" s="35">
        <f ca="1">IF('Row data'!$J267="",DATEDIF('Row data'!$L267,TODAY(),"y"),"0")</f>
        <v>46</v>
      </c>
      <c r="N267" s="35" t="s">
        <v>42</v>
      </c>
      <c r="O267" s="35" t="s">
        <v>553</v>
      </c>
      <c r="P267" s="39" t="s">
        <v>554</v>
      </c>
      <c r="Q267" s="39">
        <v>13405</v>
      </c>
      <c r="R267" s="39">
        <v>13405</v>
      </c>
      <c r="S267" s="39">
        <v>7303</v>
      </c>
      <c r="T267" s="39">
        <v>3652</v>
      </c>
      <c r="U267" s="39">
        <v>750</v>
      </c>
      <c r="V267" s="39">
        <v>450</v>
      </c>
      <c r="W267" s="39">
        <v>0</v>
      </c>
      <c r="X267" s="39">
        <v>0</v>
      </c>
      <c r="Y267" s="39">
        <v>1250</v>
      </c>
      <c r="Z267" s="39">
        <v>450</v>
      </c>
      <c r="AA267" s="39">
        <v>350</v>
      </c>
      <c r="AB267" s="39">
        <v>0</v>
      </c>
      <c r="AC267" s="39">
        <v>0</v>
      </c>
      <c r="AD267" s="39">
        <v>0</v>
      </c>
      <c r="AE267" s="39">
        <v>0</v>
      </c>
      <c r="AF267" s="39">
        <v>0</v>
      </c>
      <c r="AG267" s="39">
        <v>0</v>
      </c>
      <c r="AH267" s="39">
        <v>0</v>
      </c>
      <c r="AI267" s="39">
        <v>0</v>
      </c>
      <c r="AJ267" s="39">
        <f>'Row data'!$S267+'Row data'!$T267+'Row data'!$U267+'Row data'!$W267+'Row data'!$X267+'Row data'!$Y267+'Row data'!$Z267+'Row data'!$AA267+'Row data'!$AB267+'Row data'!$AD267-'Row data'!$AC267-'Row data'!$AE267-'Row data'!$AF267-'Row data'!$AG267-'Row data'!$AH267-'Row data'!$AI267</f>
        <v>13755</v>
      </c>
      <c r="AK267" s="39">
        <v>13755</v>
      </c>
      <c r="AL267" s="39">
        <v>0</v>
      </c>
    </row>
    <row r="268" spans="1:38" x14ac:dyDescent="0.3">
      <c r="A268" s="40">
        <v>267</v>
      </c>
      <c r="B268" s="35" t="s">
        <v>69</v>
      </c>
      <c r="C268" s="35">
        <v>5648986</v>
      </c>
      <c r="D268" s="36" t="s">
        <v>583</v>
      </c>
      <c r="E268" s="35" t="s">
        <v>38</v>
      </c>
      <c r="F268" s="35" t="s">
        <v>146</v>
      </c>
      <c r="G268" s="35" t="s">
        <v>50</v>
      </c>
      <c r="H268" s="37"/>
      <c r="I268" s="38">
        <v>44349</v>
      </c>
      <c r="J268" s="38"/>
      <c r="K268" s="17"/>
      <c r="L268" s="38">
        <v>32601</v>
      </c>
      <c r="M268" s="35">
        <f ca="1">IF('Row data'!$J268="",DATEDIF('Row data'!$L268,TODAY(),"y"),"0")</f>
        <v>37</v>
      </c>
      <c r="N268" s="35" t="s">
        <v>42</v>
      </c>
      <c r="O268" s="35" t="s">
        <v>553</v>
      </c>
      <c r="P268" s="39" t="s">
        <v>554</v>
      </c>
      <c r="Q268" s="39">
        <v>13405</v>
      </c>
      <c r="R268" s="39">
        <v>13405</v>
      </c>
      <c r="S268" s="39">
        <v>7303</v>
      </c>
      <c r="T268" s="39">
        <v>3652</v>
      </c>
      <c r="U268" s="39">
        <v>750</v>
      </c>
      <c r="V268" s="39">
        <v>450</v>
      </c>
      <c r="W268" s="39">
        <v>0</v>
      </c>
      <c r="X268" s="39">
        <v>0</v>
      </c>
      <c r="Y268" s="39">
        <v>1250</v>
      </c>
      <c r="Z268" s="39">
        <v>450</v>
      </c>
      <c r="AA268" s="39">
        <v>0</v>
      </c>
      <c r="AB268" s="39">
        <v>0</v>
      </c>
      <c r="AC268" s="39">
        <v>0</v>
      </c>
      <c r="AD268" s="39">
        <v>0</v>
      </c>
      <c r="AE268" s="39">
        <v>0</v>
      </c>
      <c r="AF268" s="39">
        <v>0</v>
      </c>
      <c r="AG268" s="39">
        <v>0</v>
      </c>
      <c r="AH268" s="39">
        <v>0</v>
      </c>
      <c r="AI268" s="39">
        <v>0</v>
      </c>
      <c r="AJ268" s="39">
        <f>'Row data'!$S268+'Row data'!$T268+'Row data'!$U268+'Row data'!$W268+'Row data'!$X268+'Row data'!$Y268+'Row data'!$Z268+'Row data'!$AA268+'Row data'!$AB268+'Row data'!$AD268-'Row data'!$AC268-'Row data'!$AE268-'Row data'!$AF268-'Row data'!$AG268-'Row data'!$AH268-'Row data'!$AI268</f>
        <v>13405</v>
      </c>
      <c r="AK268" s="39">
        <v>13405</v>
      </c>
      <c r="AL268" s="39">
        <v>0</v>
      </c>
    </row>
    <row r="269" spans="1:38" x14ac:dyDescent="0.3">
      <c r="A269" s="40">
        <v>268</v>
      </c>
      <c r="B269" s="35" t="s">
        <v>69</v>
      </c>
      <c r="C269" s="35">
        <v>6285102</v>
      </c>
      <c r="D269" s="36" t="s">
        <v>620</v>
      </c>
      <c r="E269" s="35" t="s">
        <v>38</v>
      </c>
      <c r="F269" s="35" t="s">
        <v>146</v>
      </c>
      <c r="G269" s="35" t="s">
        <v>147</v>
      </c>
      <c r="H269" s="37"/>
      <c r="I269" s="38">
        <v>44653</v>
      </c>
      <c r="J269" s="38"/>
      <c r="K269" s="17"/>
      <c r="L269" s="38">
        <v>35092</v>
      </c>
      <c r="M269" s="35">
        <f ca="1">IF('Row data'!$J269="",DATEDIF('Row data'!$L269,TODAY(),"y"),"0")</f>
        <v>30</v>
      </c>
      <c r="N269" s="35" t="s">
        <v>42</v>
      </c>
      <c r="O269" s="35" t="s">
        <v>553</v>
      </c>
      <c r="P269" s="39" t="s">
        <v>554</v>
      </c>
      <c r="Q269" s="39">
        <v>13405</v>
      </c>
      <c r="R269" s="39">
        <v>13405</v>
      </c>
      <c r="S269" s="39">
        <v>7303</v>
      </c>
      <c r="T269" s="39">
        <v>3652</v>
      </c>
      <c r="U269" s="39">
        <v>750</v>
      </c>
      <c r="V269" s="39">
        <v>450</v>
      </c>
      <c r="W269" s="39">
        <v>0</v>
      </c>
      <c r="X269" s="39">
        <v>0</v>
      </c>
      <c r="Y269" s="39">
        <v>1250</v>
      </c>
      <c r="Z269" s="39">
        <v>450</v>
      </c>
      <c r="AA269" s="39">
        <v>350</v>
      </c>
      <c r="AB269" s="39">
        <v>0</v>
      </c>
      <c r="AC269" s="39">
        <v>0</v>
      </c>
      <c r="AD269" s="39">
        <v>0</v>
      </c>
      <c r="AE269" s="39">
        <v>0</v>
      </c>
      <c r="AF269" s="39">
        <v>0</v>
      </c>
      <c r="AG269" s="39">
        <v>0</v>
      </c>
      <c r="AH269" s="39">
        <v>0</v>
      </c>
      <c r="AI269" s="39">
        <v>0</v>
      </c>
      <c r="AJ269" s="39">
        <f>'Row data'!$S269+'Row data'!$T269+'Row data'!$U269+'Row data'!$W269+'Row data'!$X269+'Row data'!$Y269+'Row data'!$Z269+'Row data'!$AA269+'Row data'!$AB269+'Row data'!$AD269-'Row data'!$AC269-'Row data'!$AE269-'Row data'!$AF269-'Row data'!$AG269-'Row data'!$AH269-'Row data'!$AI269</f>
        <v>13755</v>
      </c>
      <c r="AK269" s="39">
        <v>13755</v>
      </c>
      <c r="AL269" s="39">
        <v>0</v>
      </c>
    </row>
    <row r="270" spans="1:38" x14ac:dyDescent="0.3">
      <c r="A270" s="40">
        <v>269</v>
      </c>
      <c r="B270" s="35" t="s">
        <v>69</v>
      </c>
      <c r="C270" s="35">
        <v>7211470</v>
      </c>
      <c r="D270" s="36" t="s">
        <v>570</v>
      </c>
      <c r="E270" s="35" t="s">
        <v>38</v>
      </c>
      <c r="F270" s="35" t="s">
        <v>146</v>
      </c>
      <c r="G270" s="35" t="s">
        <v>147</v>
      </c>
      <c r="H270" s="37"/>
      <c r="I270" s="38">
        <v>43835</v>
      </c>
      <c r="J270" s="38"/>
      <c r="K270" s="17"/>
      <c r="L270" s="38">
        <v>35236</v>
      </c>
      <c r="M270" s="35">
        <f ca="1">IF('Row data'!$J270="",DATEDIF('Row data'!$L270,TODAY(),"y"),"0")</f>
        <v>30</v>
      </c>
      <c r="N270" s="35" t="s">
        <v>42</v>
      </c>
      <c r="O270" s="35" t="s">
        <v>553</v>
      </c>
      <c r="P270" s="39" t="s">
        <v>554</v>
      </c>
      <c r="Q270" s="39">
        <v>13514</v>
      </c>
      <c r="R270" s="39">
        <v>13514</v>
      </c>
      <c r="S270" s="39">
        <v>7376</v>
      </c>
      <c r="T270" s="39">
        <v>3688</v>
      </c>
      <c r="U270" s="39">
        <v>750</v>
      </c>
      <c r="V270" s="39">
        <v>450</v>
      </c>
      <c r="W270" s="39">
        <v>0</v>
      </c>
      <c r="X270" s="39">
        <v>0</v>
      </c>
      <c r="Y270" s="39">
        <v>1250</v>
      </c>
      <c r="Z270" s="39">
        <v>450</v>
      </c>
      <c r="AA270" s="39">
        <v>350</v>
      </c>
      <c r="AB270" s="39">
        <v>0</v>
      </c>
      <c r="AC270" s="39">
        <v>0</v>
      </c>
      <c r="AD270" s="39">
        <v>0</v>
      </c>
      <c r="AE270" s="39">
        <v>0</v>
      </c>
      <c r="AF270" s="39">
        <v>0</v>
      </c>
      <c r="AG270" s="39">
        <v>0</v>
      </c>
      <c r="AH270" s="39">
        <v>0</v>
      </c>
      <c r="AI270" s="39">
        <v>0</v>
      </c>
      <c r="AJ270" s="39">
        <f>'Row data'!$S270+'Row data'!$T270+'Row data'!$U270+'Row data'!$W270+'Row data'!$X270+'Row data'!$Y270+'Row data'!$Z270+'Row data'!$AA270+'Row data'!$AB270+'Row data'!$AD270-'Row data'!$AC270-'Row data'!$AE270-'Row data'!$AF270-'Row data'!$AG270-'Row data'!$AH270-'Row data'!$AI270</f>
        <v>13864</v>
      </c>
      <c r="AK270" s="39">
        <v>13864</v>
      </c>
      <c r="AL270" s="39">
        <v>0</v>
      </c>
    </row>
    <row r="271" spans="1:38" x14ac:dyDescent="0.3">
      <c r="A271" s="40">
        <v>270</v>
      </c>
      <c r="B271" s="35" t="s">
        <v>69</v>
      </c>
      <c r="C271" s="35">
        <v>5625362</v>
      </c>
      <c r="D271" s="36" t="s">
        <v>597</v>
      </c>
      <c r="E271" s="35" t="s">
        <v>38</v>
      </c>
      <c r="F271" s="35" t="s">
        <v>146</v>
      </c>
      <c r="G271" s="35" t="s">
        <v>147</v>
      </c>
      <c r="H271" s="37"/>
      <c r="I271" s="38">
        <v>44268</v>
      </c>
      <c r="J271" s="38"/>
      <c r="K271" s="17"/>
      <c r="L271" s="38">
        <v>30684</v>
      </c>
      <c r="M271" s="35">
        <f ca="1">IF('Row data'!$J271="",DATEDIF('Row data'!$L271,TODAY(),"y"),"0")</f>
        <v>42</v>
      </c>
      <c r="N271" s="35" t="s">
        <v>42</v>
      </c>
      <c r="O271" s="35" t="s">
        <v>553</v>
      </c>
      <c r="P271" s="39" t="s">
        <v>554</v>
      </c>
      <c r="Q271" s="39">
        <v>13405</v>
      </c>
      <c r="R271" s="39">
        <v>13405</v>
      </c>
      <c r="S271" s="39">
        <v>7303</v>
      </c>
      <c r="T271" s="39">
        <v>3652</v>
      </c>
      <c r="U271" s="39">
        <v>750</v>
      </c>
      <c r="V271" s="39">
        <v>450</v>
      </c>
      <c r="W271" s="39">
        <v>0</v>
      </c>
      <c r="X271" s="39">
        <v>0</v>
      </c>
      <c r="Y271" s="39">
        <v>1250</v>
      </c>
      <c r="Z271" s="39">
        <v>450</v>
      </c>
      <c r="AA271" s="39">
        <v>350</v>
      </c>
      <c r="AB271" s="39">
        <v>0</v>
      </c>
      <c r="AC271" s="39">
        <v>0</v>
      </c>
      <c r="AD271" s="39">
        <v>0</v>
      </c>
      <c r="AE271" s="39">
        <v>0</v>
      </c>
      <c r="AF271" s="39">
        <v>0</v>
      </c>
      <c r="AG271" s="39">
        <v>0</v>
      </c>
      <c r="AH271" s="39">
        <v>0</v>
      </c>
      <c r="AI271" s="39">
        <v>0</v>
      </c>
      <c r="AJ271" s="39">
        <f>'Row data'!$S271+'Row data'!$T271+'Row data'!$U271+'Row data'!$W271+'Row data'!$X271+'Row data'!$Y271+'Row data'!$Z271+'Row data'!$AA271+'Row data'!$AB271+'Row data'!$AD271-'Row data'!$AC271-'Row data'!$AE271-'Row data'!$AF271-'Row data'!$AG271-'Row data'!$AH271-'Row data'!$AI271</f>
        <v>13755</v>
      </c>
      <c r="AK271" s="39">
        <v>13755</v>
      </c>
      <c r="AL271" s="39">
        <v>0</v>
      </c>
    </row>
    <row r="272" spans="1:38" x14ac:dyDescent="0.3">
      <c r="A272" s="40">
        <v>271</v>
      </c>
      <c r="B272" s="35" t="s">
        <v>69</v>
      </c>
      <c r="C272" s="35">
        <v>9457480</v>
      </c>
      <c r="D272" s="36" t="s">
        <v>621</v>
      </c>
      <c r="E272" s="35" t="s">
        <v>38</v>
      </c>
      <c r="F272" s="35" t="s">
        <v>146</v>
      </c>
      <c r="G272" s="35" t="s">
        <v>147</v>
      </c>
      <c r="H272" s="37"/>
      <c r="I272" s="38">
        <v>43730</v>
      </c>
      <c r="J272" s="38"/>
      <c r="K272" s="17"/>
      <c r="L272" s="38">
        <v>29672</v>
      </c>
      <c r="M272" s="35">
        <f ca="1">IF('Row data'!$J272="",DATEDIF('Row data'!$L272,TODAY(),"y"),"0")</f>
        <v>45</v>
      </c>
      <c r="N272" s="35" t="s">
        <v>42</v>
      </c>
      <c r="O272" s="35" t="s">
        <v>553</v>
      </c>
      <c r="P272" s="39" t="s">
        <v>554</v>
      </c>
      <c r="Q272" s="39">
        <v>13514</v>
      </c>
      <c r="R272" s="39">
        <v>13514</v>
      </c>
      <c r="S272" s="39">
        <v>7376</v>
      </c>
      <c r="T272" s="39">
        <v>3688</v>
      </c>
      <c r="U272" s="39">
        <v>750</v>
      </c>
      <c r="V272" s="39">
        <v>450</v>
      </c>
      <c r="W272" s="39">
        <v>0</v>
      </c>
      <c r="X272" s="39">
        <v>0</v>
      </c>
      <c r="Y272" s="39">
        <v>1250</v>
      </c>
      <c r="Z272" s="39">
        <v>450</v>
      </c>
      <c r="AA272" s="39">
        <v>0</v>
      </c>
      <c r="AB272" s="39">
        <v>0</v>
      </c>
      <c r="AC272" s="39">
        <v>0</v>
      </c>
      <c r="AD272" s="39">
        <v>0</v>
      </c>
      <c r="AE272" s="39">
        <v>0</v>
      </c>
      <c r="AF272" s="39">
        <v>0</v>
      </c>
      <c r="AG272" s="39">
        <v>0</v>
      </c>
      <c r="AH272" s="39">
        <v>0</v>
      </c>
      <c r="AI272" s="39">
        <v>0</v>
      </c>
      <c r="AJ272" s="39">
        <f>'Row data'!$S272+'Row data'!$T272+'Row data'!$U272+'Row data'!$W272+'Row data'!$X272+'Row data'!$Y272+'Row data'!$Z272+'Row data'!$AA272+'Row data'!$AB272+'Row data'!$AD272-'Row data'!$AC272-'Row data'!$AE272-'Row data'!$AF272-'Row data'!$AG272-'Row data'!$AH272-'Row data'!$AI272</f>
        <v>13514</v>
      </c>
      <c r="AK272" s="39">
        <v>13514</v>
      </c>
      <c r="AL272" s="39">
        <v>0</v>
      </c>
    </row>
    <row r="273" spans="1:38" x14ac:dyDescent="0.3">
      <c r="A273" s="40">
        <v>272</v>
      </c>
      <c r="B273" s="35" t="s">
        <v>69</v>
      </c>
      <c r="C273" s="35">
        <v>8725001</v>
      </c>
      <c r="D273" s="36" t="s">
        <v>622</v>
      </c>
      <c r="E273" s="35" t="s">
        <v>38</v>
      </c>
      <c r="F273" s="35" t="s">
        <v>146</v>
      </c>
      <c r="G273" s="35" t="s">
        <v>147</v>
      </c>
      <c r="H273" s="37"/>
      <c r="I273" s="38">
        <v>43366</v>
      </c>
      <c r="J273" s="38"/>
      <c r="K273" s="17"/>
      <c r="L273" s="38">
        <v>31552</v>
      </c>
      <c r="M273" s="35">
        <f ca="1">IF('Row data'!$J273="",DATEDIF('Row data'!$L273,TODAY(),"y"),"0")</f>
        <v>40</v>
      </c>
      <c r="N273" s="35" t="s">
        <v>42</v>
      </c>
      <c r="O273" s="35" t="s">
        <v>553</v>
      </c>
      <c r="P273" s="39" t="s">
        <v>554</v>
      </c>
      <c r="Q273" s="39">
        <v>13514</v>
      </c>
      <c r="R273" s="39">
        <v>13514</v>
      </c>
      <c r="S273" s="39">
        <v>7376</v>
      </c>
      <c r="T273" s="39">
        <v>3688</v>
      </c>
      <c r="U273" s="39">
        <v>750</v>
      </c>
      <c r="V273" s="39">
        <v>450</v>
      </c>
      <c r="W273" s="39">
        <v>0</v>
      </c>
      <c r="X273" s="39">
        <v>0</v>
      </c>
      <c r="Y273" s="39">
        <v>1250</v>
      </c>
      <c r="Z273" s="39">
        <v>450</v>
      </c>
      <c r="AA273" s="39">
        <v>350</v>
      </c>
      <c r="AB273" s="39">
        <v>0</v>
      </c>
      <c r="AC273" s="39">
        <v>0</v>
      </c>
      <c r="AD273" s="39">
        <v>0</v>
      </c>
      <c r="AE273" s="39">
        <v>0</v>
      </c>
      <c r="AF273" s="39">
        <v>0</v>
      </c>
      <c r="AG273" s="39">
        <v>0</v>
      </c>
      <c r="AH273" s="39">
        <v>0</v>
      </c>
      <c r="AI273" s="39">
        <v>0</v>
      </c>
      <c r="AJ273" s="39">
        <f>'Row data'!$S273+'Row data'!$T273+'Row data'!$U273+'Row data'!$W273+'Row data'!$X273+'Row data'!$Y273+'Row data'!$Z273+'Row data'!$AA273+'Row data'!$AB273+'Row data'!$AD273-'Row data'!$AC273-'Row data'!$AE273-'Row data'!$AF273-'Row data'!$AG273-'Row data'!$AH273-'Row data'!$AI273</f>
        <v>13864</v>
      </c>
      <c r="AK273" s="39">
        <v>13864</v>
      </c>
      <c r="AL273" s="39">
        <v>0</v>
      </c>
    </row>
    <row r="274" spans="1:38" x14ac:dyDescent="0.3">
      <c r="A274" s="40">
        <v>273</v>
      </c>
      <c r="B274" s="35" t="s">
        <v>69</v>
      </c>
      <c r="C274" s="35">
        <v>5374933</v>
      </c>
      <c r="D274" s="36" t="s">
        <v>623</v>
      </c>
      <c r="E274" s="35" t="s">
        <v>38</v>
      </c>
      <c r="F274" s="35" t="s">
        <v>146</v>
      </c>
      <c r="G274" s="35" t="s">
        <v>147</v>
      </c>
      <c r="H274" s="37"/>
      <c r="I274" s="38">
        <v>43344</v>
      </c>
      <c r="J274" s="38">
        <v>44799</v>
      </c>
      <c r="K274" s="17">
        <f>YEAR('Row data'!$J274)</f>
        <v>2022</v>
      </c>
      <c r="L274" s="38">
        <v>32381</v>
      </c>
      <c r="M274" s="35" t="str">
        <f ca="1">IF('Row data'!$J274="",DATEDIF('Row data'!$L274,TODAY(),"y"),"0")</f>
        <v>0</v>
      </c>
      <c r="N274" s="35" t="s">
        <v>42</v>
      </c>
      <c r="O274" s="35" t="s">
        <v>553</v>
      </c>
      <c r="P274" s="39" t="s">
        <v>554</v>
      </c>
      <c r="Q274" s="39">
        <v>13514</v>
      </c>
      <c r="R274" s="39">
        <v>13514</v>
      </c>
      <c r="S274" s="39">
        <v>7376</v>
      </c>
      <c r="T274" s="39">
        <v>3688</v>
      </c>
      <c r="U274" s="39">
        <v>750</v>
      </c>
      <c r="V274" s="39">
        <v>450</v>
      </c>
      <c r="W274" s="39">
        <v>0</v>
      </c>
      <c r="X274" s="39">
        <v>0</v>
      </c>
      <c r="Y274" s="39">
        <v>1250</v>
      </c>
      <c r="Z274" s="39">
        <v>450</v>
      </c>
      <c r="AA274" s="39">
        <v>350</v>
      </c>
      <c r="AB274" s="39">
        <v>0</v>
      </c>
      <c r="AC274" s="39">
        <v>0</v>
      </c>
      <c r="AD274" s="39">
        <v>0</v>
      </c>
      <c r="AE274" s="39">
        <v>0</v>
      </c>
      <c r="AF274" s="39">
        <v>0</v>
      </c>
      <c r="AG274" s="39">
        <v>0</v>
      </c>
      <c r="AH274" s="39">
        <v>0</v>
      </c>
      <c r="AI274" s="39">
        <v>0</v>
      </c>
      <c r="AJ274" s="39">
        <f>'Row data'!$S274+'Row data'!$T274+'Row data'!$U274+'Row data'!$W274+'Row data'!$X274+'Row data'!$Y274+'Row data'!$Z274+'Row data'!$AA274+'Row data'!$AB274+'Row data'!$AD274-'Row data'!$AC274-'Row data'!$AE274-'Row data'!$AF274-'Row data'!$AG274-'Row data'!$AH274-'Row data'!$AI274</f>
        <v>13864</v>
      </c>
      <c r="AK274" s="39">
        <v>13864</v>
      </c>
      <c r="AL274" s="39">
        <v>0</v>
      </c>
    </row>
    <row r="275" spans="1:38" x14ac:dyDescent="0.3">
      <c r="A275" s="40">
        <v>274</v>
      </c>
      <c r="B275" s="35" t="s">
        <v>69</v>
      </c>
      <c r="C275" s="35">
        <v>7518732</v>
      </c>
      <c r="D275" s="36" t="s">
        <v>624</v>
      </c>
      <c r="E275" s="35" t="s">
        <v>38</v>
      </c>
      <c r="F275" s="35" t="s">
        <v>146</v>
      </c>
      <c r="G275" s="35" t="s">
        <v>147</v>
      </c>
      <c r="H275" s="37"/>
      <c r="I275" s="38">
        <v>39570</v>
      </c>
      <c r="J275" s="38"/>
      <c r="K275" s="17"/>
      <c r="L275" s="38">
        <v>28611</v>
      </c>
      <c r="M275" s="35">
        <f ca="1">IF('Row data'!$J275="",DATEDIF('Row data'!$L275,TODAY(),"y"),"0")</f>
        <v>48</v>
      </c>
      <c r="N275" s="35" t="s">
        <v>42</v>
      </c>
      <c r="O275" s="35" t="s">
        <v>553</v>
      </c>
      <c r="P275" s="39" t="s">
        <v>554</v>
      </c>
      <c r="Q275" s="39">
        <v>15040</v>
      </c>
      <c r="R275" s="39">
        <v>14740</v>
      </c>
      <c r="S275" s="39">
        <v>8393</v>
      </c>
      <c r="T275" s="39">
        <v>4197</v>
      </c>
      <c r="U275" s="39">
        <v>750</v>
      </c>
      <c r="V275" s="39">
        <v>450</v>
      </c>
      <c r="W275" s="39">
        <v>0</v>
      </c>
      <c r="X275" s="39">
        <v>0</v>
      </c>
      <c r="Y275" s="39">
        <v>1250</v>
      </c>
      <c r="Z275" s="39">
        <v>450</v>
      </c>
      <c r="AA275" s="39">
        <v>0</v>
      </c>
      <c r="AB275" s="39">
        <v>0</v>
      </c>
      <c r="AC275" s="39">
        <v>0</v>
      </c>
      <c r="AD275" s="39">
        <v>0</v>
      </c>
      <c r="AE275" s="39">
        <v>300</v>
      </c>
      <c r="AF275" s="39">
        <v>0</v>
      </c>
      <c r="AG275" s="39">
        <v>0</v>
      </c>
      <c r="AH275" s="39">
        <v>0</v>
      </c>
      <c r="AI275" s="39">
        <v>0</v>
      </c>
      <c r="AJ275" s="39">
        <f>'Row data'!$S275+'Row data'!$T275+'Row data'!$U275+'Row data'!$W275+'Row data'!$X275+'Row data'!$Y275+'Row data'!$Z275+'Row data'!$AA275+'Row data'!$AB275+'Row data'!$AD275-'Row data'!$AC275-'Row data'!$AE275-'Row data'!$AF275-'Row data'!$AG275-'Row data'!$AH275-'Row data'!$AI275</f>
        <v>14740</v>
      </c>
      <c r="AK275" s="39">
        <v>14740</v>
      </c>
      <c r="AL275" s="39">
        <v>0</v>
      </c>
    </row>
    <row r="276" spans="1:38" x14ac:dyDescent="0.3">
      <c r="A276" s="40">
        <v>275</v>
      </c>
      <c r="B276" s="35" t="s">
        <v>69</v>
      </c>
      <c r="C276" s="35">
        <v>8043692</v>
      </c>
      <c r="D276" s="36" t="s">
        <v>625</v>
      </c>
      <c r="E276" s="35" t="s">
        <v>38</v>
      </c>
      <c r="F276" s="35" t="s">
        <v>146</v>
      </c>
      <c r="G276" s="35" t="s">
        <v>147</v>
      </c>
      <c r="H276" s="37"/>
      <c r="I276" s="38">
        <v>42431</v>
      </c>
      <c r="J276" s="38">
        <v>44912</v>
      </c>
      <c r="K276" s="17">
        <f>YEAR('Row data'!$J276)</f>
        <v>2022</v>
      </c>
      <c r="L276" s="38">
        <v>32494</v>
      </c>
      <c r="M276" s="35" t="str">
        <f ca="1">IF('Row data'!$J276="",DATEDIF('Row data'!$L276,TODAY(),"y"),"0")</f>
        <v>0</v>
      </c>
      <c r="N276" s="35" t="s">
        <v>42</v>
      </c>
      <c r="O276" s="35" t="s">
        <v>553</v>
      </c>
      <c r="P276" s="39" t="s">
        <v>554</v>
      </c>
      <c r="Q276" s="39">
        <v>13458</v>
      </c>
      <c r="R276" s="39">
        <v>13458</v>
      </c>
      <c r="S276" s="39">
        <v>7339</v>
      </c>
      <c r="T276" s="39">
        <v>3669</v>
      </c>
      <c r="U276" s="39">
        <v>750</v>
      </c>
      <c r="V276" s="39">
        <v>450</v>
      </c>
      <c r="W276" s="39">
        <v>0</v>
      </c>
      <c r="X276" s="39">
        <v>0</v>
      </c>
      <c r="Y276" s="39">
        <v>1250</v>
      </c>
      <c r="Z276" s="39">
        <v>450</v>
      </c>
      <c r="AA276" s="39">
        <v>0</v>
      </c>
      <c r="AB276" s="39">
        <v>0</v>
      </c>
      <c r="AC276" s="39">
        <v>0</v>
      </c>
      <c r="AD276" s="39">
        <v>0</v>
      </c>
      <c r="AE276" s="39">
        <v>0</v>
      </c>
      <c r="AF276" s="39">
        <v>0</v>
      </c>
      <c r="AG276" s="39">
        <v>0</v>
      </c>
      <c r="AH276" s="39">
        <v>0</v>
      </c>
      <c r="AI276" s="39">
        <v>0</v>
      </c>
      <c r="AJ276" s="39">
        <f>'Row data'!$S276+'Row data'!$T276+'Row data'!$U276+'Row data'!$W276+'Row data'!$X276+'Row data'!$Y276+'Row data'!$Z276+'Row data'!$AA276+'Row data'!$AB276+'Row data'!$AD276-'Row data'!$AC276-'Row data'!$AE276-'Row data'!$AF276-'Row data'!$AG276-'Row data'!$AH276-'Row data'!$AI276</f>
        <v>13458</v>
      </c>
      <c r="AK276" s="39">
        <v>13458</v>
      </c>
      <c r="AL276" s="39">
        <v>0</v>
      </c>
    </row>
    <row r="277" spans="1:38" x14ac:dyDescent="0.3">
      <c r="A277" s="40">
        <v>276</v>
      </c>
      <c r="B277" s="35" t="s">
        <v>69</v>
      </c>
      <c r="C277" s="35">
        <v>5515056</v>
      </c>
      <c r="D277" s="36" t="s">
        <v>583</v>
      </c>
      <c r="E277" s="35" t="s">
        <v>38</v>
      </c>
      <c r="F277" s="35" t="s">
        <v>146</v>
      </c>
      <c r="G277" s="35" t="s">
        <v>147</v>
      </c>
      <c r="H277" s="37"/>
      <c r="I277" s="38">
        <v>43282</v>
      </c>
      <c r="J277" s="38"/>
      <c r="K277" s="17"/>
      <c r="L277" s="38">
        <v>30878</v>
      </c>
      <c r="M277" s="35">
        <f ca="1">IF('Row data'!$J277="",DATEDIF('Row data'!$L277,TODAY(),"y"),"0")</f>
        <v>42</v>
      </c>
      <c r="N277" s="35" t="s">
        <v>42</v>
      </c>
      <c r="O277" s="35" t="s">
        <v>553</v>
      </c>
      <c r="P277" s="39" t="s">
        <v>554</v>
      </c>
      <c r="Q277" s="39">
        <v>13514</v>
      </c>
      <c r="R277" s="39">
        <v>13514</v>
      </c>
      <c r="S277" s="39">
        <v>7376</v>
      </c>
      <c r="T277" s="39">
        <v>3688</v>
      </c>
      <c r="U277" s="39">
        <v>750</v>
      </c>
      <c r="V277" s="39">
        <v>450</v>
      </c>
      <c r="W277" s="39">
        <v>0</v>
      </c>
      <c r="X277" s="39">
        <v>0</v>
      </c>
      <c r="Y277" s="39">
        <v>1250</v>
      </c>
      <c r="Z277" s="39">
        <v>450</v>
      </c>
      <c r="AA277" s="39">
        <v>0</v>
      </c>
      <c r="AB277" s="39">
        <v>0</v>
      </c>
      <c r="AC277" s="39">
        <v>0</v>
      </c>
      <c r="AD277" s="39">
        <v>0</v>
      </c>
      <c r="AE277" s="39">
        <v>0</v>
      </c>
      <c r="AF277" s="39">
        <v>0</v>
      </c>
      <c r="AG277" s="39">
        <v>0</v>
      </c>
      <c r="AH277" s="39">
        <v>0</v>
      </c>
      <c r="AI277" s="39">
        <v>0</v>
      </c>
      <c r="AJ277" s="39">
        <f>'Row data'!$S277+'Row data'!$T277+'Row data'!$U277+'Row data'!$W277+'Row data'!$X277+'Row data'!$Y277+'Row data'!$Z277+'Row data'!$AA277+'Row data'!$AB277+'Row data'!$AD277-'Row data'!$AC277-'Row data'!$AE277-'Row data'!$AF277-'Row data'!$AG277-'Row data'!$AH277-'Row data'!$AI277</f>
        <v>13514</v>
      </c>
      <c r="AK277" s="39">
        <v>13514</v>
      </c>
      <c r="AL277" s="39">
        <v>0</v>
      </c>
    </row>
    <row r="278" spans="1:38" x14ac:dyDescent="0.3">
      <c r="A278" s="40">
        <v>277</v>
      </c>
      <c r="B278" s="35" t="s">
        <v>69</v>
      </c>
      <c r="C278" s="35">
        <v>8704011</v>
      </c>
      <c r="D278" s="36" t="s">
        <v>626</v>
      </c>
      <c r="E278" s="35" t="s">
        <v>38</v>
      </c>
      <c r="F278" s="35" t="s">
        <v>627</v>
      </c>
      <c r="G278" s="35" t="s">
        <v>628</v>
      </c>
      <c r="H278" s="37"/>
      <c r="I278" s="38">
        <v>42075</v>
      </c>
      <c r="J278" s="38"/>
      <c r="K278" s="17"/>
      <c r="L278" s="38">
        <v>26703</v>
      </c>
      <c r="M278" s="35">
        <f ca="1">IF('Row data'!$J278="",DATEDIF('Row data'!$L278,TODAY(),"y"),"0")</f>
        <v>53</v>
      </c>
      <c r="N278" s="35" t="s">
        <v>42</v>
      </c>
      <c r="O278" s="35" t="s">
        <v>553</v>
      </c>
      <c r="P278" s="39" t="s">
        <v>554</v>
      </c>
      <c r="Q278" s="39">
        <v>14549</v>
      </c>
      <c r="R278" s="39">
        <v>14549</v>
      </c>
      <c r="S278" s="39">
        <v>8066</v>
      </c>
      <c r="T278" s="39">
        <v>4033</v>
      </c>
      <c r="U278" s="39">
        <v>750</v>
      </c>
      <c r="V278" s="39">
        <v>450</v>
      </c>
      <c r="W278" s="39">
        <v>0</v>
      </c>
      <c r="X278" s="39">
        <v>0</v>
      </c>
      <c r="Y278" s="39">
        <v>1250</v>
      </c>
      <c r="Z278" s="39">
        <v>450</v>
      </c>
      <c r="AA278" s="39">
        <v>350</v>
      </c>
      <c r="AB278" s="39">
        <v>0</v>
      </c>
      <c r="AC278" s="39">
        <v>0</v>
      </c>
      <c r="AD278" s="39">
        <v>0</v>
      </c>
      <c r="AE278" s="39">
        <v>0</v>
      </c>
      <c r="AF278" s="39">
        <v>0</v>
      </c>
      <c r="AG278" s="39">
        <v>0</v>
      </c>
      <c r="AH278" s="39">
        <v>0</v>
      </c>
      <c r="AI278" s="39">
        <v>0</v>
      </c>
      <c r="AJ278" s="39">
        <f>'Row data'!$S278+'Row data'!$T278+'Row data'!$U278+'Row data'!$W278+'Row data'!$X278+'Row data'!$Y278+'Row data'!$Z278+'Row data'!$AA278+'Row data'!$AB278+'Row data'!$AD278-'Row data'!$AC278-'Row data'!$AE278-'Row data'!$AF278-'Row data'!$AG278-'Row data'!$AH278-'Row data'!$AI278</f>
        <v>14899</v>
      </c>
      <c r="AK278" s="39">
        <v>14899</v>
      </c>
      <c r="AL278" s="39">
        <v>0</v>
      </c>
    </row>
    <row r="279" spans="1:38" x14ac:dyDescent="0.3">
      <c r="A279" s="40">
        <v>278</v>
      </c>
      <c r="B279" s="35" t="s">
        <v>69</v>
      </c>
      <c r="C279" s="35">
        <v>5752773</v>
      </c>
      <c r="D279" s="36" t="s">
        <v>629</v>
      </c>
      <c r="E279" s="35" t="s">
        <v>38</v>
      </c>
      <c r="F279" s="35" t="s">
        <v>627</v>
      </c>
      <c r="G279" s="35" t="s">
        <v>50</v>
      </c>
      <c r="H279" s="37"/>
      <c r="I279" s="38">
        <v>44691</v>
      </c>
      <c r="J279" s="38"/>
      <c r="K279" s="17"/>
      <c r="L279" s="38">
        <v>33970</v>
      </c>
      <c r="M279" s="35">
        <f ca="1">IF('Row data'!$J279="",DATEDIF('Row data'!$L279,TODAY(),"y"),"0")</f>
        <v>33</v>
      </c>
      <c r="N279" s="35" t="s">
        <v>42</v>
      </c>
      <c r="O279" s="35" t="s">
        <v>553</v>
      </c>
      <c r="P279" s="39" t="s">
        <v>554</v>
      </c>
      <c r="Q279" s="39">
        <v>13405</v>
      </c>
      <c r="R279" s="39">
        <v>13405</v>
      </c>
      <c r="S279" s="39">
        <v>7303</v>
      </c>
      <c r="T279" s="39">
        <v>3652</v>
      </c>
      <c r="U279" s="39">
        <v>750</v>
      </c>
      <c r="V279" s="39">
        <v>450</v>
      </c>
      <c r="W279" s="39">
        <v>0</v>
      </c>
      <c r="X279" s="39">
        <v>0</v>
      </c>
      <c r="Y279" s="39">
        <v>1250</v>
      </c>
      <c r="Z279" s="39">
        <v>450</v>
      </c>
      <c r="AA279" s="39">
        <v>0</v>
      </c>
      <c r="AB279" s="39">
        <v>0</v>
      </c>
      <c r="AC279" s="39">
        <v>0</v>
      </c>
      <c r="AD279" s="39">
        <v>0</v>
      </c>
      <c r="AE279" s="39">
        <v>0</v>
      </c>
      <c r="AF279" s="39">
        <v>0</v>
      </c>
      <c r="AG279" s="39">
        <v>0</v>
      </c>
      <c r="AH279" s="39">
        <v>0</v>
      </c>
      <c r="AI279" s="39">
        <v>0</v>
      </c>
      <c r="AJ279" s="39">
        <f>'Row data'!$S279+'Row data'!$T279+'Row data'!$U279+'Row data'!$W279+'Row data'!$X279+'Row data'!$Y279+'Row data'!$Z279+'Row data'!$AA279+'Row data'!$AB279+'Row data'!$AD279-'Row data'!$AC279-'Row data'!$AE279-'Row data'!$AF279-'Row data'!$AG279-'Row data'!$AH279-'Row data'!$AI279</f>
        <v>13405</v>
      </c>
      <c r="AK279" s="39">
        <v>13405</v>
      </c>
      <c r="AL279" s="39">
        <v>0</v>
      </c>
    </row>
    <row r="280" spans="1:38" x14ac:dyDescent="0.3">
      <c r="A280" s="40">
        <v>279</v>
      </c>
      <c r="B280" s="35" t="s">
        <v>69</v>
      </c>
      <c r="C280" s="35">
        <v>8425840</v>
      </c>
      <c r="D280" s="36" t="s">
        <v>583</v>
      </c>
      <c r="E280" s="35" t="s">
        <v>38</v>
      </c>
      <c r="F280" s="35" t="s">
        <v>627</v>
      </c>
      <c r="G280" s="35" t="s">
        <v>50</v>
      </c>
      <c r="H280" s="37"/>
      <c r="I280" s="38">
        <v>44535</v>
      </c>
      <c r="J280" s="38"/>
      <c r="K280" s="17"/>
      <c r="L280" s="38">
        <v>36918</v>
      </c>
      <c r="M280" s="35">
        <f ca="1">IF('Row data'!$J280="",DATEDIF('Row data'!$L280,TODAY(),"y"),"0")</f>
        <v>25</v>
      </c>
      <c r="N280" s="35" t="s">
        <v>42</v>
      </c>
      <c r="O280" s="35" t="s">
        <v>553</v>
      </c>
      <c r="P280" s="39" t="s">
        <v>554</v>
      </c>
      <c r="Q280" s="39">
        <v>13405</v>
      </c>
      <c r="R280" s="39">
        <v>13405</v>
      </c>
      <c r="S280" s="39">
        <v>7303</v>
      </c>
      <c r="T280" s="39">
        <v>3652</v>
      </c>
      <c r="U280" s="39">
        <v>750</v>
      </c>
      <c r="V280" s="39">
        <v>450</v>
      </c>
      <c r="W280" s="39">
        <v>0</v>
      </c>
      <c r="X280" s="39">
        <v>0</v>
      </c>
      <c r="Y280" s="39">
        <v>1250</v>
      </c>
      <c r="Z280" s="39">
        <v>450</v>
      </c>
      <c r="AA280" s="39">
        <v>350</v>
      </c>
      <c r="AB280" s="39">
        <v>0</v>
      </c>
      <c r="AC280" s="39">
        <v>0</v>
      </c>
      <c r="AD280" s="39">
        <v>0</v>
      </c>
      <c r="AE280" s="39">
        <v>0</v>
      </c>
      <c r="AF280" s="39">
        <v>0</v>
      </c>
      <c r="AG280" s="39">
        <v>0</v>
      </c>
      <c r="AH280" s="39">
        <v>0</v>
      </c>
      <c r="AI280" s="39">
        <v>0</v>
      </c>
      <c r="AJ280" s="39">
        <f>'Row data'!$S280+'Row data'!$T280+'Row data'!$U280+'Row data'!$W280+'Row data'!$X280+'Row data'!$Y280+'Row data'!$Z280+'Row data'!$AA280+'Row data'!$AB280+'Row data'!$AD280-'Row data'!$AC280-'Row data'!$AE280-'Row data'!$AF280-'Row data'!$AG280-'Row data'!$AH280-'Row data'!$AI280</f>
        <v>13755</v>
      </c>
      <c r="AK280" s="39">
        <v>13755</v>
      </c>
      <c r="AL280" s="39">
        <v>0</v>
      </c>
    </row>
    <row r="281" spans="1:38" x14ac:dyDescent="0.3">
      <c r="A281" s="40">
        <v>280</v>
      </c>
      <c r="B281" s="35" t="s">
        <v>69</v>
      </c>
      <c r="C281" s="35">
        <v>5305084</v>
      </c>
      <c r="D281" s="36" t="s">
        <v>630</v>
      </c>
      <c r="E281" s="35" t="s">
        <v>38</v>
      </c>
      <c r="F281" s="35" t="s">
        <v>627</v>
      </c>
      <c r="G281" s="35" t="s">
        <v>50</v>
      </c>
      <c r="H281" s="37"/>
      <c r="I281" s="38">
        <v>44608</v>
      </c>
      <c r="J281" s="38"/>
      <c r="K281" s="17"/>
      <c r="L281" s="38">
        <v>24874</v>
      </c>
      <c r="M281" s="35">
        <f ca="1">IF('Row data'!$J281="",DATEDIF('Row data'!$L281,TODAY(),"y"),"0")</f>
        <v>58</v>
      </c>
      <c r="N281" s="35" t="s">
        <v>42</v>
      </c>
      <c r="O281" s="35" t="s">
        <v>553</v>
      </c>
      <c r="P281" s="39" t="s">
        <v>554</v>
      </c>
      <c r="Q281" s="39">
        <v>13405</v>
      </c>
      <c r="R281" s="39">
        <v>13405</v>
      </c>
      <c r="S281" s="39">
        <v>7303</v>
      </c>
      <c r="T281" s="39">
        <v>3652</v>
      </c>
      <c r="U281" s="39">
        <v>750</v>
      </c>
      <c r="V281" s="39">
        <v>450</v>
      </c>
      <c r="W281" s="39">
        <v>0</v>
      </c>
      <c r="X281" s="39">
        <v>0</v>
      </c>
      <c r="Y281" s="39">
        <v>1250</v>
      </c>
      <c r="Z281" s="39">
        <v>450</v>
      </c>
      <c r="AA281" s="39">
        <v>0</v>
      </c>
      <c r="AB281" s="39">
        <v>0</v>
      </c>
      <c r="AC281" s="39">
        <v>0</v>
      </c>
      <c r="AD281" s="39">
        <v>0</v>
      </c>
      <c r="AE281" s="39">
        <v>0</v>
      </c>
      <c r="AF281" s="39">
        <v>0</v>
      </c>
      <c r="AG281" s="39">
        <v>0</v>
      </c>
      <c r="AH281" s="39">
        <v>0</v>
      </c>
      <c r="AI281" s="39">
        <v>0</v>
      </c>
      <c r="AJ281" s="39">
        <f>'Row data'!$S281+'Row data'!$T281+'Row data'!$U281+'Row data'!$W281+'Row data'!$X281+'Row data'!$Y281+'Row data'!$Z281+'Row data'!$AA281+'Row data'!$AB281+'Row data'!$AD281-'Row data'!$AC281-'Row data'!$AE281-'Row data'!$AF281-'Row data'!$AG281-'Row data'!$AH281-'Row data'!$AI281</f>
        <v>13405</v>
      </c>
      <c r="AK281" s="39">
        <v>13405</v>
      </c>
      <c r="AL281" s="39">
        <v>0</v>
      </c>
    </row>
    <row r="282" spans="1:38" x14ac:dyDescent="0.3">
      <c r="A282" s="40">
        <v>281</v>
      </c>
      <c r="B282" s="35" t="s">
        <v>69</v>
      </c>
      <c r="C282" s="35">
        <v>7585242</v>
      </c>
      <c r="D282" s="36" t="s">
        <v>631</v>
      </c>
      <c r="E282" s="35" t="s">
        <v>38</v>
      </c>
      <c r="F282" s="35" t="s">
        <v>150</v>
      </c>
      <c r="G282" s="35" t="s">
        <v>50</v>
      </c>
      <c r="H282" s="37"/>
      <c r="I282" s="38">
        <v>44369</v>
      </c>
      <c r="J282" s="38"/>
      <c r="K282" s="17"/>
      <c r="L282" s="38">
        <v>34699</v>
      </c>
      <c r="M282" s="35">
        <f ca="1">IF('Row data'!$J282="",DATEDIF('Row data'!$L282,TODAY(),"y"),"0")</f>
        <v>31</v>
      </c>
      <c r="N282" s="35" t="s">
        <v>75</v>
      </c>
      <c r="O282" s="35" t="s">
        <v>553</v>
      </c>
      <c r="P282" s="39" t="s">
        <v>554</v>
      </c>
      <c r="Q282" s="39">
        <v>13405</v>
      </c>
      <c r="R282" s="39">
        <v>13405</v>
      </c>
      <c r="S282" s="39">
        <v>7303</v>
      </c>
      <c r="T282" s="39">
        <v>3652</v>
      </c>
      <c r="U282" s="39">
        <v>750</v>
      </c>
      <c r="V282" s="39">
        <v>450</v>
      </c>
      <c r="W282" s="39">
        <v>0</v>
      </c>
      <c r="X282" s="39">
        <v>0</v>
      </c>
      <c r="Y282" s="39">
        <v>1250</v>
      </c>
      <c r="Z282" s="39">
        <v>450</v>
      </c>
      <c r="AA282" s="39">
        <v>0</v>
      </c>
      <c r="AB282" s="39">
        <v>0</v>
      </c>
      <c r="AC282" s="39">
        <v>0</v>
      </c>
      <c r="AD282" s="39">
        <v>0</v>
      </c>
      <c r="AE282" s="39">
        <v>0</v>
      </c>
      <c r="AF282" s="39">
        <v>0</v>
      </c>
      <c r="AG282" s="39">
        <v>0</v>
      </c>
      <c r="AH282" s="39">
        <v>0</v>
      </c>
      <c r="AI282" s="39">
        <v>0</v>
      </c>
      <c r="AJ282" s="39">
        <f>'Row data'!$S282+'Row data'!$T282+'Row data'!$U282+'Row data'!$W282+'Row data'!$X282+'Row data'!$Y282+'Row data'!$Z282+'Row data'!$AA282+'Row data'!$AB282+'Row data'!$AD282-'Row data'!$AC282-'Row data'!$AE282-'Row data'!$AF282-'Row data'!$AG282-'Row data'!$AH282-'Row data'!$AI282</f>
        <v>13405</v>
      </c>
      <c r="AK282" s="39">
        <v>13405</v>
      </c>
      <c r="AL282" s="39">
        <v>0</v>
      </c>
    </row>
    <row r="283" spans="1:38" x14ac:dyDescent="0.3">
      <c r="A283" s="40">
        <v>282</v>
      </c>
      <c r="B283" s="35" t="s">
        <v>69</v>
      </c>
      <c r="C283" s="35">
        <v>9398915</v>
      </c>
      <c r="D283" s="36" t="s">
        <v>632</v>
      </c>
      <c r="E283" s="35" t="s">
        <v>38</v>
      </c>
      <c r="F283" s="35" t="s">
        <v>150</v>
      </c>
      <c r="G283" s="35" t="s">
        <v>633</v>
      </c>
      <c r="H283" s="37"/>
      <c r="I283" s="38">
        <v>43362</v>
      </c>
      <c r="J283" s="38">
        <v>44617</v>
      </c>
      <c r="K283" s="17">
        <f>YEAR('Row data'!$J283)</f>
        <v>2022</v>
      </c>
      <c r="L283" s="38">
        <v>33659</v>
      </c>
      <c r="M283" s="35" t="str">
        <f ca="1">IF('Row data'!$J283="",DATEDIF('Row data'!$L283,TODAY(),"y"),"0")</f>
        <v>0</v>
      </c>
      <c r="N283" s="35" t="s">
        <v>75</v>
      </c>
      <c r="O283" s="35" t="s">
        <v>553</v>
      </c>
      <c r="P283" s="39" t="s">
        <v>554</v>
      </c>
      <c r="Q283" s="39">
        <v>13405</v>
      </c>
      <c r="R283" s="39">
        <v>13405</v>
      </c>
      <c r="S283" s="39">
        <v>7303</v>
      </c>
      <c r="T283" s="39">
        <v>3652</v>
      </c>
      <c r="U283" s="39">
        <v>750</v>
      </c>
      <c r="V283" s="39">
        <v>450</v>
      </c>
      <c r="W283" s="39">
        <v>0</v>
      </c>
      <c r="X283" s="39">
        <v>0</v>
      </c>
      <c r="Y283" s="39">
        <v>1250</v>
      </c>
      <c r="Z283" s="39">
        <v>450</v>
      </c>
      <c r="AA283" s="39">
        <v>250</v>
      </c>
      <c r="AB283" s="39">
        <v>0</v>
      </c>
      <c r="AC283" s="39">
        <v>0</v>
      </c>
      <c r="AD283" s="39">
        <v>0</v>
      </c>
      <c r="AE283" s="39">
        <v>0</v>
      </c>
      <c r="AF283" s="39">
        <v>0</v>
      </c>
      <c r="AG283" s="39">
        <v>0</v>
      </c>
      <c r="AH283" s="39">
        <v>0</v>
      </c>
      <c r="AI283" s="39">
        <v>0</v>
      </c>
      <c r="AJ283" s="39">
        <f>'Row data'!$S283+'Row data'!$T283+'Row data'!$U283+'Row data'!$W283+'Row data'!$X283+'Row data'!$Y283+'Row data'!$Z283+'Row data'!$AA283+'Row data'!$AB283+'Row data'!$AD283-'Row data'!$AC283-'Row data'!$AE283-'Row data'!$AF283-'Row data'!$AG283-'Row data'!$AH283-'Row data'!$AI283</f>
        <v>13655</v>
      </c>
      <c r="AK283" s="39">
        <v>13655</v>
      </c>
      <c r="AL283" s="39">
        <v>0</v>
      </c>
    </row>
    <row r="284" spans="1:38" x14ac:dyDescent="0.3">
      <c r="A284" s="40">
        <v>283</v>
      </c>
      <c r="B284" s="35" t="s">
        <v>69</v>
      </c>
      <c r="C284" s="35">
        <v>7542644</v>
      </c>
      <c r="D284" s="36" t="s">
        <v>583</v>
      </c>
      <c r="E284" s="35" t="s">
        <v>38</v>
      </c>
      <c r="F284" s="35" t="s">
        <v>150</v>
      </c>
      <c r="G284" s="35" t="s">
        <v>634</v>
      </c>
      <c r="H284" s="37"/>
      <c r="I284" s="38">
        <v>39936</v>
      </c>
      <c r="J284" s="38"/>
      <c r="K284" s="17"/>
      <c r="L284" s="38">
        <v>26408</v>
      </c>
      <c r="M284" s="35">
        <f ca="1">IF('Row data'!$J284="",DATEDIF('Row data'!$L284,TODAY(),"y"),"0")</f>
        <v>54</v>
      </c>
      <c r="N284" s="35" t="s">
        <v>75</v>
      </c>
      <c r="O284" s="35" t="s">
        <v>553</v>
      </c>
      <c r="P284" s="39" t="s">
        <v>554</v>
      </c>
      <c r="Q284" s="39">
        <v>15803</v>
      </c>
      <c r="R284" s="39">
        <v>15803</v>
      </c>
      <c r="S284" s="39">
        <v>8902</v>
      </c>
      <c r="T284" s="39">
        <v>4451</v>
      </c>
      <c r="U284" s="39">
        <v>750</v>
      </c>
      <c r="V284" s="39">
        <v>450</v>
      </c>
      <c r="W284" s="39">
        <v>0</v>
      </c>
      <c r="X284" s="39">
        <v>0</v>
      </c>
      <c r="Y284" s="39">
        <v>1250</v>
      </c>
      <c r="Z284" s="39">
        <v>450</v>
      </c>
      <c r="AA284" s="39">
        <v>350</v>
      </c>
      <c r="AB284" s="39">
        <v>0</v>
      </c>
      <c r="AC284" s="39">
        <v>0</v>
      </c>
      <c r="AD284" s="39">
        <v>0</v>
      </c>
      <c r="AE284" s="39">
        <v>0</v>
      </c>
      <c r="AF284" s="39">
        <v>0</v>
      </c>
      <c r="AG284" s="39">
        <v>0</v>
      </c>
      <c r="AH284" s="39">
        <v>0</v>
      </c>
      <c r="AI284" s="39">
        <v>0</v>
      </c>
      <c r="AJ284" s="39">
        <f>'Row data'!$S284+'Row data'!$T284+'Row data'!$U284+'Row data'!$W284+'Row data'!$X284+'Row data'!$Y284+'Row data'!$Z284+'Row data'!$AA284+'Row data'!$AB284+'Row data'!$AD284-'Row data'!$AC284-'Row data'!$AE284-'Row data'!$AF284-'Row data'!$AG284-'Row data'!$AH284-'Row data'!$AI284</f>
        <v>16153</v>
      </c>
      <c r="AK284" s="39">
        <v>16153</v>
      </c>
      <c r="AL284" s="39">
        <v>0</v>
      </c>
    </row>
    <row r="285" spans="1:38" x14ac:dyDescent="0.3">
      <c r="A285" s="40">
        <v>284</v>
      </c>
      <c r="B285" s="35" t="s">
        <v>69</v>
      </c>
      <c r="C285" s="35">
        <v>7623029</v>
      </c>
      <c r="D285" s="36" t="s">
        <v>635</v>
      </c>
      <c r="E285" s="35" t="s">
        <v>38</v>
      </c>
      <c r="F285" s="35" t="s">
        <v>150</v>
      </c>
      <c r="G285" s="35" t="s">
        <v>164</v>
      </c>
      <c r="H285" s="37"/>
      <c r="I285" s="38">
        <v>44378</v>
      </c>
      <c r="J285" s="38"/>
      <c r="K285" s="17"/>
      <c r="L285" s="38">
        <v>35431</v>
      </c>
      <c r="M285" s="35">
        <f ca="1">IF('Row data'!$J285="",DATEDIF('Row data'!$L285,TODAY(),"y"),"0")</f>
        <v>29</v>
      </c>
      <c r="N285" s="35" t="s">
        <v>75</v>
      </c>
      <c r="O285" s="35" t="s">
        <v>553</v>
      </c>
      <c r="P285" s="39" t="s">
        <v>554</v>
      </c>
      <c r="Q285" s="39">
        <v>15337</v>
      </c>
      <c r="R285" s="39">
        <v>15337</v>
      </c>
      <c r="S285" s="39">
        <v>8591</v>
      </c>
      <c r="T285" s="39">
        <v>4296</v>
      </c>
      <c r="U285" s="39">
        <v>750</v>
      </c>
      <c r="V285" s="39">
        <v>450</v>
      </c>
      <c r="W285" s="39">
        <v>0</v>
      </c>
      <c r="X285" s="39">
        <v>0</v>
      </c>
      <c r="Y285" s="39">
        <v>1250</v>
      </c>
      <c r="Z285" s="39">
        <v>450</v>
      </c>
      <c r="AA285" s="39">
        <v>350</v>
      </c>
      <c r="AB285" s="39">
        <v>0</v>
      </c>
      <c r="AC285" s="39">
        <v>0</v>
      </c>
      <c r="AD285" s="39">
        <v>0</v>
      </c>
      <c r="AE285" s="39">
        <v>0</v>
      </c>
      <c r="AF285" s="39">
        <v>0</v>
      </c>
      <c r="AG285" s="39">
        <v>0</v>
      </c>
      <c r="AH285" s="39">
        <v>0</v>
      </c>
      <c r="AI285" s="39">
        <v>0</v>
      </c>
      <c r="AJ285" s="39">
        <f>'Row data'!$S285+'Row data'!$T285+'Row data'!$U285+'Row data'!$W285+'Row data'!$X285+'Row data'!$Y285+'Row data'!$Z285+'Row data'!$AA285+'Row data'!$AB285+'Row data'!$AD285-'Row data'!$AC285-'Row data'!$AE285-'Row data'!$AF285-'Row data'!$AG285-'Row data'!$AH285-'Row data'!$AI285</f>
        <v>15687</v>
      </c>
      <c r="AK285" s="39">
        <v>15687</v>
      </c>
      <c r="AL285" s="39">
        <v>0</v>
      </c>
    </row>
    <row r="286" spans="1:38" x14ac:dyDescent="0.3">
      <c r="A286" s="40">
        <v>285</v>
      </c>
      <c r="B286" s="35" t="s">
        <v>69</v>
      </c>
      <c r="C286" s="35">
        <v>5668815</v>
      </c>
      <c r="D286" s="36" t="s">
        <v>636</v>
      </c>
      <c r="E286" s="35" t="s">
        <v>38</v>
      </c>
      <c r="F286" s="35" t="s">
        <v>150</v>
      </c>
      <c r="G286" s="35" t="s">
        <v>164</v>
      </c>
      <c r="H286" s="37"/>
      <c r="I286" s="38">
        <v>44378</v>
      </c>
      <c r="J286" s="38"/>
      <c r="K286" s="17"/>
      <c r="L286" s="38">
        <v>31152</v>
      </c>
      <c r="M286" s="35">
        <f ca="1">IF('Row data'!$J286="",DATEDIF('Row data'!$L286,TODAY(),"y"),"0")</f>
        <v>41</v>
      </c>
      <c r="N286" s="35" t="s">
        <v>75</v>
      </c>
      <c r="O286" s="35" t="s">
        <v>553</v>
      </c>
      <c r="P286" s="39" t="s">
        <v>554</v>
      </c>
      <c r="Q286" s="39">
        <v>15337</v>
      </c>
      <c r="R286" s="39">
        <v>15337</v>
      </c>
      <c r="S286" s="39">
        <v>8591</v>
      </c>
      <c r="T286" s="39">
        <v>4296</v>
      </c>
      <c r="U286" s="39">
        <v>750</v>
      </c>
      <c r="V286" s="39">
        <v>450</v>
      </c>
      <c r="W286" s="39">
        <v>0</v>
      </c>
      <c r="X286" s="39">
        <v>0</v>
      </c>
      <c r="Y286" s="39">
        <v>1250</v>
      </c>
      <c r="Z286" s="39">
        <v>450</v>
      </c>
      <c r="AA286" s="39">
        <v>250</v>
      </c>
      <c r="AB286" s="39">
        <v>0</v>
      </c>
      <c r="AC286" s="39">
        <v>0</v>
      </c>
      <c r="AD286" s="39">
        <v>0</v>
      </c>
      <c r="AE286" s="39">
        <v>0</v>
      </c>
      <c r="AF286" s="39">
        <v>0</v>
      </c>
      <c r="AG286" s="39">
        <v>0</v>
      </c>
      <c r="AH286" s="39">
        <v>0</v>
      </c>
      <c r="AI286" s="39">
        <v>0</v>
      </c>
      <c r="AJ286" s="39">
        <f>'Row data'!$S286+'Row data'!$T286+'Row data'!$U286+'Row data'!$W286+'Row data'!$X286+'Row data'!$Y286+'Row data'!$Z286+'Row data'!$AA286+'Row data'!$AB286+'Row data'!$AD286-'Row data'!$AC286-'Row data'!$AE286-'Row data'!$AF286-'Row data'!$AG286-'Row data'!$AH286-'Row data'!$AI286</f>
        <v>15587</v>
      </c>
      <c r="AK286" s="39">
        <v>15587</v>
      </c>
      <c r="AL286" s="39">
        <v>0</v>
      </c>
    </row>
    <row r="287" spans="1:38" x14ac:dyDescent="0.3">
      <c r="A287" s="40">
        <v>286</v>
      </c>
      <c r="B287" s="35" t="s">
        <v>69</v>
      </c>
      <c r="C287" s="35">
        <v>5597995</v>
      </c>
      <c r="D287" s="36" t="s">
        <v>637</v>
      </c>
      <c r="E287" s="35" t="s">
        <v>38</v>
      </c>
      <c r="F287" s="35" t="s">
        <v>150</v>
      </c>
      <c r="G287" s="35" t="s">
        <v>185</v>
      </c>
      <c r="H287" s="37"/>
      <c r="I287" s="38">
        <v>44378</v>
      </c>
      <c r="J287" s="38"/>
      <c r="K287" s="17"/>
      <c r="L287" s="38">
        <v>34700</v>
      </c>
      <c r="M287" s="35">
        <f ca="1">IF('Row data'!$J287="",DATEDIF('Row data'!$L287,TODAY(),"y"),"0")</f>
        <v>31</v>
      </c>
      <c r="N287" s="35" t="s">
        <v>75</v>
      </c>
      <c r="O287" s="35" t="s">
        <v>553</v>
      </c>
      <c r="P287" s="39" t="s">
        <v>554</v>
      </c>
      <c r="Q287" s="39">
        <v>14549</v>
      </c>
      <c r="R287" s="39">
        <v>14549</v>
      </c>
      <c r="S287" s="39">
        <v>8066</v>
      </c>
      <c r="T287" s="39">
        <v>4033</v>
      </c>
      <c r="U287" s="39">
        <v>750</v>
      </c>
      <c r="V287" s="39">
        <v>450</v>
      </c>
      <c r="W287" s="39">
        <v>0</v>
      </c>
      <c r="X287" s="39">
        <v>0</v>
      </c>
      <c r="Y287" s="39">
        <v>1250</v>
      </c>
      <c r="Z287" s="39">
        <v>450</v>
      </c>
      <c r="AA287" s="39">
        <v>0</v>
      </c>
      <c r="AB287" s="39">
        <v>0</v>
      </c>
      <c r="AC287" s="39">
        <v>0</v>
      </c>
      <c r="AD287" s="39">
        <v>0</v>
      </c>
      <c r="AE287" s="39">
        <v>0</v>
      </c>
      <c r="AF287" s="39">
        <v>0</v>
      </c>
      <c r="AG287" s="39">
        <v>0</v>
      </c>
      <c r="AH287" s="39">
        <v>0</v>
      </c>
      <c r="AI287" s="39">
        <v>0</v>
      </c>
      <c r="AJ287" s="39">
        <f>'Row data'!$S287+'Row data'!$T287+'Row data'!$U287+'Row data'!$W287+'Row data'!$X287+'Row data'!$Y287+'Row data'!$Z287+'Row data'!$AA287+'Row data'!$AB287+'Row data'!$AD287-'Row data'!$AC287-'Row data'!$AE287-'Row data'!$AF287-'Row data'!$AG287-'Row data'!$AH287-'Row data'!$AI287</f>
        <v>14549</v>
      </c>
      <c r="AK287" s="39">
        <v>14549</v>
      </c>
      <c r="AL287" s="39">
        <v>0</v>
      </c>
    </row>
    <row r="288" spans="1:38" x14ac:dyDescent="0.3">
      <c r="A288" s="40">
        <v>287</v>
      </c>
      <c r="B288" s="35" t="s">
        <v>69</v>
      </c>
      <c r="C288" s="35">
        <v>6304692</v>
      </c>
      <c r="D288" s="36" t="s">
        <v>638</v>
      </c>
      <c r="E288" s="35" t="s">
        <v>38</v>
      </c>
      <c r="F288" s="35" t="s">
        <v>150</v>
      </c>
      <c r="G288" s="35" t="s">
        <v>50</v>
      </c>
      <c r="H288" s="37"/>
      <c r="I288" s="38">
        <v>44380</v>
      </c>
      <c r="J288" s="38">
        <v>44565</v>
      </c>
      <c r="K288" s="17">
        <f>YEAR('Row data'!$J288)</f>
        <v>2022</v>
      </c>
      <c r="L288" s="38">
        <v>32146</v>
      </c>
      <c r="M288" s="35" t="str">
        <f ca="1">IF('Row data'!$J288="",DATEDIF('Row data'!$L288,TODAY(),"y"),"0")</f>
        <v>0</v>
      </c>
      <c r="N288" s="35" t="s">
        <v>75</v>
      </c>
      <c r="O288" s="35" t="s">
        <v>553</v>
      </c>
      <c r="P288" s="39" t="s">
        <v>554</v>
      </c>
      <c r="Q288" s="39">
        <v>13405</v>
      </c>
      <c r="R288" s="39">
        <v>13405</v>
      </c>
      <c r="S288" s="39">
        <v>7303</v>
      </c>
      <c r="T288" s="39">
        <v>3652</v>
      </c>
      <c r="U288" s="39">
        <v>750</v>
      </c>
      <c r="V288" s="39">
        <v>450</v>
      </c>
      <c r="W288" s="39">
        <v>0</v>
      </c>
      <c r="X288" s="39">
        <v>0</v>
      </c>
      <c r="Y288" s="39">
        <v>1250</v>
      </c>
      <c r="Z288" s="39">
        <v>450</v>
      </c>
      <c r="AA288" s="39">
        <v>350</v>
      </c>
      <c r="AB288" s="39">
        <v>0</v>
      </c>
      <c r="AC288" s="39">
        <v>0</v>
      </c>
      <c r="AD288" s="39">
        <v>0</v>
      </c>
      <c r="AE288" s="39">
        <v>0</v>
      </c>
      <c r="AF288" s="39">
        <v>0</v>
      </c>
      <c r="AG288" s="39">
        <v>0</v>
      </c>
      <c r="AH288" s="39">
        <v>0</v>
      </c>
      <c r="AI288" s="39">
        <v>0</v>
      </c>
      <c r="AJ288" s="39">
        <f>'Row data'!$S288+'Row data'!$T288+'Row data'!$U288+'Row data'!$W288+'Row data'!$X288+'Row data'!$Y288+'Row data'!$Z288+'Row data'!$AA288+'Row data'!$AB288+'Row data'!$AD288-'Row data'!$AC288-'Row data'!$AE288-'Row data'!$AF288-'Row data'!$AG288-'Row data'!$AH288-'Row data'!$AI288</f>
        <v>13755</v>
      </c>
      <c r="AK288" s="39">
        <v>13755</v>
      </c>
      <c r="AL288" s="39">
        <v>0</v>
      </c>
    </row>
    <row r="289" spans="1:38" x14ac:dyDescent="0.3">
      <c r="A289" s="40">
        <v>288</v>
      </c>
      <c r="B289" s="35" t="s">
        <v>69</v>
      </c>
      <c r="C289" s="35">
        <v>8377692</v>
      </c>
      <c r="D289" s="36" t="s">
        <v>639</v>
      </c>
      <c r="E289" s="35" t="s">
        <v>38</v>
      </c>
      <c r="F289" s="35" t="s">
        <v>150</v>
      </c>
      <c r="G289" s="35" t="s">
        <v>164</v>
      </c>
      <c r="H289" s="37"/>
      <c r="I289" s="38">
        <v>44371</v>
      </c>
      <c r="J289" s="38"/>
      <c r="K289" s="17"/>
      <c r="L289" s="38">
        <v>32128</v>
      </c>
      <c r="M289" s="35">
        <f ca="1">IF('Row data'!$J289="",DATEDIF('Row data'!$L289,TODAY(),"y"),"0")</f>
        <v>38</v>
      </c>
      <c r="N289" s="35" t="s">
        <v>75</v>
      </c>
      <c r="O289" s="35" t="s">
        <v>553</v>
      </c>
      <c r="P289" s="39" t="s">
        <v>554</v>
      </c>
      <c r="Q289" s="39">
        <v>15337</v>
      </c>
      <c r="R289" s="39">
        <v>15030</v>
      </c>
      <c r="S289" s="39">
        <v>8591</v>
      </c>
      <c r="T289" s="39">
        <v>4296</v>
      </c>
      <c r="U289" s="39">
        <v>750</v>
      </c>
      <c r="V289" s="39">
        <v>450</v>
      </c>
      <c r="W289" s="39">
        <v>0</v>
      </c>
      <c r="X289" s="39">
        <v>0</v>
      </c>
      <c r="Y289" s="39">
        <v>1250</v>
      </c>
      <c r="Z289" s="39">
        <v>450</v>
      </c>
      <c r="AA289" s="39">
        <v>0</v>
      </c>
      <c r="AB289" s="39">
        <v>0</v>
      </c>
      <c r="AC289" s="39">
        <v>0</v>
      </c>
      <c r="AD289" s="39">
        <v>0</v>
      </c>
      <c r="AE289" s="39">
        <v>307</v>
      </c>
      <c r="AF289" s="39">
        <v>0</v>
      </c>
      <c r="AG289" s="39">
        <v>0</v>
      </c>
      <c r="AH289" s="39">
        <v>0</v>
      </c>
      <c r="AI289" s="39">
        <v>0</v>
      </c>
      <c r="AJ289" s="39">
        <f>'Row data'!$S289+'Row data'!$T289+'Row data'!$U289+'Row data'!$W289+'Row data'!$X289+'Row data'!$Y289+'Row data'!$Z289+'Row data'!$AA289+'Row data'!$AB289+'Row data'!$AD289-'Row data'!$AC289-'Row data'!$AE289-'Row data'!$AF289-'Row data'!$AG289-'Row data'!$AH289-'Row data'!$AI289</f>
        <v>15030</v>
      </c>
      <c r="AK289" s="39">
        <v>15030</v>
      </c>
      <c r="AL289" s="39">
        <v>0</v>
      </c>
    </row>
    <row r="290" spans="1:38" x14ac:dyDescent="0.3">
      <c r="A290" s="40">
        <v>289</v>
      </c>
      <c r="B290" s="35" t="s">
        <v>69</v>
      </c>
      <c r="C290" s="35">
        <v>9574778</v>
      </c>
      <c r="D290" s="36" t="s">
        <v>640</v>
      </c>
      <c r="E290" s="35" t="s">
        <v>38</v>
      </c>
      <c r="F290" s="35" t="s">
        <v>150</v>
      </c>
      <c r="G290" s="35" t="s">
        <v>641</v>
      </c>
      <c r="H290" s="37"/>
      <c r="I290" s="38">
        <v>43835</v>
      </c>
      <c r="J290" s="38"/>
      <c r="K290" s="17"/>
      <c r="L290" s="38">
        <v>34117</v>
      </c>
      <c r="M290" s="35">
        <f ca="1">IF('Row data'!$J290="",DATEDIF('Row data'!$L290,TODAY(),"y"),"0")</f>
        <v>33</v>
      </c>
      <c r="N290" s="35" t="s">
        <v>42</v>
      </c>
      <c r="O290" s="35" t="s">
        <v>553</v>
      </c>
      <c r="P290" s="39" t="s">
        <v>554</v>
      </c>
      <c r="Q290" s="39">
        <v>13405</v>
      </c>
      <c r="R290" s="39">
        <v>13405</v>
      </c>
      <c r="S290" s="39">
        <v>7303</v>
      </c>
      <c r="T290" s="39">
        <v>3652</v>
      </c>
      <c r="U290" s="39">
        <v>750</v>
      </c>
      <c r="V290" s="39">
        <v>450</v>
      </c>
      <c r="W290" s="39">
        <v>0</v>
      </c>
      <c r="X290" s="39">
        <v>0</v>
      </c>
      <c r="Y290" s="39">
        <v>1250</v>
      </c>
      <c r="Z290" s="39">
        <v>450</v>
      </c>
      <c r="AA290" s="39">
        <v>250</v>
      </c>
      <c r="AB290" s="39">
        <v>0</v>
      </c>
      <c r="AC290" s="39">
        <v>0</v>
      </c>
      <c r="AD290" s="39">
        <v>0</v>
      </c>
      <c r="AE290" s="39">
        <v>0</v>
      </c>
      <c r="AF290" s="39">
        <v>0</v>
      </c>
      <c r="AG290" s="39">
        <v>0</v>
      </c>
      <c r="AH290" s="39">
        <v>0</v>
      </c>
      <c r="AI290" s="39">
        <v>0</v>
      </c>
      <c r="AJ290" s="39">
        <f>'Row data'!$S290+'Row data'!$T290+'Row data'!$U290+'Row data'!$W290+'Row data'!$X290+'Row data'!$Y290+'Row data'!$Z290+'Row data'!$AA290+'Row data'!$AB290+'Row data'!$AD290-'Row data'!$AC290-'Row data'!$AE290-'Row data'!$AF290-'Row data'!$AG290-'Row data'!$AH290-'Row data'!$AI290</f>
        <v>13655</v>
      </c>
      <c r="AK290" s="39">
        <v>13655</v>
      </c>
      <c r="AL290" s="39">
        <v>0</v>
      </c>
    </row>
    <row r="291" spans="1:38" x14ac:dyDescent="0.3">
      <c r="A291" s="40">
        <v>290</v>
      </c>
      <c r="B291" s="35" t="s">
        <v>69</v>
      </c>
      <c r="C291" s="35">
        <v>9493052</v>
      </c>
      <c r="D291" s="36" t="s">
        <v>597</v>
      </c>
      <c r="E291" s="35" t="s">
        <v>38</v>
      </c>
      <c r="F291" s="35" t="s">
        <v>150</v>
      </c>
      <c r="G291" s="35" t="s">
        <v>642</v>
      </c>
      <c r="H291" s="37"/>
      <c r="I291" s="38">
        <v>44136</v>
      </c>
      <c r="J291" s="38"/>
      <c r="K291" s="17"/>
      <c r="L291" s="38">
        <v>29157</v>
      </c>
      <c r="M291" s="35">
        <f ca="1">IF('Row data'!$J291="",DATEDIF('Row data'!$L291,TODAY(),"y"),"0")</f>
        <v>46</v>
      </c>
      <c r="N291" s="35" t="s">
        <v>42</v>
      </c>
      <c r="O291" s="35" t="s">
        <v>43</v>
      </c>
      <c r="P291" s="39" t="s">
        <v>554</v>
      </c>
      <c r="Q291" s="39">
        <v>22238</v>
      </c>
      <c r="R291" s="39">
        <v>22238</v>
      </c>
      <c r="S291" s="39">
        <v>13192</v>
      </c>
      <c r="T291" s="39">
        <v>6596</v>
      </c>
      <c r="U291" s="39">
        <v>750</v>
      </c>
      <c r="V291" s="39">
        <v>450</v>
      </c>
      <c r="W291" s="39">
        <v>0</v>
      </c>
      <c r="X291" s="39">
        <v>0</v>
      </c>
      <c r="Y291" s="39">
        <v>1250</v>
      </c>
      <c r="Z291" s="39">
        <v>450</v>
      </c>
      <c r="AA291" s="39">
        <v>0</v>
      </c>
      <c r="AB291" s="39">
        <v>0</v>
      </c>
      <c r="AC291" s="39">
        <v>0</v>
      </c>
      <c r="AD291" s="39">
        <v>0</v>
      </c>
      <c r="AE291" s="39">
        <v>0</v>
      </c>
      <c r="AF291" s="39">
        <v>0</v>
      </c>
      <c r="AG291" s="39">
        <v>0</v>
      </c>
      <c r="AH291" s="39">
        <v>0</v>
      </c>
      <c r="AI291" s="39">
        <v>0</v>
      </c>
      <c r="AJ291" s="39">
        <f>'Row data'!$S291+'Row data'!$T291+'Row data'!$U291+'Row data'!$W291+'Row data'!$X291+'Row data'!$Y291+'Row data'!$Z291+'Row data'!$AA291+'Row data'!$AB291+'Row data'!$AD291-'Row data'!$AC291-'Row data'!$AE291-'Row data'!$AF291-'Row data'!$AG291-'Row data'!$AH291-'Row data'!$AI291</f>
        <v>22238</v>
      </c>
      <c r="AK291" s="39">
        <v>22238</v>
      </c>
      <c r="AL291" s="39">
        <v>0</v>
      </c>
    </row>
    <row r="292" spans="1:38" x14ac:dyDescent="0.3">
      <c r="A292" s="40">
        <v>291</v>
      </c>
      <c r="B292" s="35" t="s">
        <v>69</v>
      </c>
      <c r="C292" s="35">
        <v>6990766</v>
      </c>
      <c r="D292" s="36" t="s">
        <v>583</v>
      </c>
      <c r="E292" s="35" t="s">
        <v>38</v>
      </c>
      <c r="F292" s="35" t="s">
        <v>150</v>
      </c>
      <c r="G292" s="35" t="s">
        <v>634</v>
      </c>
      <c r="H292" s="37"/>
      <c r="I292" s="38">
        <v>43282</v>
      </c>
      <c r="J292" s="38"/>
      <c r="K292" s="17"/>
      <c r="L292" s="38">
        <v>34426</v>
      </c>
      <c r="M292" s="35">
        <f ca="1">IF('Row data'!$J292="",DATEDIF('Row data'!$L292,TODAY(),"y"),"0")</f>
        <v>32</v>
      </c>
      <c r="N292" s="35" t="s">
        <v>75</v>
      </c>
      <c r="O292" s="35" t="s">
        <v>553</v>
      </c>
      <c r="P292" s="39" t="s">
        <v>554</v>
      </c>
      <c r="Q292" s="39">
        <v>15337</v>
      </c>
      <c r="R292" s="39">
        <v>15337</v>
      </c>
      <c r="S292" s="39">
        <v>8591</v>
      </c>
      <c r="T292" s="39">
        <v>4296</v>
      </c>
      <c r="U292" s="39">
        <v>750</v>
      </c>
      <c r="V292" s="39">
        <v>450</v>
      </c>
      <c r="W292" s="39">
        <v>0</v>
      </c>
      <c r="X292" s="39">
        <v>0</v>
      </c>
      <c r="Y292" s="39">
        <v>1250</v>
      </c>
      <c r="Z292" s="39">
        <v>450</v>
      </c>
      <c r="AA292" s="39">
        <v>350</v>
      </c>
      <c r="AB292" s="39">
        <v>0</v>
      </c>
      <c r="AC292" s="39">
        <v>0</v>
      </c>
      <c r="AD292" s="39">
        <v>0</v>
      </c>
      <c r="AE292" s="39">
        <v>0</v>
      </c>
      <c r="AF292" s="39">
        <v>0</v>
      </c>
      <c r="AG292" s="39">
        <v>0</v>
      </c>
      <c r="AH292" s="39">
        <v>0</v>
      </c>
      <c r="AI292" s="39">
        <v>0</v>
      </c>
      <c r="AJ292" s="39">
        <f>'Row data'!$S292+'Row data'!$T292+'Row data'!$U292+'Row data'!$W292+'Row data'!$X292+'Row data'!$Y292+'Row data'!$Z292+'Row data'!$AA292+'Row data'!$AB292+'Row data'!$AD292-'Row data'!$AC292-'Row data'!$AE292-'Row data'!$AF292-'Row data'!$AG292-'Row data'!$AH292-'Row data'!$AI292</f>
        <v>15687</v>
      </c>
      <c r="AK292" s="39">
        <v>15687</v>
      </c>
      <c r="AL292" s="39">
        <v>0</v>
      </c>
    </row>
    <row r="293" spans="1:38" x14ac:dyDescent="0.3">
      <c r="A293" s="40">
        <v>292</v>
      </c>
      <c r="B293" s="35" t="s">
        <v>69</v>
      </c>
      <c r="C293" s="35">
        <v>6703445</v>
      </c>
      <c r="D293" s="36" t="s">
        <v>643</v>
      </c>
      <c r="E293" s="35" t="s">
        <v>38</v>
      </c>
      <c r="F293" s="35" t="s">
        <v>150</v>
      </c>
      <c r="G293" s="35" t="s">
        <v>633</v>
      </c>
      <c r="H293" s="37"/>
      <c r="I293" s="38">
        <v>43283</v>
      </c>
      <c r="J293" s="38">
        <v>44706</v>
      </c>
      <c r="K293" s="17">
        <f>YEAR('Row data'!$J293)</f>
        <v>2022</v>
      </c>
      <c r="L293" s="38">
        <v>32288</v>
      </c>
      <c r="M293" s="35" t="str">
        <f ca="1">IF('Row data'!$J293="",DATEDIF('Row data'!$L293,TODAY(),"y"),"0")</f>
        <v>0</v>
      </c>
      <c r="N293" s="35" t="s">
        <v>75</v>
      </c>
      <c r="O293" s="35" t="s">
        <v>553</v>
      </c>
      <c r="P293" s="39" t="s">
        <v>554</v>
      </c>
      <c r="Q293" s="39">
        <v>13405</v>
      </c>
      <c r="R293" s="39">
        <v>13405</v>
      </c>
      <c r="S293" s="39">
        <v>7303</v>
      </c>
      <c r="T293" s="39">
        <v>3652</v>
      </c>
      <c r="U293" s="39">
        <v>750</v>
      </c>
      <c r="V293" s="39">
        <v>450</v>
      </c>
      <c r="W293" s="39">
        <v>0</v>
      </c>
      <c r="X293" s="39">
        <v>0</v>
      </c>
      <c r="Y293" s="39">
        <v>1250</v>
      </c>
      <c r="Z293" s="39">
        <v>450</v>
      </c>
      <c r="AA293" s="39">
        <v>350</v>
      </c>
      <c r="AB293" s="39">
        <v>0</v>
      </c>
      <c r="AC293" s="39">
        <v>0</v>
      </c>
      <c r="AD293" s="39">
        <v>0</v>
      </c>
      <c r="AE293" s="39">
        <v>0</v>
      </c>
      <c r="AF293" s="39">
        <v>0</v>
      </c>
      <c r="AG293" s="39">
        <v>0</v>
      </c>
      <c r="AH293" s="39">
        <v>0</v>
      </c>
      <c r="AI293" s="39">
        <v>0</v>
      </c>
      <c r="AJ293" s="39">
        <f>'Row data'!$S293+'Row data'!$T293+'Row data'!$U293+'Row data'!$W293+'Row data'!$X293+'Row data'!$Y293+'Row data'!$Z293+'Row data'!$AA293+'Row data'!$AB293+'Row data'!$AD293-'Row data'!$AC293-'Row data'!$AE293-'Row data'!$AF293-'Row data'!$AG293-'Row data'!$AH293-'Row data'!$AI293</f>
        <v>13755</v>
      </c>
      <c r="AK293" s="39">
        <v>13755</v>
      </c>
      <c r="AL293" s="39">
        <v>0</v>
      </c>
    </row>
    <row r="294" spans="1:38" x14ac:dyDescent="0.3">
      <c r="A294" s="40">
        <v>293</v>
      </c>
      <c r="B294" s="35" t="s">
        <v>69</v>
      </c>
      <c r="C294" s="35">
        <v>6051147</v>
      </c>
      <c r="D294" s="36" t="s">
        <v>626</v>
      </c>
      <c r="E294" s="35" t="s">
        <v>38</v>
      </c>
      <c r="F294" s="35" t="s">
        <v>150</v>
      </c>
      <c r="G294" s="35" t="s">
        <v>644</v>
      </c>
      <c r="H294" s="37"/>
      <c r="I294" s="38">
        <v>41225</v>
      </c>
      <c r="J294" s="38"/>
      <c r="K294" s="17"/>
      <c r="L294" s="38">
        <v>34063</v>
      </c>
      <c r="M294" s="35">
        <f ca="1">IF('Row data'!$J294="",DATEDIF('Row data'!$L294,TODAY(),"y"),"0")</f>
        <v>33</v>
      </c>
      <c r="N294" s="35" t="s">
        <v>42</v>
      </c>
      <c r="O294" s="35" t="s">
        <v>553</v>
      </c>
      <c r="P294" s="39" t="s">
        <v>554</v>
      </c>
      <c r="Q294" s="39">
        <v>16541</v>
      </c>
      <c r="R294" s="39">
        <v>16541</v>
      </c>
      <c r="S294" s="39">
        <v>9394</v>
      </c>
      <c r="T294" s="39">
        <v>4697</v>
      </c>
      <c r="U294" s="39">
        <v>750</v>
      </c>
      <c r="V294" s="39">
        <v>450</v>
      </c>
      <c r="W294" s="39">
        <v>0</v>
      </c>
      <c r="X294" s="39">
        <v>0</v>
      </c>
      <c r="Y294" s="39">
        <v>1250</v>
      </c>
      <c r="Z294" s="39">
        <v>450</v>
      </c>
      <c r="AA294" s="39">
        <v>0</v>
      </c>
      <c r="AB294" s="39">
        <v>0</v>
      </c>
      <c r="AC294" s="39">
        <v>0</v>
      </c>
      <c r="AD294" s="39">
        <v>0</v>
      </c>
      <c r="AE294" s="39">
        <v>0</v>
      </c>
      <c r="AF294" s="39">
        <v>0</v>
      </c>
      <c r="AG294" s="39">
        <v>0</v>
      </c>
      <c r="AH294" s="39">
        <v>0</v>
      </c>
      <c r="AI294" s="39">
        <v>0</v>
      </c>
      <c r="AJ294" s="39">
        <f>'Row data'!$S294+'Row data'!$T294+'Row data'!$U294+'Row data'!$W294+'Row data'!$X294+'Row data'!$Y294+'Row data'!$Z294+'Row data'!$AA294+'Row data'!$AB294+'Row data'!$AD294-'Row data'!$AC294-'Row data'!$AE294-'Row data'!$AF294-'Row data'!$AG294-'Row data'!$AH294-'Row data'!$AI294</f>
        <v>16541</v>
      </c>
      <c r="AK294" s="39">
        <v>16541</v>
      </c>
      <c r="AL294" s="39">
        <v>0</v>
      </c>
    </row>
    <row r="295" spans="1:38" x14ac:dyDescent="0.3">
      <c r="A295" s="40">
        <v>294</v>
      </c>
      <c r="B295" s="35" t="s">
        <v>69</v>
      </c>
      <c r="C295" s="35">
        <v>8551312</v>
      </c>
      <c r="D295" s="36" t="s">
        <v>645</v>
      </c>
      <c r="E295" s="35" t="s">
        <v>38</v>
      </c>
      <c r="F295" s="35" t="s">
        <v>150</v>
      </c>
      <c r="G295" s="35" t="s">
        <v>633</v>
      </c>
      <c r="H295" s="37"/>
      <c r="I295" s="38">
        <v>42487</v>
      </c>
      <c r="J295" s="38">
        <v>44657</v>
      </c>
      <c r="K295" s="17">
        <f>YEAR('Row data'!$J295)</f>
        <v>2022</v>
      </c>
      <c r="L295" s="38">
        <v>32239</v>
      </c>
      <c r="M295" s="35" t="str">
        <f ca="1">IF('Row data'!$J295="",DATEDIF('Row data'!$L295,TODAY(),"y"),"0")</f>
        <v>0</v>
      </c>
      <c r="N295" s="35" t="s">
        <v>75</v>
      </c>
      <c r="O295" s="35" t="s">
        <v>553</v>
      </c>
      <c r="P295" s="39" t="s">
        <v>554</v>
      </c>
      <c r="Q295" s="39">
        <v>13405</v>
      </c>
      <c r="R295" s="39">
        <v>13405</v>
      </c>
      <c r="S295" s="39">
        <v>7303</v>
      </c>
      <c r="T295" s="39">
        <v>3652</v>
      </c>
      <c r="U295" s="39">
        <v>750</v>
      </c>
      <c r="V295" s="39">
        <v>450</v>
      </c>
      <c r="W295" s="39">
        <v>0</v>
      </c>
      <c r="X295" s="39">
        <v>0</v>
      </c>
      <c r="Y295" s="39">
        <v>1250</v>
      </c>
      <c r="Z295" s="39">
        <v>450</v>
      </c>
      <c r="AA295" s="39">
        <v>250</v>
      </c>
      <c r="AB295" s="39">
        <v>0</v>
      </c>
      <c r="AC295" s="39">
        <v>0</v>
      </c>
      <c r="AD295" s="39">
        <v>0</v>
      </c>
      <c r="AE295" s="39">
        <v>0</v>
      </c>
      <c r="AF295" s="39">
        <v>0</v>
      </c>
      <c r="AG295" s="39">
        <v>0</v>
      </c>
      <c r="AH295" s="39">
        <v>0</v>
      </c>
      <c r="AI295" s="39">
        <v>0</v>
      </c>
      <c r="AJ295" s="39">
        <f>'Row data'!$S295+'Row data'!$T295+'Row data'!$U295+'Row data'!$W295+'Row data'!$X295+'Row data'!$Y295+'Row data'!$Z295+'Row data'!$AA295+'Row data'!$AB295+'Row data'!$AD295-'Row data'!$AC295-'Row data'!$AE295-'Row data'!$AF295-'Row data'!$AG295-'Row data'!$AH295-'Row data'!$AI295</f>
        <v>13655</v>
      </c>
      <c r="AK295" s="39">
        <v>13655</v>
      </c>
      <c r="AL295" s="39">
        <v>0</v>
      </c>
    </row>
    <row r="296" spans="1:38" x14ac:dyDescent="0.3">
      <c r="A296" s="40">
        <v>295</v>
      </c>
      <c r="B296" s="35" t="s">
        <v>69</v>
      </c>
      <c r="C296" s="35">
        <v>6831124</v>
      </c>
      <c r="D296" s="36" t="s">
        <v>646</v>
      </c>
      <c r="E296" s="35" t="s">
        <v>38</v>
      </c>
      <c r="F296" s="35" t="s">
        <v>163</v>
      </c>
      <c r="G296" s="35" t="s">
        <v>50</v>
      </c>
      <c r="H296" s="37"/>
      <c r="I296" s="38">
        <v>45231</v>
      </c>
      <c r="J296" s="38"/>
      <c r="K296" s="17"/>
      <c r="L296" s="38">
        <v>38118</v>
      </c>
      <c r="M296" s="35">
        <f ca="1">IF('Row data'!$J296="",DATEDIF('Row data'!$L296,TODAY(),"y"),"0")</f>
        <v>22</v>
      </c>
      <c r="N296" s="35" t="s">
        <v>42</v>
      </c>
      <c r="O296" s="35" t="s">
        <v>553</v>
      </c>
      <c r="P296" s="39" t="s">
        <v>554</v>
      </c>
      <c r="Q296" s="39">
        <v>13405</v>
      </c>
      <c r="R296" s="39">
        <v>13405</v>
      </c>
      <c r="S296" s="39">
        <v>7303</v>
      </c>
      <c r="T296" s="39">
        <v>3652</v>
      </c>
      <c r="U296" s="39">
        <v>750</v>
      </c>
      <c r="V296" s="39">
        <v>450</v>
      </c>
      <c r="W296" s="39">
        <v>0</v>
      </c>
      <c r="X296" s="39">
        <v>0</v>
      </c>
      <c r="Y296" s="39">
        <v>1250</v>
      </c>
      <c r="Z296" s="39">
        <v>450</v>
      </c>
      <c r="AA296" s="39">
        <v>250</v>
      </c>
      <c r="AB296" s="39">
        <v>0</v>
      </c>
      <c r="AC296" s="39">
        <v>0</v>
      </c>
      <c r="AD296" s="39">
        <v>0</v>
      </c>
      <c r="AE296" s="39">
        <v>0</v>
      </c>
      <c r="AF296" s="39">
        <v>0</v>
      </c>
      <c r="AG296" s="39">
        <v>0</v>
      </c>
      <c r="AH296" s="39">
        <v>0</v>
      </c>
      <c r="AI296" s="39">
        <v>0</v>
      </c>
      <c r="AJ296" s="39">
        <f>'Row data'!$S296+'Row data'!$T296+'Row data'!$U296+'Row data'!$W296+'Row data'!$X296+'Row data'!$Y296+'Row data'!$Z296+'Row data'!$AA296+'Row data'!$AB296+'Row data'!$AD296-'Row data'!$AC296-'Row data'!$AE296-'Row data'!$AF296-'Row data'!$AG296-'Row data'!$AH296-'Row data'!$AI296</f>
        <v>13655</v>
      </c>
      <c r="AK296" s="39">
        <v>13655</v>
      </c>
      <c r="AL296" s="39">
        <v>0</v>
      </c>
    </row>
    <row r="297" spans="1:38" x14ac:dyDescent="0.3">
      <c r="A297" s="40">
        <v>296</v>
      </c>
      <c r="B297" s="35" t="s">
        <v>69</v>
      </c>
      <c r="C297" s="35">
        <v>5265850</v>
      </c>
      <c r="D297" s="36" t="s">
        <v>583</v>
      </c>
      <c r="E297" s="35" t="s">
        <v>38</v>
      </c>
      <c r="F297" s="35" t="s">
        <v>163</v>
      </c>
      <c r="G297" s="35" t="s">
        <v>50</v>
      </c>
      <c r="H297" s="37"/>
      <c r="I297" s="38">
        <v>45231</v>
      </c>
      <c r="J297" s="38"/>
      <c r="K297" s="17"/>
      <c r="L297" s="38">
        <v>28535</v>
      </c>
      <c r="M297" s="35">
        <f ca="1">IF('Row data'!$J297="",DATEDIF('Row data'!$L297,TODAY(),"y"),"0")</f>
        <v>48</v>
      </c>
      <c r="N297" s="35" t="s">
        <v>42</v>
      </c>
      <c r="O297" s="35" t="s">
        <v>553</v>
      </c>
      <c r="P297" s="39" t="s">
        <v>554</v>
      </c>
      <c r="Q297" s="39">
        <v>13405</v>
      </c>
      <c r="R297" s="39">
        <v>0</v>
      </c>
      <c r="S297" s="39">
        <v>7303</v>
      </c>
      <c r="T297" s="39">
        <v>3652</v>
      </c>
      <c r="U297" s="39">
        <v>750</v>
      </c>
      <c r="V297" s="39">
        <v>450</v>
      </c>
      <c r="W297" s="39">
        <v>0</v>
      </c>
      <c r="X297" s="39">
        <v>0</v>
      </c>
      <c r="Y297" s="39">
        <v>1250</v>
      </c>
      <c r="Z297" s="39">
        <v>450</v>
      </c>
      <c r="AA297" s="39">
        <v>0</v>
      </c>
      <c r="AB297" s="39">
        <v>0</v>
      </c>
      <c r="AC297" s="39">
        <v>-6102</v>
      </c>
      <c r="AD297" s="39">
        <v>0</v>
      </c>
      <c r="AE297" s="39">
        <v>7303</v>
      </c>
      <c r="AF297" s="39">
        <v>0</v>
      </c>
      <c r="AG297" s="39">
        <v>0</v>
      </c>
      <c r="AH297" s="39">
        <v>0</v>
      </c>
      <c r="AI297" s="39">
        <v>0</v>
      </c>
      <c r="AJ297" s="39">
        <f>'Row data'!$S297+'Row data'!$T297+'Row data'!$U297+'Row data'!$W297+'Row data'!$X297+'Row data'!$Y297+'Row data'!$Z297+'Row data'!$AA297+'Row data'!$AB297+'Row data'!$AD297-'Row data'!$AC297-'Row data'!$AE297-'Row data'!$AF297-'Row data'!$AG297-'Row data'!$AH297-'Row data'!$AI297</f>
        <v>12204</v>
      </c>
      <c r="AK297" s="39">
        <v>0</v>
      </c>
      <c r="AL297" s="39">
        <v>0</v>
      </c>
    </row>
    <row r="298" spans="1:38" x14ac:dyDescent="0.3">
      <c r="A298" s="40">
        <v>297</v>
      </c>
      <c r="B298" s="35" t="s">
        <v>69</v>
      </c>
      <c r="C298" s="35">
        <v>8761704</v>
      </c>
      <c r="D298" s="36" t="s">
        <v>583</v>
      </c>
      <c r="E298" s="35" t="s">
        <v>38</v>
      </c>
      <c r="F298" s="35" t="s">
        <v>163</v>
      </c>
      <c r="G298" s="35" t="s">
        <v>50</v>
      </c>
      <c r="H298" s="37"/>
      <c r="I298" s="38">
        <v>45203</v>
      </c>
      <c r="J298" s="38"/>
      <c r="K298" s="17"/>
      <c r="L298" s="38">
        <v>36553</v>
      </c>
      <c r="M298" s="35">
        <f ca="1">IF('Row data'!$J298="",DATEDIF('Row data'!$L298,TODAY(),"y"),"0")</f>
        <v>26</v>
      </c>
      <c r="N298" s="35" t="s">
        <v>42</v>
      </c>
      <c r="O298" s="35" t="s">
        <v>553</v>
      </c>
      <c r="P298" s="39" t="s">
        <v>554</v>
      </c>
      <c r="Q298" s="39">
        <v>13405</v>
      </c>
      <c r="R298" s="39">
        <v>13405</v>
      </c>
      <c r="S298" s="39">
        <v>7303</v>
      </c>
      <c r="T298" s="39">
        <v>3652</v>
      </c>
      <c r="U298" s="39">
        <v>750</v>
      </c>
      <c r="V298" s="39">
        <v>450</v>
      </c>
      <c r="W298" s="39">
        <v>0</v>
      </c>
      <c r="X298" s="39">
        <v>0</v>
      </c>
      <c r="Y298" s="39">
        <v>1250</v>
      </c>
      <c r="Z298" s="39">
        <v>450</v>
      </c>
      <c r="AA298" s="39">
        <v>0</v>
      </c>
      <c r="AB298" s="39">
        <v>0</v>
      </c>
      <c r="AC298" s="39">
        <v>0</v>
      </c>
      <c r="AD298" s="39">
        <v>0</v>
      </c>
      <c r="AE298" s="39">
        <v>0</v>
      </c>
      <c r="AF298" s="39">
        <v>0</v>
      </c>
      <c r="AG298" s="39">
        <v>0</v>
      </c>
      <c r="AH298" s="39">
        <v>0</v>
      </c>
      <c r="AI298" s="39">
        <v>0</v>
      </c>
      <c r="AJ298" s="39">
        <f>'Row data'!$S298+'Row data'!$T298+'Row data'!$U298+'Row data'!$W298+'Row data'!$X298+'Row data'!$Y298+'Row data'!$Z298+'Row data'!$AA298+'Row data'!$AB298+'Row data'!$AD298-'Row data'!$AC298-'Row data'!$AE298-'Row data'!$AF298-'Row data'!$AG298-'Row data'!$AH298-'Row data'!$AI298</f>
        <v>13405</v>
      </c>
      <c r="AK298" s="39">
        <v>13405</v>
      </c>
      <c r="AL298" s="39">
        <v>0</v>
      </c>
    </row>
    <row r="299" spans="1:38" x14ac:dyDescent="0.3">
      <c r="A299" s="40">
        <v>298</v>
      </c>
      <c r="B299" s="35" t="s">
        <v>69</v>
      </c>
      <c r="C299" s="35">
        <v>6969031</v>
      </c>
      <c r="D299" s="36" t="s">
        <v>583</v>
      </c>
      <c r="E299" s="35" t="s">
        <v>38</v>
      </c>
      <c r="F299" s="35" t="s">
        <v>163</v>
      </c>
      <c r="G299" s="35" t="s">
        <v>50</v>
      </c>
      <c r="H299" s="37"/>
      <c r="I299" s="38">
        <v>45056</v>
      </c>
      <c r="J299" s="38"/>
      <c r="K299" s="17"/>
      <c r="L299" s="38">
        <v>36984</v>
      </c>
      <c r="M299" s="35">
        <f ca="1">IF('Row data'!$J299="",DATEDIF('Row data'!$L299,TODAY(),"y"),"0")</f>
        <v>25</v>
      </c>
      <c r="N299" s="35" t="s">
        <v>42</v>
      </c>
      <c r="O299" s="35" t="s">
        <v>553</v>
      </c>
      <c r="P299" s="39" t="s">
        <v>554</v>
      </c>
      <c r="Q299" s="39">
        <v>13405</v>
      </c>
      <c r="R299" s="39">
        <v>13144</v>
      </c>
      <c r="S299" s="39">
        <v>7303</v>
      </c>
      <c r="T299" s="39">
        <v>3652</v>
      </c>
      <c r="U299" s="39">
        <v>750</v>
      </c>
      <c r="V299" s="39">
        <v>450</v>
      </c>
      <c r="W299" s="39">
        <v>0</v>
      </c>
      <c r="X299" s="39">
        <v>0</v>
      </c>
      <c r="Y299" s="39">
        <v>1250</v>
      </c>
      <c r="Z299" s="39">
        <v>450</v>
      </c>
      <c r="AA299" s="39">
        <v>0</v>
      </c>
      <c r="AB299" s="39">
        <v>0</v>
      </c>
      <c r="AC299" s="39">
        <v>0</v>
      </c>
      <c r="AD299" s="39">
        <v>0</v>
      </c>
      <c r="AE299" s="39">
        <v>261</v>
      </c>
      <c r="AF299" s="39">
        <v>0</v>
      </c>
      <c r="AG299" s="39">
        <v>0</v>
      </c>
      <c r="AH299" s="39">
        <v>0</v>
      </c>
      <c r="AI299" s="39">
        <v>0</v>
      </c>
      <c r="AJ299" s="39">
        <f>'Row data'!$S299+'Row data'!$T299+'Row data'!$U299+'Row data'!$W299+'Row data'!$X299+'Row data'!$Y299+'Row data'!$Z299+'Row data'!$AA299+'Row data'!$AB299+'Row data'!$AD299-'Row data'!$AC299-'Row data'!$AE299-'Row data'!$AF299-'Row data'!$AG299-'Row data'!$AH299-'Row data'!$AI299</f>
        <v>13144</v>
      </c>
      <c r="AK299" s="39">
        <v>13144</v>
      </c>
      <c r="AL299" s="39">
        <v>0</v>
      </c>
    </row>
    <row r="300" spans="1:38" x14ac:dyDescent="0.3">
      <c r="A300" s="40">
        <v>299</v>
      </c>
      <c r="B300" s="35" t="s">
        <v>69</v>
      </c>
      <c r="C300" s="35">
        <v>8535333</v>
      </c>
      <c r="D300" s="36" t="s">
        <v>647</v>
      </c>
      <c r="E300" s="35" t="s">
        <v>38</v>
      </c>
      <c r="F300" s="35" t="s">
        <v>163</v>
      </c>
      <c r="G300" s="35" t="s">
        <v>50</v>
      </c>
      <c r="H300" s="37"/>
      <c r="I300" s="38">
        <v>45116</v>
      </c>
      <c r="J300" s="38"/>
      <c r="K300" s="17"/>
      <c r="L300" s="38">
        <v>37148</v>
      </c>
      <c r="M300" s="35">
        <f ca="1">IF('Row data'!$J300="",DATEDIF('Row data'!$L300,TODAY(),"y"),"0")</f>
        <v>25</v>
      </c>
      <c r="N300" s="35" t="s">
        <v>42</v>
      </c>
      <c r="O300" s="35" t="s">
        <v>553</v>
      </c>
      <c r="P300" s="39" t="s">
        <v>554</v>
      </c>
      <c r="Q300" s="39">
        <v>13405</v>
      </c>
      <c r="R300" s="39">
        <v>13405</v>
      </c>
      <c r="S300" s="39">
        <v>7303</v>
      </c>
      <c r="T300" s="39">
        <v>3652</v>
      </c>
      <c r="U300" s="39">
        <v>750</v>
      </c>
      <c r="V300" s="39">
        <v>450</v>
      </c>
      <c r="W300" s="39">
        <v>0</v>
      </c>
      <c r="X300" s="39">
        <v>0</v>
      </c>
      <c r="Y300" s="39">
        <v>1250</v>
      </c>
      <c r="Z300" s="39">
        <v>450</v>
      </c>
      <c r="AA300" s="39">
        <v>0</v>
      </c>
      <c r="AB300" s="39">
        <v>0</v>
      </c>
      <c r="AC300" s="39">
        <v>0</v>
      </c>
      <c r="AD300" s="39">
        <v>0</v>
      </c>
      <c r="AE300" s="39">
        <v>0</v>
      </c>
      <c r="AF300" s="39">
        <v>0</v>
      </c>
      <c r="AG300" s="39">
        <v>0</v>
      </c>
      <c r="AH300" s="39">
        <v>0</v>
      </c>
      <c r="AI300" s="39">
        <v>0</v>
      </c>
      <c r="AJ300" s="39">
        <f>'Row data'!$S300+'Row data'!$T300+'Row data'!$U300+'Row data'!$W300+'Row data'!$X300+'Row data'!$Y300+'Row data'!$Z300+'Row data'!$AA300+'Row data'!$AB300+'Row data'!$AD300-'Row data'!$AC300-'Row data'!$AE300-'Row data'!$AF300-'Row data'!$AG300-'Row data'!$AH300-'Row data'!$AI300</f>
        <v>13405</v>
      </c>
      <c r="AK300" s="39">
        <v>13405</v>
      </c>
      <c r="AL300" s="39">
        <v>0</v>
      </c>
    </row>
    <row r="301" spans="1:38" x14ac:dyDescent="0.3">
      <c r="A301" s="40">
        <v>300</v>
      </c>
      <c r="B301" s="35" t="s">
        <v>69</v>
      </c>
      <c r="C301" s="35">
        <v>9856750</v>
      </c>
      <c r="D301" s="36" t="s">
        <v>648</v>
      </c>
      <c r="E301" s="35" t="s">
        <v>38</v>
      </c>
      <c r="F301" s="35" t="s">
        <v>163</v>
      </c>
      <c r="G301" s="35" t="s">
        <v>50</v>
      </c>
      <c r="H301" s="37"/>
      <c r="I301" s="38">
        <v>45116</v>
      </c>
      <c r="J301" s="38"/>
      <c r="K301" s="17"/>
      <c r="L301" s="38">
        <v>28554</v>
      </c>
      <c r="M301" s="35">
        <f ca="1">IF('Row data'!$J301="",DATEDIF('Row data'!$L301,TODAY(),"y"),"0")</f>
        <v>48</v>
      </c>
      <c r="N301" s="35" t="s">
        <v>42</v>
      </c>
      <c r="O301" s="35" t="s">
        <v>553</v>
      </c>
      <c r="P301" s="39" t="s">
        <v>554</v>
      </c>
      <c r="Q301" s="39">
        <v>13405</v>
      </c>
      <c r="R301" s="39">
        <v>13405</v>
      </c>
      <c r="S301" s="39">
        <v>7303</v>
      </c>
      <c r="T301" s="39">
        <v>3652</v>
      </c>
      <c r="U301" s="39">
        <v>750</v>
      </c>
      <c r="V301" s="39">
        <v>450</v>
      </c>
      <c r="W301" s="39">
        <v>0</v>
      </c>
      <c r="X301" s="39">
        <v>0</v>
      </c>
      <c r="Y301" s="39">
        <v>1250</v>
      </c>
      <c r="Z301" s="39">
        <v>450</v>
      </c>
      <c r="AA301" s="39">
        <v>0</v>
      </c>
      <c r="AB301" s="39">
        <v>0</v>
      </c>
      <c r="AC301" s="39">
        <v>0</v>
      </c>
      <c r="AD301" s="39">
        <v>0</v>
      </c>
      <c r="AE301" s="39">
        <v>0</v>
      </c>
      <c r="AF301" s="39">
        <v>0</v>
      </c>
      <c r="AG301" s="39">
        <v>0</v>
      </c>
      <c r="AH301" s="39">
        <v>0</v>
      </c>
      <c r="AI301" s="39">
        <v>0</v>
      </c>
      <c r="AJ301" s="39">
        <f>'Row data'!$S301+'Row data'!$T301+'Row data'!$U301+'Row data'!$W301+'Row data'!$X301+'Row data'!$Y301+'Row data'!$Z301+'Row data'!$AA301+'Row data'!$AB301+'Row data'!$AD301-'Row data'!$AC301-'Row data'!$AE301-'Row data'!$AF301-'Row data'!$AG301-'Row data'!$AH301-'Row data'!$AI301</f>
        <v>13405</v>
      </c>
      <c r="AK301" s="39">
        <v>13405</v>
      </c>
      <c r="AL301" s="39">
        <v>0</v>
      </c>
    </row>
    <row r="302" spans="1:38" x14ac:dyDescent="0.3">
      <c r="A302" s="40">
        <v>301</v>
      </c>
      <c r="B302" s="35" t="s">
        <v>69</v>
      </c>
      <c r="C302" s="35">
        <v>8407085</v>
      </c>
      <c r="D302" s="36" t="s">
        <v>583</v>
      </c>
      <c r="E302" s="35" t="s">
        <v>38</v>
      </c>
      <c r="F302" s="35" t="s">
        <v>163</v>
      </c>
      <c r="G302" s="35" t="s">
        <v>50</v>
      </c>
      <c r="H302" s="37"/>
      <c r="I302" s="38">
        <v>45487</v>
      </c>
      <c r="J302" s="38"/>
      <c r="K302" s="17"/>
      <c r="L302" s="38">
        <v>37965</v>
      </c>
      <c r="M302" s="35">
        <f ca="1">IF('Row data'!$J302="",DATEDIF('Row data'!$L302,TODAY(),"y"),"0")</f>
        <v>22</v>
      </c>
      <c r="N302" s="35" t="s">
        <v>42</v>
      </c>
      <c r="O302" s="35" t="s">
        <v>553</v>
      </c>
      <c r="P302" s="39" t="s">
        <v>554</v>
      </c>
      <c r="Q302" s="39">
        <v>12500</v>
      </c>
      <c r="R302" s="39">
        <v>12500</v>
      </c>
      <c r="S302" s="39">
        <v>6700</v>
      </c>
      <c r="T302" s="39">
        <v>3350</v>
      </c>
      <c r="U302" s="39">
        <v>750</v>
      </c>
      <c r="V302" s="39">
        <v>450</v>
      </c>
      <c r="W302" s="39">
        <v>0</v>
      </c>
      <c r="X302" s="39">
        <v>0</v>
      </c>
      <c r="Y302" s="39">
        <v>1250</v>
      </c>
      <c r="Z302" s="39">
        <v>450</v>
      </c>
      <c r="AA302" s="39">
        <v>250</v>
      </c>
      <c r="AB302" s="39">
        <v>0</v>
      </c>
      <c r="AC302" s="39">
        <v>0</v>
      </c>
      <c r="AD302" s="39">
        <v>0</v>
      </c>
      <c r="AE302" s="39">
        <v>0</v>
      </c>
      <c r="AF302" s="39">
        <v>0</v>
      </c>
      <c r="AG302" s="39">
        <v>0</v>
      </c>
      <c r="AH302" s="39">
        <v>0</v>
      </c>
      <c r="AI302" s="39">
        <v>0</v>
      </c>
      <c r="AJ302" s="39">
        <f>'Row data'!$S302+'Row data'!$T302+'Row data'!$U302+'Row data'!$W302+'Row data'!$X302+'Row data'!$Y302+'Row data'!$Z302+'Row data'!$AA302+'Row data'!$AB302+'Row data'!$AD302-'Row data'!$AC302-'Row data'!$AE302-'Row data'!$AF302-'Row data'!$AG302-'Row data'!$AH302-'Row data'!$AI302</f>
        <v>12750</v>
      </c>
      <c r="AK302" s="39">
        <v>12750</v>
      </c>
      <c r="AL302" s="39">
        <v>0</v>
      </c>
    </row>
    <row r="303" spans="1:38" x14ac:dyDescent="0.3">
      <c r="A303" s="40">
        <v>302</v>
      </c>
      <c r="B303" s="35" t="s">
        <v>69</v>
      </c>
      <c r="C303" s="35">
        <v>9605740</v>
      </c>
      <c r="D303" s="36" t="s">
        <v>583</v>
      </c>
      <c r="E303" s="35" t="s">
        <v>38</v>
      </c>
      <c r="F303" s="35" t="s">
        <v>163</v>
      </c>
      <c r="G303" s="35" t="s">
        <v>649</v>
      </c>
      <c r="H303" s="37"/>
      <c r="I303" s="38">
        <v>44384</v>
      </c>
      <c r="J303" s="38">
        <v>44562</v>
      </c>
      <c r="K303" s="17">
        <f>YEAR('Row data'!$J303)</f>
        <v>2022</v>
      </c>
      <c r="L303" s="38">
        <v>25800</v>
      </c>
      <c r="M303" s="35" t="str">
        <f ca="1">IF('Row data'!$J303="",DATEDIF('Row data'!$L303,TODAY(),"y"),"0")</f>
        <v>0</v>
      </c>
      <c r="N303" s="35" t="s">
        <v>42</v>
      </c>
      <c r="O303" s="35" t="s">
        <v>553</v>
      </c>
      <c r="P303" s="39" t="s">
        <v>554</v>
      </c>
      <c r="Q303" s="39">
        <v>14549</v>
      </c>
      <c r="R303" s="39">
        <v>14549</v>
      </c>
      <c r="S303" s="39">
        <v>8066</v>
      </c>
      <c r="T303" s="39">
        <v>4033</v>
      </c>
      <c r="U303" s="39">
        <v>750</v>
      </c>
      <c r="V303" s="39">
        <v>450</v>
      </c>
      <c r="W303" s="39">
        <v>0</v>
      </c>
      <c r="X303" s="39">
        <v>0</v>
      </c>
      <c r="Y303" s="39">
        <v>1250</v>
      </c>
      <c r="Z303" s="39">
        <v>450</v>
      </c>
      <c r="AA303" s="39">
        <v>350</v>
      </c>
      <c r="AB303" s="39">
        <v>0</v>
      </c>
      <c r="AC303" s="39">
        <v>0</v>
      </c>
      <c r="AD303" s="39">
        <v>0</v>
      </c>
      <c r="AE303" s="39">
        <v>0</v>
      </c>
      <c r="AF303" s="39">
        <v>0</v>
      </c>
      <c r="AG303" s="39">
        <v>0</v>
      </c>
      <c r="AH303" s="39">
        <v>0</v>
      </c>
      <c r="AI303" s="39">
        <v>0</v>
      </c>
      <c r="AJ303" s="39">
        <f>'Row data'!$S303+'Row data'!$T303+'Row data'!$U303+'Row data'!$W303+'Row data'!$X303+'Row data'!$Y303+'Row data'!$Z303+'Row data'!$AA303+'Row data'!$AB303+'Row data'!$AD303-'Row data'!$AC303-'Row data'!$AE303-'Row data'!$AF303-'Row data'!$AG303-'Row data'!$AH303-'Row data'!$AI303</f>
        <v>14899</v>
      </c>
      <c r="AK303" s="39">
        <v>14899</v>
      </c>
      <c r="AL303" s="39">
        <v>0</v>
      </c>
    </row>
    <row r="304" spans="1:38" x14ac:dyDescent="0.3">
      <c r="A304" s="40">
        <v>303</v>
      </c>
      <c r="B304" s="35" t="s">
        <v>69</v>
      </c>
      <c r="C304" s="35">
        <v>7737243</v>
      </c>
      <c r="D304" s="36" t="s">
        <v>583</v>
      </c>
      <c r="E304" s="35" t="s">
        <v>38</v>
      </c>
      <c r="F304" s="35" t="s">
        <v>163</v>
      </c>
      <c r="G304" s="35" t="s">
        <v>50</v>
      </c>
      <c r="H304" s="37"/>
      <c r="I304" s="38">
        <v>44503</v>
      </c>
      <c r="J304" s="38">
        <v>44562</v>
      </c>
      <c r="K304" s="17">
        <f>YEAR('Row data'!$J304)</f>
        <v>2022</v>
      </c>
      <c r="L304" s="38">
        <v>36527</v>
      </c>
      <c r="M304" s="35" t="str">
        <f ca="1">IF('Row data'!$J304="",DATEDIF('Row data'!$L304,TODAY(),"y"),"0")</f>
        <v>0</v>
      </c>
      <c r="N304" s="35" t="s">
        <v>42</v>
      </c>
      <c r="O304" s="35" t="s">
        <v>553</v>
      </c>
      <c r="P304" s="39" t="s">
        <v>554</v>
      </c>
      <c r="Q304" s="39">
        <v>13405</v>
      </c>
      <c r="R304" s="39">
        <v>13405</v>
      </c>
      <c r="S304" s="39">
        <v>7303</v>
      </c>
      <c r="T304" s="39">
        <v>3652</v>
      </c>
      <c r="U304" s="39">
        <v>750</v>
      </c>
      <c r="V304" s="39">
        <v>450</v>
      </c>
      <c r="W304" s="39">
        <v>0</v>
      </c>
      <c r="X304" s="39">
        <v>0</v>
      </c>
      <c r="Y304" s="39">
        <v>1250</v>
      </c>
      <c r="Z304" s="39">
        <v>450</v>
      </c>
      <c r="AA304" s="39">
        <v>350</v>
      </c>
      <c r="AB304" s="39">
        <v>0</v>
      </c>
      <c r="AC304" s="39">
        <v>0</v>
      </c>
      <c r="AD304" s="39">
        <v>0</v>
      </c>
      <c r="AE304" s="39">
        <v>0</v>
      </c>
      <c r="AF304" s="39">
        <v>0</v>
      </c>
      <c r="AG304" s="39">
        <v>0</v>
      </c>
      <c r="AH304" s="39">
        <v>0</v>
      </c>
      <c r="AI304" s="39">
        <v>0</v>
      </c>
      <c r="AJ304" s="39">
        <f>'Row data'!$S304+'Row data'!$T304+'Row data'!$U304+'Row data'!$W304+'Row data'!$X304+'Row data'!$Y304+'Row data'!$Z304+'Row data'!$AA304+'Row data'!$AB304+'Row data'!$AD304-'Row data'!$AC304-'Row data'!$AE304-'Row data'!$AF304-'Row data'!$AG304-'Row data'!$AH304-'Row data'!$AI304</f>
        <v>13755</v>
      </c>
      <c r="AK304" s="39">
        <v>13755</v>
      </c>
      <c r="AL304" s="39">
        <v>0</v>
      </c>
    </row>
    <row r="305" spans="1:38" x14ac:dyDescent="0.3">
      <c r="A305" s="40">
        <v>304</v>
      </c>
      <c r="B305" s="35" t="s">
        <v>69</v>
      </c>
      <c r="C305" s="35">
        <v>9208173</v>
      </c>
      <c r="D305" s="36" t="s">
        <v>650</v>
      </c>
      <c r="E305" s="35" t="s">
        <v>38</v>
      </c>
      <c r="F305" s="35" t="s">
        <v>163</v>
      </c>
      <c r="G305" s="35" t="s">
        <v>50</v>
      </c>
      <c r="H305" s="37"/>
      <c r="I305" s="38">
        <v>44506</v>
      </c>
      <c r="J305" s="38">
        <v>44562</v>
      </c>
      <c r="K305" s="17">
        <f>YEAR('Row data'!$J305)</f>
        <v>2022</v>
      </c>
      <c r="L305" s="38">
        <v>34890</v>
      </c>
      <c r="M305" s="35" t="str">
        <f ca="1">IF('Row data'!$J305="",DATEDIF('Row data'!$L305,TODAY(),"y"),"0")</f>
        <v>0</v>
      </c>
      <c r="N305" s="35" t="s">
        <v>42</v>
      </c>
      <c r="O305" s="35" t="s">
        <v>553</v>
      </c>
      <c r="P305" s="39" t="s">
        <v>554</v>
      </c>
      <c r="Q305" s="39">
        <v>13405</v>
      </c>
      <c r="R305" s="39">
        <v>13405</v>
      </c>
      <c r="S305" s="39">
        <v>7303</v>
      </c>
      <c r="T305" s="39">
        <v>3652</v>
      </c>
      <c r="U305" s="39">
        <v>750</v>
      </c>
      <c r="V305" s="39">
        <v>450</v>
      </c>
      <c r="W305" s="39">
        <v>0</v>
      </c>
      <c r="X305" s="39">
        <v>0</v>
      </c>
      <c r="Y305" s="39">
        <v>1250</v>
      </c>
      <c r="Z305" s="39">
        <v>450</v>
      </c>
      <c r="AA305" s="39">
        <v>350</v>
      </c>
      <c r="AB305" s="39">
        <v>0</v>
      </c>
      <c r="AC305" s="39">
        <v>0</v>
      </c>
      <c r="AD305" s="39">
        <v>0</v>
      </c>
      <c r="AE305" s="39">
        <v>0</v>
      </c>
      <c r="AF305" s="39">
        <v>0</v>
      </c>
      <c r="AG305" s="39">
        <v>0</v>
      </c>
      <c r="AH305" s="39">
        <v>0</v>
      </c>
      <c r="AI305" s="39">
        <v>0</v>
      </c>
      <c r="AJ305" s="39">
        <f>'Row data'!$S305+'Row data'!$T305+'Row data'!$U305+'Row data'!$W305+'Row data'!$X305+'Row data'!$Y305+'Row data'!$Z305+'Row data'!$AA305+'Row data'!$AB305+'Row data'!$AD305-'Row data'!$AC305-'Row data'!$AE305-'Row data'!$AF305-'Row data'!$AG305-'Row data'!$AH305-'Row data'!$AI305</f>
        <v>13755</v>
      </c>
      <c r="AK305" s="39">
        <v>13755</v>
      </c>
      <c r="AL305" s="39">
        <v>0</v>
      </c>
    </row>
    <row r="306" spans="1:38" x14ac:dyDescent="0.3">
      <c r="A306" s="40">
        <v>305</v>
      </c>
      <c r="B306" s="35" t="s">
        <v>69</v>
      </c>
      <c r="C306" s="35">
        <v>6148037</v>
      </c>
      <c r="D306" s="36" t="s">
        <v>597</v>
      </c>
      <c r="E306" s="35" t="s">
        <v>38</v>
      </c>
      <c r="F306" s="35" t="s">
        <v>163</v>
      </c>
      <c r="G306" s="35" t="s">
        <v>50</v>
      </c>
      <c r="H306" s="37"/>
      <c r="I306" s="38">
        <v>44390</v>
      </c>
      <c r="J306" s="38">
        <v>44562</v>
      </c>
      <c r="K306" s="17">
        <f>YEAR('Row data'!$J306)</f>
        <v>2022</v>
      </c>
      <c r="L306" s="38">
        <v>31048</v>
      </c>
      <c r="M306" s="35" t="str">
        <f ca="1">IF('Row data'!$J306="",DATEDIF('Row data'!$L306,TODAY(),"y"),"0")</f>
        <v>0</v>
      </c>
      <c r="N306" s="35" t="s">
        <v>42</v>
      </c>
      <c r="O306" s="35" t="s">
        <v>553</v>
      </c>
      <c r="P306" s="39" t="s">
        <v>554</v>
      </c>
      <c r="Q306" s="39">
        <v>13405</v>
      </c>
      <c r="R306" s="39">
        <v>13405</v>
      </c>
      <c r="S306" s="39">
        <v>7303</v>
      </c>
      <c r="T306" s="39">
        <v>3652</v>
      </c>
      <c r="U306" s="39">
        <v>750</v>
      </c>
      <c r="V306" s="39">
        <v>450</v>
      </c>
      <c r="W306" s="39">
        <v>0</v>
      </c>
      <c r="X306" s="39">
        <v>0</v>
      </c>
      <c r="Y306" s="39">
        <v>1250</v>
      </c>
      <c r="Z306" s="39">
        <v>450</v>
      </c>
      <c r="AA306" s="39">
        <v>350</v>
      </c>
      <c r="AB306" s="39">
        <v>0</v>
      </c>
      <c r="AC306" s="39">
        <v>0</v>
      </c>
      <c r="AD306" s="39">
        <v>0</v>
      </c>
      <c r="AE306" s="39">
        <v>0</v>
      </c>
      <c r="AF306" s="39">
        <v>0</v>
      </c>
      <c r="AG306" s="39">
        <v>0</v>
      </c>
      <c r="AH306" s="39">
        <v>0</v>
      </c>
      <c r="AI306" s="39">
        <v>0</v>
      </c>
      <c r="AJ306" s="39">
        <f>'Row data'!$S306+'Row data'!$T306+'Row data'!$U306+'Row data'!$W306+'Row data'!$X306+'Row data'!$Y306+'Row data'!$Z306+'Row data'!$AA306+'Row data'!$AB306+'Row data'!$AD306-'Row data'!$AC306-'Row data'!$AE306-'Row data'!$AF306-'Row data'!$AG306-'Row data'!$AH306-'Row data'!$AI306</f>
        <v>13755</v>
      </c>
      <c r="AK306" s="39">
        <v>13755</v>
      </c>
      <c r="AL306" s="39">
        <v>0</v>
      </c>
    </row>
    <row r="307" spans="1:38" x14ac:dyDescent="0.3">
      <c r="A307" s="40">
        <v>306</v>
      </c>
      <c r="B307" s="35" t="s">
        <v>69</v>
      </c>
      <c r="C307" s="35">
        <v>7777483</v>
      </c>
      <c r="D307" s="36" t="s">
        <v>651</v>
      </c>
      <c r="E307" s="35" t="s">
        <v>38</v>
      </c>
      <c r="F307" s="35" t="s">
        <v>163</v>
      </c>
      <c r="G307" s="35" t="s">
        <v>301</v>
      </c>
      <c r="H307" s="37" t="s">
        <v>652</v>
      </c>
      <c r="I307" s="38">
        <v>36968</v>
      </c>
      <c r="J307" s="38">
        <v>44562</v>
      </c>
      <c r="K307" s="17">
        <f>YEAR('Row data'!$J307)</f>
        <v>2022</v>
      </c>
      <c r="L307" s="38">
        <v>31778</v>
      </c>
      <c r="M307" s="35" t="str">
        <f ca="1">IF('Row data'!$J307="",DATEDIF('Row data'!$L307,TODAY(),"y"),"0")</f>
        <v>0</v>
      </c>
      <c r="N307" s="35" t="s">
        <v>42</v>
      </c>
      <c r="O307" s="35" t="s">
        <v>43</v>
      </c>
      <c r="P307" s="39" t="s">
        <v>554</v>
      </c>
      <c r="Q307" s="39">
        <v>28070</v>
      </c>
      <c r="R307" s="39">
        <v>28070</v>
      </c>
      <c r="S307" s="39">
        <v>17080</v>
      </c>
      <c r="T307" s="39">
        <v>8540</v>
      </c>
      <c r="U307" s="39">
        <v>750</v>
      </c>
      <c r="V307" s="39">
        <v>450</v>
      </c>
      <c r="W307" s="39">
        <v>0</v>
      </c>
      <c r="X307" s="39">
        <v>0</v>
      </c>
      <c r="Y307" s="39">
        <v>1250</v>
      </c>
      <c r="Z307" s="39">
        <v>450</v>
      </c>
      <c r="AA307" s="39">
        <v>350</v>
      </c>
      <c r="AB307" s="39">
        <v>0</v>
      </c>
      <c r="AC307" s="39">
        <v>0</v>
      </c>
      <c r="AD307" s="39">
        <v>0</v>
      </c>
      <c r="AE307" s="39">
        <v>0</v>
      </c>
      <c r="AF307" s="39">
        <v>0</v>
      </c>
      <c r="AG307" s="39">
        <v>0</v>
      </c>
      <c r="AH307" s="39">
        <v>0</v>
      </c>
      <c r="AI307" s="39">
        <v>0</v>
      </c>
      <c r="AJ307" s="39">
        <f>'Row data'!$S307+'Row data'!$T307+'Row data'!$U307+'Row data'!$W307+'Row data'!$X307+'Row data'!$Y307+'Row data'!$Z307+'Row data'!$AA307+'Row data'!$AB307+'Row data'!$AD307-'Row data'!$AC307-'Row data'!$AE307-'Row data'!$AF307-'Row data'!$AG307-'Row data'!$AH307-'Row data'!$AI307</f>
        <v>28420</v>
      </c>
      <c r="AK307" s="39">
        <v>28420</v>
      </c>
      <c r="AL307" s="39">
        <v>0</v>
      </c>
    </row>
    <row r="308" spans="1:38" x14ac:dyDescent="0.3">
      <c r="A308" s="40">
        <v>307</v>
      </c>
      <c r="B308" s="35" t="s">
        <v>69</v>
      </c>
      <c r="C308" s="35">
        <v>8731154</v>
      </c>
      <c r="D308" s="36" t="s">
        <v>653</v>
      </c>
      <c r="E308" s="35" t="s">
        <v>38</v>
      </c>
      <c r="F308" s="35" t="s">
        <v>163</v>
      </c>
      <c r="G308" s="35" t="s">
        <v>50</v>
      </c>
      <c r="H308" s="37"/>
      <c r="I308" s="38">
        <v>44896</v>
      </c>
      <c r="J308" s="38">
        <v>44562</v>
      </c>
      <c r="K308" s="17">
        <f>YEAR('Row data'!$J308)</f>
        <v>2022</v>
      </c>
      <c r="L308" s="38">
        <v>26068</v>
      </c>
      <c r="M308" s="35" t="str">
        <f ca="1">IF('Row data'!$J308="",DATEDIF('Row data'!$L308,TODAY(),"y"),"0")</f>
        <v>0</v>
      </c>
      <c r="N308" s="35" t="s">
        <v>42</v>
      </c>
      <c r="O308" s="35" t="s">
        <v>553</v>
      </c>
      <c r="P308" s="39" t="s">
        <v>554</v>
      </c>
      <c r="Q308" s="39">
        <v>13405</v>
      </c>
      <c r="R308" s="39">
        <v>13405</v>
      </c>
      <c r="S308" s="39">
        <v>7303</v>
      </c>
      <c r="T308" s="39">
        <v>3652</v>
      </c>
      <c r="U308" s="39">
        <v>750</v>
      </c>
      <c r="V308" s="39">
        <v>450</v>
      </c>
      <c r="W308" s="39">
        <v>0</v>
      </c>
      <c r="X308" s="39">
        <v>0</v>
      </c>
      <c r="Y308" s="39">
        <v>1250</v>
      </c>
      <c r="Z308" s="39">
        <v>450</v>
      </c>
      <c r="AA308" s="39">
        <v>350</v>
      </c>
      <c r="AB308" s="39">
        <v>0</v>
      </c>
      <c r="AC308" s="39">
        <v>0</v>
      </c>
      <c r="AD308" s="39">
        <v>0</v>
      </c>
      <c r="AE308" s="39">
        <v>0</v>
      </c>
      <c r="AF308" s="39">
        <v>0</v>
      </c>
      <c r="AG308" s="39">
        <v>0</v>
      </c>
      <c r="AH308" s="39">
        <v>0</v>
      </c>
      <c r="AI308" s="39">
        <v>0</v>
      </c>
      <c r="AJ308" s="39">
        <f>'Row data'!$S308+'Row data'!$T308+'Row data'!$U308+'Row data'!$W308+'Row data'!$X308+'Row data'!$Y308+'Row data'!$Z308+'Row data'!$AA308+'Row data'!$AB308+'Row data'!$AD308-'Row data'!$AC308-'Row data'!$AE308-'Row data'!$AF308-'Row data'!$AG308-'Row data'!$AH308-'Row data'!$AI308</f>
        <v>13755</v>
      </c>
      <c r="AK308" s="39">
        <v>13755</v>
      </c>
      <c r="AL308" s="39">
        <v>0</v>
      </c>
    </row>
    <row r="309" spans="1:38" x14ac:dyDescent="0.3">
      <c r="A309" s="40">
        <v>308</v>
      </c>
      <c r="B309" s="35" t="s">
        <v>69</v>
      </c>
      <c r="C309" s="35">
        <v>8530017</v>
      </c>
      <c r="D309" s="36" t="s">
        <v>654</v>
      </c>
      <c r="E309" s="35" t="s">
        <v>38</v>
      </c>
      <c r="F309" s="35" t="s">
        <v>163</v>
      </c>
      <c r="G309" s="35" t="s">
        <v>50</v>
      </c>
      <c r="H309" s="37"/>
      <c r="I309" s="38">
        <v>45064</v>
      </c>
      <c r="J309" s="38">
        <v>45701</v>
      </c>
      <c r="K309" s="17">
        <f>YEAR('Row data'!$J309)</f>
        <v>2025</v>
      </c>
      <c r="L309" s="38">
        <v>34372</v>
      </c>
      <c r="M309" s="35" t="str">
        <f ca="1">IF('Row data'!$J309="",DATEDIF('Row data'!$L309,TODAY(),"y"),"0")</f>
        <v>0</v>
      </c>
      <c r="N309" s="35" t="s">
        <v>42</v>
      </c>
      <c r="O309" s="35" t="s">
        <v>553</v>
      </c>
      <c r="P309" s="39" t="s">
        <v>554</v>
      </c>
      <c r="Q309" s="39">
        <v>13405</v>
      </c>
      <c r="R309" s="39">
        <v>5442</v>
      </c>
      <c r="S309" s="39">
        <v>7303</v>
      </c>
      <c r="T309" s="39">
        <v>3652</v>
      </c>
      <c r="U309" s="39">
        <v>750</v>
      </c>
      <c r="V309" s="39">
        <v>450</v>
      </c>
      <c r="W309" s="39">
        <v>0</v>
      </c>
      <c r="X309" s="39">
        <v>0</v>
      </c>
      <c r="Y309" s="39">
        <v>1250</v>
      </c>
      <c r="Z309" s="39">
        <v>450</v>
      </c>
      <c r="AA309" s="39">
        <v>0</v>
      </c>
      <c r="AB309" s="39">
        <v>0</v>
      </c>
      <c r="AC309" s="39">
        <v>0</v>
      </c>
      <c r="AD309" s="39">
        <v>0</v>
      </c>
      <c r="AE309" s="39">
        <v>7963</v>
      </c>
      <c r="AF309" s="39">
        <v>0</v>
      </c>
      <c r="AG309" s="39">
        <v>0</v>
      </c>
      <c r="AH309" s="39">
        <v>0</v>
      </c>
      <c r="AI309" s="39">
        <v>10</v>
      </c>
      <c r="AJ309" s="39">
        <f>'Row data'!$S309+'Row data'!$T309+'Row data'!$U309+'Row data'!$W309+'Row data'!$X309+'Row data'!$Y309+'Row data'!$Z309+'Row data'!$AA309+'Row data'!$AB309+'Row data'!$AD309-'Row data'!$AC309-'Row data'!$AE309-'Row data'!$AF309-'Row data'!$AG309-'Row data'!$AH309-'Row data'!$AI309</f>
        <v>5432</v>
      </c>
      <c r="AK309" s="39">
        <v>0</v>
      </c>
      <c r="AL309" s="39">
        <v>5432</v>
      </c>
    </row>
    <row r="310" spans="1:38" x14ac:dyDescent="0.3">
      <c r="A310" s="40">
        <v>309</v>
      </c>
      <c r="B310" s="35" t="s">
        <v>69</v>
      </c>
      <c r="C310" s="35">
        <v>9678967</v>
      </c>
      <c r="D310" s="36" t="s">
        <v>655</v>
      </c>
      <c r="E310" s="35" t="s">
        <v>38</v>
      </c>
      <c r="F310" s="35" t="s">
        <v>163</v>
      </c>
      <c r="G310" s="35" t="s">
        <v>50</v>
      </c>
      <c r="H310" s="37"/>
      <c r="I310" s="38">
        <v>45117</v>
      </c>
      <c r="J310" s="38">
        <v>44562</v>
      </c>
      <c r="K310" s="17">
        <f>YEAR('Row data'!$J310)</f>
        <v>2022</v>
      </c>
      <c r="L310" s="38">
        <v>34766</v>
      </c>
      <c r="M310" s="35" t="str">
        <f ca="1">IF('Row data'!$J310="",DATEDIF('Row data'!$L310,TODAY(),"y"),"0")</f>
        <v>0</v>
      </c>
      <c r="N310" s="35" t="s">
        <v>42</v>
      </c>
      <c r="O310" s="35" t="s">
        <v>553</v>
      </c>
      <c r="P310" s="39" t="s">
        <v>554</v>
      </c>
      <c r="Q310" s="39">
        <v>13405</v>
      </c>
      <c r="R310" s="39">
        <v>13405</v>
      </c>
      <c r="S310" s="39">
        <v>7303</v>
      </c>
      <c r="T310" s="39">
        <v>3652</v>
      </c>
      <c r="U310" s="39">
        <v>750</v>
      </c>
      <c r="V310" s="39">
        <v>450</v>
      </c>
      <c r="W310" s="39">
        <v>0</v>
      </c>
      <c r="X310" s="39">
        <v>0</v>
      </c>
      <c r="Y310" s="39">
        <v>1250</v>
      </c>
      <c r="Z310" s="39">
        <v>450</v>
      </c>
      <c r="AA310" s="39">
        <v>350</v>
      </c>
      <c r="AB310" s="39">
        <v>4213</v>
      </c>
      <c r="AC310" s="39">
        <v>0</v>
      </c>
      <c r="AD310" s="39">
        <v>0</v>
      </c>
      <c r="AE310" s="39">
        <v>0</v>
      </c>
      <c r="AF310" s="39">
        <v>0</v>
      </c>
      <c r="AG310" s="39">
        <v>0</v>
      </c>
      <c r="AH310" s="39">
        <v>0</v>
      </c>
      <c r="AI310" s="39">
        <v>0</v>
      </c>
      <c r="AJ310" s="39">
        <f>'Row data'!$S310+'Row data'!$T310+'Row data'!$U310+'Row data'!$W310+'Row data'!$X310+'Row data'!$Y310+'Row data'!$Z310+'Row data'!$AA310+'Row data'!$AB310+'Row data'!$AD310-'Row data'!$AC310-'Row data'!$AE310-'Row data'!$AF310-'Row data'!$AG310-'Row data'!$AH310-'Row data'!$AI310</f>
        <v>17968</v>
      </c>
      <c r="AK310" s="39">
        <v>17968</v>
      </c>
      <c r="AL310" s="39">
        <v>0</v>
      </c>
    </row>
    <row r="311" spans="1:38" x14ac:dyDescent="0.3">
      <c r="A311" s="40">
        <v>310</v>
      </c>
      <c r="B311" s="35" t="s">
        <v>69</v>
      </c>
      <c r="C311" s="35">
        <v>7684011</v>
      </c>
      <c r="D311" s="36" t="s">
        <v>656</v>
      </c>
      <c r="E311" s="35" t="s">
        <v>38</v>
      </c>
      <c r="F311" s="35" t="s">
        <v>163</v>
      </c>
      <c r="G311" s="35" t="s">
        <v>50</v>
      </c>
      <c r="H311" s="37"/>
      <c r="I311" s="38">
        <v>44381</v>
      </c>
      <c r="J311" s="38">
        <v>44562</v>
      </c>
      <c r="K311" s="17">
        <f>YEAR('Row data'!$J311)</f>
        <v>2022</v>
      </c>
      <c r="L311" s="38">
        <v>28442</v>
      </c>
      <c r="M311" s="35" t="str">
        <f ca="1">IF('Row data'!$J311="",DATEDIF('Row data'!$L311,TODAY(),"y"),"0")</f>
        <v>0</v>
      </c>
      <c r="N311" s="35" t="s">
        <v>42</v>
      </c>
      <c r="O311" s="35" t="s">
        <v>553</v>
      </c>
      <c r="P311" s="39" t="s">
        <v>554</v>
      </c>
      <c r="Q311" s="39">
        <v>13405</v>
      </c>
      <c r="R311" s="39">
        <v>13405</v>
      </c>
      <c r="S311" s="39">
        <v>7303</v>
      </c>
      <c r="T311" s="39">
        <v>3652</v>
      </c>
      <c r="U311" s="39">
        <v>750</v>
      </c>
      <c r="V311" s="39">
        <v>450</v>
      </c>
      <c r="W311" s="39">
        <v>0</v>
      </c>
      <c r="X311" s="39">
        <v>0</v>
      </c>
      <c r="Y311" s="39">
        <v>1250</v>
      </c>
      <c r="Z311" s="39">
        <v>450</v>
      </c>
      <c r="AA311" s="39">
        <v>350</v>
      </c>
      <c r="AB311" s="39">
        <v>0</v>
      </c>
      <c r="AC311" s="39">
        <v>0</v>
      </c>
      <c r="AD311" s="39">
        <v>0</v>
      </c>
      <c r="AE311" s="39">
        <v>0</v>
      </c>
      <c r="AF311" s="39">
        <v>0</v>
      </c>
      <c r="AG311" s="39">
        <v>0</v>
      </c>
      <c r="AH311" s="39">
        <v>0</v>
      </c>
      <c r="AI311" s="39">
        <v>0</v>
      </c>
      <c r="AJ311" s="39">
        <f>'Row data'!$S311+'Row data'!$T311+'Row data'!$U311+'Row data'!$W311+'Row data'!$X311+'Row data'!$Y311+'Row data'!$Z311+'Row data'!$AA311+'Row data'!$AB311+'Row data'!$AD311-'Row data'!$AC311-'Row data'!$AE311-'Row data'!$AF311-'Row data'!$AG311-'Row data'!$AH311-'Row data'!$AI311</f>
        <v>13755</v>
      </c>
      <c r="AK311" s="39">
        <v>13755</v>
      </c>
      <c r="AL311" s="39">
        <v>0</v>
      </c>
    </row>
    <row r="312" spans="1:38" x14ac:dyDescent="0.3">
      <c r="A312" s="40">
        <v>311</v>
      </c>
      <c r="B312" s="35" t="s">
        <v>69</v>
      </c>
      <c r="C312" s="35">
        <v>6643765</v>
      </c>
      <c r="D312" s="36" t="s">
        <v>657</v>
      </c>
      <c r="E312" s="35" t="s">
        <v>38</v>
      </c>
      <c r="F312" s="35" t="s">
        <v>163</v>
      </c>
      <c r="G312" s="35" t="s">
        <v>50</v>
      </c>
      <c r="H312" s="37"/>
      <c r="I312" s="38">
        <v>44593</v>
      </c>
      <c r="J312" s="38"/>
      <c r="K312" s="17"/>
      <c r="L312" s="38">
        <v>34566</v>
      </c>
      <c r="M312" s="35">
        <f ca="1">IF('Row data'!$J312="",DATEDIF('Row data'!$L312,TODAY(),"y"),"0")</f>
        <v>32</v>
      </c>
      <c r="N312" s="35" t="s">
        <v>42</v>
      </c>
      <c r="O312" s="35" t="s">
        <v>553</v>
      </c>
      <c r="P312" s="39" t="s">
        <v>554</v>
      </c>
      <c r="Q312" s="39">
        <v>13405</v>
      </c>
      <c r="R312" s="39">
        <v>13405</v>
      </c>
      <c r="S312" s="39">
        <v>7303</v>
      </c>
      <c r="T312" s="39">
        <v>3652</v>
      </c>
      <c r="U312" s="39">
        <v>750</v>
      </c>
      <c r="V312" s="39">
        <v>450</v>
      </c>
      <c r="W312" s="39">
        <v>0</v>
      </c>
      <c r="X312" s="39">
        <v>0</v>
      </c>
      <c r="Y312" s="39">
        <v>1250</v>
      </c>
      <c r="Z312" s="39">
        <v>450</v>
      </c>
      <c r="AA312" s="39">
        <v>350</v>
      </c>
      <c r="AB312" s="39">
        <v>0</v>
      </c>
      <c r="AC312" s="39">
        <v>0</v>
      </c>
      <c r="AD312" s="39">
        <v>0</v>
      </c>
      <c r="AE312" s="39">
        <v>0</v>
      </c>
      <c r="AF312" s="39">
        <v>0</v>
      </c>
      <c r="AG312" s="39">
        <v>0</v>
      </c>
      <c r="AH312" s="39">
        <v>0</v>
      </c>
      <c r="AI312" s="39">
        <v>0</v>
      </c>
      <c r="AJ312" s="39">
        <f>'Row data'!$S312+'Row data'!$T312+'Row data'!$U312+'Row data'!$W312+'Row data'!$X312+'Row data'!$Y312+'Row data'!$Z312+'Row data'!$AA312+'Row data'!$AB312+'Row data'!$AD312-'Row data'!$AC312-'Row data'!$AE312-'Row data'!$AF312-'Row data'!$AG312-'Row data'!$AH312-'Row data'!$AI312</f>
        <v>13755</v>
      </c>
      <c r="AK312" s="39">
        <v>13755</v>
      </c>
      <c r="AL312" s="39">
        <v>0</v>
      </c>
    </row>
    <row r="313" spans="1:38" x14ac:dyDescent="0.3">
      <c r="A313" s="40">
        <v>312</v>
      </c>
      <c r="B313" s="35" t="s">
        <v>69</v>
      </c>
      <c r="C313" s="35">
        <v>9377562</v>
      </c>
      <c r="D313" s="36" t="s">
        <v>658</v>
      </c>
      <c r="E313" s="35" t="s">
        <v>38</v>
      </c>
      <c r="F313" s="35" t="s">
        <v>163</v>
      </c>
      <c r="G313" s="35" t="s">
        <v>50</v>
      </c>
      <c r="H313" s="37"/>
      <c r="I313" s="38">
        <v>44594</v>
      </c>
      <c r="J313" s="38"/>
      <c r="K313" s="17"/>
      <c r="L313" s="38">
        <v>35713</v>
      </c>
      <c r="M313" s="35">
        <f ca="1">IF('Row data'!$J313="",DATEDIF('Row data'!$L313,TODAY(),"y"),"0")</f>
        <v>28</v>
      </c>
      <c r="N313" s="35" t="s">
        <v>42</v>
      </c>
      <c r="O313" s="35" t="s">
        <v>553</v>
      </c>
      <c r="P313" s="39" t="s">
        <v>554</v>
      </c>
      <c r="Q313" s="39">
        <v>13405</v>
      </c>
      <c r="R313" s="39">
        <v>13405</v>
      </c>
      <c r="S313" s="39">
        <v>7303</v>
      </c>
      <c r="T313" s="39">
        <v>3652</v>
      </c>
      <c r="U313" s="39">
        <v>750</v>
      </c>
      <c r="V313" s="39">
        <v>450</v>
      </c>
      <c r="W313" s="39">
        <v>0</v>
      </c>
      <c r="X313" s="39">
        <v>0</v>
      </c>
      <c r="Y313" s="39">
        <v>1250</v>
      </c>
      <c r="Z313" s="39">
        <v>450</v>
      </c>
      <c r="AA313" s="39">
        <v>350</v>
      </c>
      <c r="AB313" s="39">
        <v>0</v>
      </c>
      <c r="AC313" s="39">
        <v>0</v>
      </c>
      <c r="AD313" s="39">
        <v>0</v>
      </c>
      <c r="AE313" s="39">
        <v>0</v>
      </c>
      <c r="AF313" s="39">
        <v>0</v>
      </c>
      <c r="AG313" s="39">
        <v>0</v>
      </c>
      <c r="AH313" s="39">
        <v>0</v>
      </c>
      <c r="AI313" s="39">
        <v>0</v>
      </c>
      <c r="AJ313" s="39">
        <f>'Row data'!$S313+'Row data'!$T313+'Row data'!$U313+'Row data'!$W313+'Row data'!$X313+'Row data'!$Y313+'Row data'!$Z313+'Row data'!$AA313+'Row data'!$AB313+'Row data'!$AD313-'Row data'!$AC313-'Row data'!$AE313-'Row data'!$AF313-'Row data'!$AG313-'Row data'!$AH313-'Row data'!$AI313</f>
        <v>13755</v>
      </c>
      <c r="AK313" s="39">
        <v>13755</v>
      </c>
      <c r="AL313" s="39">
        <v>0</v>
      </c>
    </row>
    <row r="314" spans="1:38" x14ac:dyDescent="0.3">
      <c r="A314" s="40">
        <v>313</v>
      </c>
      <c r="B314" s="35" t="s">
        <v>69</v>
      </c>
      <c r="C314" s="35">
        <v>9658362</v>
      </c>
      <c r="D314" s="36" t="s">
        <v>659</v>
      </c>
      <c r="E314" s="35" t="s">
        <v>38</v>
      </c>
      <c r="F314" s="35" t="s">
        <v>163</v>
      </c>
      <c r="G314" s="35" t="s">
        <v>164</v>
      </c>
      <c r="H314" s="37" t="s">
        <v>660</v>
      </c>
      <c r="I314" s="38">
        <v>37697</v>
      </c>
      <c r="J314" s="38"/>
      <c r="K314" s="17"/>
      <c r="L314" s="38">
        <v>29808</v>
      </c>
      <c r="M314" s="35">
        <f ca="1">IF('Row data'!$J314="",DATEDIF('Row data'!$L314,TODAY(),"y"),"0")</f>
        <v>45</v>
      </c>
      <c r="N314" s="35" t="s">
        <v>75</v>
      </c>
      <c r="O314" s="35" t="s">
        <v>43</v>
      </c>
      <c r="P314" s="39" t="s">
        <v>554</v>
      </c>
      <c r="Q314" s="39">
        <v>22614</v>
      </c>
      <c r="R314" s="39">
        <v>22614</v>
      </c>
      <c r="S314" s="39">
        <v>13443</v>
      </c>
      <c r="T314" s="39">
        <v>6721</v>
      </c>
      <c r="U314" s="39">
        <v>750</v>
      </c>
      <c r="V314" s="39">
        <v>450</v>
      </c>
      <c r="W314" s="39">
        <v>0</v>
      </c>
      <c r="X314" s="39">
        <v>0</v>
      </c>
      <c r="Y314" s="39">
        <v>1250</v>
      </c>
      <c r="Z314" s="39">
        <v>450</v>
      </c>
      <c r="AA314" s="39">
        <v>0</v>
      </c>
      <c r="AB314" s="39">
        <v>0</v>
      </c>
      <c r="AC314" s="39">
        <v>0</v>
      </c>
      <c r="AD314" s="39">
        <v>0</v>
      </c>
      <c r="AE314" s="39">
        <v>0</v>
      </c>
      <c r="AF314" s="39">
        <v>0</v>
      </c>
      <c r="AG314" s="39">
        <v>0</v>
      </c>
      <c r="AH314" s="39">
        <v>0</v>
      </c>
      <c r="AI314" s="39">
        <v>0</v>
      </c>
      <c r="AJ314" s="39">
        <f>'Row data'!$S314+'Row data'!$T314+'Row data'!$U314+'Row data'!$W314+'Row data'!$X314+'Row data'!$Y314+'Row data'!$Z314+'Row data'!$AA314+'Row data'!$AB314+'Row data'!$AD314-'Row data'!$AC314-'Row data'!$AE314-'Row data'!$AF314-'Row data'!$AG314-'Row data'!$AH314-'Row data'!$AI314</f>
        <v>22614</v>
      </c>
      <c r="AK314" s="39">
        <v>22614</v>
      </c>
      <c r="AL314" s="39">
        <v>0</v>
      </c>
    </row>
    <row r="315" spans="1:38" x14ac:dyDescent="0.3">
      <c r="A315" s="40">
        <v>314</v>
      </c>
      <c r="B315" s="35" t="s">
        <v>69</v>
      </c>
      <c r="C315" s="35">
        <v>9764417</v>
      </c>
      <c r="D315" s="36" t="s">
        <v>661</v>
      </c>
      <c r="E315" s="35" t="s">
        <v>38</v>
      </c>
      <c r="F315" s="35" t="s">
        <v>163</v>
      </c>
      <c r="G315" s="35" t="s">
        <v>164</v>
      </c>
      <c r="H315" s="37"/>
      <c r="I315" s="38">
        <v>42217</v>
      </c>
      <c r="J315" s="38"/>
      <c r="K315" s="17"/>
      <c r="L315" s="38">
        <v>26426</v>
      </c>
      <c r="M315" s="35">
        <f ca="1">IF('Row data'!$J315="",DATEDIF('Row data'!$L315,TODAY(),"y"),"0")</f>
        <v>54</v>
      </c>
      <c r="N315" s="35" t="s">
        <v>42</v>
      </c>
      <c r="O315" s="35" t="s">
        <v>553</v>
      </c>
      <c r="P315" s="39" t="s">
        <v>554</v>
      </c>
      <c r="Q315" s="39">
        <v>15337</v>
      </c>
      <c r="R315" s="39">
        <v>15030</v>
      </c>
      <c r="S315" s="39">
        <v>8591</v>
      </c>
      <c r="T315" s="39">
        <v>4296</v>
      </c>
      <c r="U315" s="39">
        <v>750</v>
      </c>
      <c r="V315" s="39">
        <v>450</v>
      </c>
      <c r="W315" s="39">
        <v>0</v>
      </c>
      <c r="X315" s="39">
        <v>0</v>
      </c>
      <c r="Y315" s="39">
        <v>1250</v>
      </c>
      <c r="Z315" s="39">
        <v>450</v>
      </c>
      <c r="AA315" s="39">
        <v>0</v>
      </c>
      <c r="AB315" s="39">
        <v>0</v>
      </c>
      <c r="AC315" s="39">
        <v>0</v>
      </c>
      <c r="AD315" s="39">
        <v>0</v>
      </c>
      <c r="AE315" s="39">
        <v>307</v>
      </c>
      <c r="AF315" s="39">
        <v>0</v>
      </c>
      <c r="AG315" s="39">
        <v>0</v>
      </c>
      <c r="AH315" s="39">
        <v>0</v>
      </c>
      <c r="AI315" s="39">
        <v>0</v>
      </c>
      <c r="AJ315" s="39">
        <f>'Row data'!$S315+'Row data'!$T315+'Row data'!$U315+'Row data'!$W315+'Row data'!$X315+'Row data'!$Y315+'Row data'!$Z315+'Row data'!$AA315+'Row data'!$AB315+'Row data'!$AD315-'Row data'!$AC315-'Row data'!$AE315-'Row data'!$AF315-'Row data'!$AG315-'Row data'!$AH315-'Row data'!$AI315</f>
        <v>15030</v>
      </c>
      <c r="AK315" s="39">
        <v>15030</v>
      </c>
      <c r="AL315" s="39">
        <v>0</v>
      </c>
    </row>
    <row r="316" spans="1:38" x14ac:dyDescent="0.3">
      <c r="A316" s="40">
        <v>315</v>
      </c>
      <c r="B316" s="35" t="s">
        <v>69</v>
      </c>
      <c r="C316" s="35">
        <v>9760803</v>
      </c>
      <c r="D316" s="36" t="s">
        <v>662</v>
      </c>
      <c r="E316" s="35" t="s">
        <v>38</v>
      </c>
      <c r="F316" s="35" t="s">
        <v>163</v>
      </c>
      <c r="G316" s="35" t="s">
        <v>50</v>
      </c>
      <c r="H316" s="37"/>
      <c r="I316" s="38">
        <v>44653</v>
      </c>
      <c r="J316" s="38"/>
      <c r="K316" s="17"/>
      <c r="L316" s="38">
        <v>32579</v>
      </c>
      <c r="M316" s="35">
        <f ca="1">IF('Row data'!$J316="",DATEDIF('Row data'!$L316,TODAY(),"y"),"0")</f>
        <v>37</v>
      </c>
      <c r="N316" s="35" t="s">
        <v>42</v>
      </c>
      <c r="O316" s="35" t="s">
        <v>553</v>
      </c>
      <c r="P316" s="39" t="s">
        <v>554</v>
      </c>
      <c r="Q316" s="39">
        <v>13405</v>
      </c>
      <c r="R316" s="39">
        <v>13405</v>
      </c>
      <c r="S316" s="39">
        <v>7303</v>
      </c>
      <c r="T316" s="39">
        <v>3652</v>
      </c>
      <c r="U316" s="39">
        <v>750</v>
      </c>
      <c r="V316" s="39">
        <v>450</v>
      </c>
      <c r="W316" s="39">
        <v>0</v>
      </c>
      <c r="X316" s="39">
        <v>0</v>
      </c>
      <c r="Y316" s="39">
        <v>1250</v>
      </c>
      <c r="Z316" s="39">
        <v>450</v>
      </c>
      <c r="AA316" s="39">
        <v>0</v>
      </c>
      <c r="AB316" s="39">
        <v>0</v>
      </c>
      <c r="AC316" s="39">
        <v>0</v>
      </c>
      <c r="AD316" s="39">
        <v>0</v>
      </c>
      <c r="AE316" s="39">
        <v>0</v>
      </c>
      <c r="AF316" s="39">
        <v>0</v>
      </c>
      <c r="AG316" s="39">
        <v>0</v>
      </c>
      <c r="AH316" s="39">
        <v>0</v>
      </c>
      <c r="AI316" s="39">
        <v>0</v>
      </c>
      <c r="AJ316" s="39">
        <f>'Row data'!$S316+'Row data'!$T316+'Row data'!$U316+'Row data'!$W316+'Row data'!$X316+'Row data'!$Y316+'Row data'!$Z316+'Row data'!$AA316+'Row data'!$AB316+'Row data'!$AD316-'Row data'!$AC316-'Row data'!$AE316-'Row data'!$AF316-'Row data'!$AG316-'Row data'!$AH316-'Row data'!$AI316</f>
        <v>13405</v>
      </c>
      <c r="AK316" s="39">
        <v>13405</v>
      </c>
      <c r="AL316" s="39">
        <v>0</v>
      </c>
    </row>
    <row r="317" spans="1:38" x14ac:dyDescent="0.3">
      <c r="A317" s="40">
        <v>316</v>
      </c>
      <c r="B317" s="35" t="s">
        <v>69</v>
      </c>
      <c r="C317" s="35">
        <v>6841740</v>
      </c>
      <c r="D317" s="36" t="s">
        <v>116</v>
      </c>
      <c r="E317" s="35" t="s">
        <v>38</v>
      </c>
      <c r="F317" s="35" t="s">
        <v>163</v>
      </c>
      <c r="G317" s="35" t="s">
        <v>50</v>
      </c>
      <c r="H317" s="37"/>
      <c r="I317" s="38">
        <v>43678</v>
      </c>
      <c r="J317" s="38"/>
      <c r="K317" s="17"/>
      <c r="L317" s="38">
        <v>32572</v>
      </c>
      <c r="M317" s="35">
        <f ca="1">IF('Row data'!$J317="",DATEDIF('Row data'!$L317,TODAY(),"y"),"0")</f>
        <v>37</v>
      </c>
      <c r="N317" s="35" t="s">
        <v>42</v>
      </c>
      <c r="O317" s="35" t="s">
        <v>553</v>
      </c>
      <c r="P317" s="39" t="s">
        <v>554</v>
      </c>
      <c r="Q317" s="39">
        <v>13405</v>
      </c>
      <c r="R317" s="39">
        <v>11318</v>
      </c>
      <c r="S317" s="39">
        <v>7303</v>
      </c>
      <c r="T317" s="39">
        <v>3652</v>
      </c>
      <c r="U317" s="39">
        <v>750</v>
      </c>
      <c r="V317" s="39">
        <v>450</v>
      </c>
      <c r="W317" s="39">
        <v>0</v>
      </c>
      <c r="X317" s="39">
        <v>0</v>
      </c>
      <c r="Y317" s="39">
        <v>1250</v>
      </c>
      <c r="Z317" s="39">
        <v>450</v>
      </c>
      <c r="AA317" s="39">
        <v>0</v>
      </c>
      <c r="AB317" s="39">
        <v>0</v>
      </c>
      <c r="AC317" s="39">
        <v>0</v>
      </c>
      <c r="AD317" s="39">
        <v>0</v>
      </c>
      <c r="AE317" s="39">
        <v>2087</v>
      </c>
      <c r="AF317" s="39">
        <v>0</v>
      </c>
      <c r="AG317" s="39">
        <v>0</v>
      </c>
      <c r="AH317" s="39">
        <v>0</v>
      </c>
      <c r="AI317" s="39">
        <v>0</v>
      </c>
      <c r="AJ317" s="39">
        <f>'Row data'!$S317+'Row data'!$T317+'Row data'!$U317+'Row data'!$W317+'Row data'!$X317+'Row data'!$Y317+'Row data'!$Z317+'Row data'!$AA317+'Row data'!$AB317+'Row data'!$AD317-'Row data'!$AC317-'Row data'!$AE317-'Row data'!$AF317-'Row data'!$AG317-'Row data'!$AH317-'Row data'!$AI317</f>
        <v>11318</v>
      </c>
      <c r="AK317" s="39">
        <v>11318</v>
      </c>
      <c r="AL317" s="39">
        <v>0</v>
      </c>
    </row>
    <row r="318" spans="1:38" x14ac:dyDescent="0.3">
      <c r="A318" s="40">
        <v>317</v>
      </c>
      <c r="B318" s="35" t="s">
        <v>69</v>
      </c>
      <c r="C318" s="35">
        <v>7785253</v>
      </c>
      <c r="D318" s="36" t="s">
        <v>663</v>
      </c>
      <c r="E318" s="35" t="s">
        <v>38</v>
      </c>
      <c r="F318" s="35" t="s">
        <v>163</v>
      </c>
      <c r="G318" s="35" t="s">
        <v>50</v>
      </c>
      <c r="H318" s="37"/>
      <c r="I318" s="38">
        <v>44713</v>
      </c>
      <c r="J318" s="38"/>
      <c r="K318" s="17"/>
      <c r="L318" s="38">
        <v>37900</v>
      </c>
      <c r="M318" s="35">
        <f ca="1">IF('Row data'!$J318="",DATEDIF('Row data'!$L318,TODAY(),"y"),"0")</f>
        <v>22</v>
      </c>
      <c r="N318" s="35" t="s">
        <v>42</v>
      </c>
      <c r="O318" s="35" t="s">
        <v>553</v>
      </c>
      <c r="P318" s="39" t="s">
        <v>554</v>
      </c>
      <c r="Q318" s="39">
        <v>13405</v>
      </c>
      <c r="R318" s="39">
        <v>13405</v>
      </c>
      <c r="S318" s="39">
        <v>7303</v>
      </c>
      <c r="T318" s="39">
        <v>3652</v>
      </c>
      <c r="U318" s="39">
        <v>750</v>
      </c>
      <c r="V318" s="39">
        <v>450</v>
      </c>
      <c r="W318" s="39">
        <v>0</v>
      </c>
      <c r="X318" s="39">
        <v>0</v>
      </c>
      <c r="Y318" s="39">
        <v>1250</v>
      </c>
      <c r="Z318" s="39">
        <v>450</v>
      </c>
      <c r="AA318" s="39">
        <v>0</v>
      </c>
      <c r="AB318" s="39">
        <v>0</v>
      </c>
      <c r="AC318" s="39">
        <v>0</v>
      </c>
      <c r="AD318" s="39">
        <v>0</v>
      </c>
      <c r="AE318" s="39">
        <v>0</v>
      </c>
      <c r="AF318" s="39">
        <v>0</v>
      </c>
      <c r="AG318" s="39">
        <v>0</v>
      </c>
      <c r="AH318" s="39">
        <v>0</v>
      </c>
      <c r="AI318" s="39">
        <v>0</v>
      </c>
      <c r="AJ318" s="39">
        <f>'Row data'!$S318+'Row data'!$T318+'Row data'!$U318+'Row data'!$W318+'Row data'!$X318+'Row data'!$Y318+'Row data'!$Z318+'Row data'!$AA318+'Row data'!$AB318+'Row data'!$AD318-'Row data'!$AC318-'Row data'!$AE318-'Row data'!$AF318-'Row data'!$AG318-'Row data'!$AH318-'Row data'!$AI318</f>
        <v>13405</v>
      </c>
      <c r="AK318" s="39">
        <v>13405</v>
      </c>
      <c r="AL318" s="39">
        <v>0</v>
      </c>
    </row>
    <row r="319" spans="1:38" x14ac:dyDescent="0.3">
      <c r="A319" s="40">
        <v>318</v>
      </c>
      <c r="B319" s="35" t="s">
        <v>69</v>
      </c>
      <c r="C319" s="35">
        <v>8610068</v>
      </c>
      <c r="D319" s="36" t="s">
        <v>664</v>
      </c>
      <c r="E319" s="35" t="s">
        <v>38</v>
      </c>
      <c r="F319" s="35" t="s">
        <v>163</v>
      </c>
      <c r="G319" s="35" t="s">
        <v>164</v>
      </c>
      <c r="H319" s="37"/>
      <c r="I319" s="38">
        <v>41762</v>
      </c>
      <c r="J319" s="38"/>
      <c r="K319" s="17"/>
      <c r="L319" s="38">
        <v>32874</v>
      </c>
      <c r="M319" s="35">
        <f ca="1">IF('Row data'!$J319="",DATEDIF('Row data'!$L319,TODAY(),"y"),"0")</f>
        <v>36</v>
      </c>
      <c r="N319" s="35" t="s">
        <v>42</v>
      </c>
      <c r="O319" s="35" t="s">
        <v>553</v>
      </c>
      <c r="P319" s="39" t="s">
        <v>554</v>
      </c>
      <c r="Q319" s="39">
        <v>15337</v>
      </c>
      <c r="R319" s="39">
        <v>15337</v>
      </c>
      <c r="S319" s="39">
        <v>8591</v>
      </c>
      <c r="T319" s="39">
        <v>4296</v>
      </c>
      <c r="U319" s="39">
        <v>750</v>
      </c>
      <c r="V319" s="39">
        <v>450</v>
      </c>
      <c r="W319" s="39">
        <v>0</v>
      </c>
      <c r="X319" s="39">
        <v>0</v>
      </c>
      <c r="Y319" s="39">
        <v>1250</v>
      </c>
      <c r="Z319" s="39">
        <v>450</v>
      </c>
      <c r="AA319" s="39">
        <v>350</v>
      </c>
      <c r="AB319" s="39">
        <v>0</v>
      </c>
      <c r="AC319" s="39">
        <v>0</v>
      </c>
      <c r="AD319" s="39">
        <v>0</v>
      </c>
      <c r="AE319" s="39">
        <v>0</v>
      </c>
      <c r="AF319" s="39">
        <v>0</v>
      </c>
      <c r="AG319" s="39">
        <v>0</v>
      </c>
      <c r="AH319" s="39">
        <v>0</v>
      </c>
      <c r="AI319" s="39">
        <v>0</v>
      </c>
      <c r="AJ319" s="39">
        <f>'Row data'!$S319+'Row data'!$T319+'Row data'!$U319+'Row data'!$W319+'Row data'!$X319+'Row data'!$Y319+'Row data'!$Z319+'Row data'!$AA319+'Row data'!$AB319+'Row data'!$AD319-'Row data'!$AC319-'Row data'!$AE319-'Row data'!$AF319-'Row data'!$AG319-'Row data'!$AH319-'Row data'!$AI319</f>
        <v>15687</v>
      </c>
      <c r="AK319" s="39">
        <v>15687</v>
      </c>
      <c r="AL319" s="39">
        <v>0</v>
      </c>
    </row>
    <row r="320" spans="1:38" x14ac:dyDescent="0.3">
      <c r="A320" s="40">
        <v>319</v>
      </c>
      <c r="B320" s="35" t="s">
        <v>69</v>
      </c>
      <c r="C320" s="35">
        <v>8581762</v>
      </c>
      <c r="D320" s="36" t="s">
        <v>665</v>
      </c>
      <c r="E320" s="35" t="s">
        <v>38</v>
      </c>
      <c r="F320" s="35" t="s">
        <v>163</v>
      </c>
      <c r="G320" s="35" t="s">
        <v>50</v>
      </c>
      <c r="H320" s="37"/>
      <c r="I320" s="38">
        <v>44760</v>
      </c>
      <c r="J320" s="38"/>
      <c r="K320" s="17"/>
      <c r="L320" s="38">
        <v>34049</v>
      </c>
      <c r="M320" s="35">
        <f ca="1">IF('Row data'!$J320="",DATEDIF('Row data'!$L320,TODAY(),"y"),"0")</f>
        <v>33</v>
      </c>
      <c r="N320" s="35" t="s">
        <v>42</v>
      </c>
      <c r="O320" s="35" t="s">
        <v>553</v>
      </c>
      <c r="P320" s="39" t="s">
        <v>554</v>
      </c>
      <c r="Q320" s="39">
        <v>13405</v>
      </c>
      <c r="R320" s="39">
        <v>13405</v>
      </c>
      <c r="S320" s="39">
        <v>7303</v>
      </c>
      <c r="T320" s="39">
        <v>3652</v>
      </c>
      <c r="U320" s="39">
        <v>750</v>
      </c>
      <c r="V320" s="39">
        <v>450</v>
      </c>
      <c r="W320" s="39">
        <v>0</v>
      </c>
      <c r="X320" s="39">
        <v>0</v>
      </c>
      <c r="Y320" s="39">
        <v>1250</v>
      </c>
      <c r="Z320" s="39">
        <v>450</v>
      </c>
      <c r="AA320" s="39">
        <v>250</v>
      </c>
      <c r="AB320" s="39">
        <v>0</v>
      </c>
      <c r="AC320" s="39">
        <v>0</v>
      </c>
      <c r="AD320" s="39">
        <v>0</v>
      </c>
      <c r="AE320" s="39">
        <v>0</v>
      </c>
      <c r="AF320" s="39">
        <v>0</v>
      </c>
      <c r="AG320" s="39">
        <v>0</v>
      </c>
      <c r="AH320" s="39">
        <v>0</v>
      </c>
      <c r="AI320" s="39">
        <v>0</v>
      </c>
      <c r="AJ320" s="39">
        <f>'Row data'!$S320+'Row data'!$T320+'Row data'!$U320+'Row data'!$W320+'Row data'!$X320+'Row data'!$Y320+'Row data'!$Z320+'Row data'!$AA320+'Row data'!$AB320+'Row data'!$AD320-'Row data'!$AC320-'Row data'!$AE320-'Row data'!$AF320-'Row data'!$AG320-'Row data'!$AH320-'Row data'!$AI320</f>
        <v>13655</v>
      </c>
      <c r="AK320" s="39">
        <v>13655</v>
      </c>
      <c r="AL320" s="39">
        <v>0</v>
      </c>
    </row>
    <row r="321" spans="1:38" x14ac:dyDescent="0.3">
      <c r="A321" s="40">
        <v>320</v>
      </c>
      <c r="B321" s="35" t="s">
        <v>69</v>
      </c>
      <c r="C321" s="35">
        <v>7060305</v>
      </c>
      <c r="D321" s="36" t="s">
        <v>666</v>
      </c>
      <c r="E321" s="35" t="s">
        <v>38</v>
      </c>
      <c r="F321" s="35" t="s">
        <v>163</v>
      </c>
      <c r="G321" s="35" t="s">
        <v>164</v>
      </c>
      <c r="H321" s="37" t="s">
        <v>667</v>
      </c>
      <c r="I321" s="38">
        <v>43800</v>
      </c>
      <c r="J321" s="38"/>
      <c r="K321" s="17"/>
      <c r="L321" s="38">
        <v>28086</v>
      </c>
      <c r="M321" s="35">
        <f ca="1">IF('Row data'!$J321="",DATEDIF('Row data'!$L321,TODAY(),"y"),"0")</f>
        <v>49</v>
      </c>
      <c r="N321" s="35" t="s">
        <v>42</v>
      </c>
      <c r="O321" s="35" t="s">
        <v>43</v>
      </c>
      <c r="P321" s="39" t="s">
        <v>554</v>
      </c>
      <c r="Q321" s="39">
        <v>26648</v>
      </c>
      <c r="R321" s="39">
        <v>26648</v>
      </c>
      <c r="S321" s="39">
        <v>16132</v>
      </c>
      <c r="T321" s="39">
        <v>8066</v>
      </c>
      <c r="U321" s="39">
        <v>750</v>
      </c>
      <c r="V321" s="39">
        <v>450</v>
      </c>
      <c r="W321" s="39">
        <v>0</v>
      </c>
      <c r="X321" s="39">
        <v>0</v>
      </c>
      <c r="Y321" s="39">
        <v>1250</v>
      </c>
      <c r="Z321" s="39">
        <v>450</v>
      </c>
      <c r="AA321" s="39">
        <v>350</v>
      </c>
      <c r="AB321" s="39">
        <v>0</v>
      </c>
      <c r="AC321" s="39">
        <v>0</v>
      </c>
      <c r="AD321" s="39">
        <v>0</v>
      </c>
      <c r="AE321" s="39">
        <v>0</v>
      </c>
      <c r="AF321" s="39">
        <v>0</v>
      </c>
      <c r="AG321" s="39">
        <v>0</v>
      </c>
      <c r="AH321" s="39">
        <v>0</v>
      </c>
      <c r="AI321" s="39">
        <v>0</v>
      </c>
      <c r="AJ321" s="39">
        <f>'Row data'!$S321+'Row data'!$T321+'Row data'!$U321+'Row data'!$W321+'Row data'!$X321+'Row data'!$Y321+'Row data'!$Z321+'Row data'!$AA321+'Row data'!$AB321+'Row data'!$AD321-'Row data'!$AC321-'Row data'!$AE321-'Row data'!$AF321-'Row data'!$AG321-'Row data'!$AH321-'Row data'!$AI321</f>
        <v>26998</v>
      </c>
      <c r="AK321" s="39">
        <v>26998</v>
      </c>
      <c r="AL321" s="39">
        <v>0</v>
      </c>
    </row>
    <row r="322" spans="1:38" x14ac:dyDescent="0.3">
      <c r="A322" s="40">
        <v>321</v>
      </c>
      <c r="B322" s="35" t="s">
        <v>69</v>
      </c>
      <c r="C322" s="35">
        <v>6744089</v>
      </c>
      <c r="D322" s="36" t="s">
        <v>668</v>
      </c>
      <c r="E322" s="35" t="s">
        <v>38</v>
      </c>
      <c r="F322" s="35" t="s">
        <v>163</v>
      </c>
      <c r="G322" s="35" t="s">
        <v>50</v>
      </c>
      <c r="H322" s="37"/>
      <c r="I322" s="38">
        <v>44569</v>
      </c>
      <c r="J322" s="38"/>
      <c r="K322" s="17"/>
      <c r="L322" s="38">
        <v>31245</v>
      </c>
      <c r="M322" s="35">
        <f ca="1">IF('Row data'!$J322="",DATEDIF('Row data'!$L322,TODAY(),"y"),"0")</f>
        <v>41</v>
      </c>
      <c r="N322" s="35" t="s">
        <v>42</v>
      </c>
      <c r="O322" s="35" t="s">
        <v>553</v>
      </c>
      <c r="P322" s="39" t="s">
        <v>554</v>
      </c>
      <c r="Q322" s="39">
        <v>13405</v>
      </c>
      <c r="R322" s="39">
        <v>13405</v>
      </c>
      <c r="S322" s="39">
        <v>7303</v>
      </c>
      <c r="T322" s="39">
        <v>3652</v>
      </c>
      <c r="U322" s="39">
        <v>750</v>
      </c>
      <c r="V322" s="39">
        <v>450</v>
      </c>
      <c r="W322" s="39">
        <v>0</v>
      </c>
      <c r="X322" s="39">
        <v>0</v>
      </c>
      <c r="Y322" s="39">
        <v>1250</v>
      </c>
      <c r="Z322" s="39">
        <v>450</v>
      </c>
      <c r="AA322" s="39">
        <v>350</v>
      </c>
      <c r="AB322" s="39">
        <v>0</v>
      </c>
      <c r="AC322" s="39">
        <v>0</v>
      </c>
      <c r="AD322" s="39">
        <v>0</v>
      </c>
      <c r="AE322" s="39">
        <v>0</v>
      </c>
      <c r="AF322" s="39">
        <v>0</v>
      </c>
      <c r="AG322" s="39">
        <v>0</v>
      </c>
      <c r="AH322" s="39">
        <v>0</v>
      </c>
      <c r="AI322" s="39">
        <v>0</v>
      </c>
      <c r="AJ322" s="39">
        <f>'Row data'!$S322+'Row data'!$T322+'Row data'!$U322+'Row data'!$W322+'Row data'!$X322+'Row data'!$Y322+'Row data'!$Z322+'Row data'!$AA322+'Row data'!$AB322+'Row data'!$AD322-'Row data'!$AC322-'Row data'!$AE322-'Row data'!$AF322-'Row data'!$AG322-'Row data'!$AH322-'Row data'!$AI322</f>
        <v>13755</v>
      </c>
      <c r="AK322" s="39">
        <v>13755</v>
      </c>
      <c r="AL322" s="39">
        <v>0</v>
      </c>
    </row>
    <row r="323" spans="1:38" x14ac:dyDescent="0.3">
      <c r="A323" s="40">
        <v>322</v>
      </c>
      <c r="B323" s="35" t="s">
        <v>69</v>
      </c>
      <c r="C323" s="35">
        <v>6833980</v>
      </c>
      <c r="D323" s="36" t="s">
        <v>669</v>
      </c>
      <c r="E323" s="35" t="s">
        <v>38</v>
      </c>
      <c r="F323" s="35" t="s">
        <v>163</v>
      </c>
      <c r="G323" s="35" t="s">
        <v>50</v>
      </c>
      <c r="H323" s="37"/>
      <c r="I323" s="38">
        <v>44262</v>
      </c>
      <c r="J323" s="38"/>
      <c r="K323" s="17"/>
      <c r="L323" s="38">
        <v>35431</v>
      </c>
      <c r="M323" s="35">
        <f ca="1">IF('Row data'!$J323="",DATEDIF('Row data'!$L323,TODAY(),"y"),"0")</f>
        <v>29</v>
      </c>
      <c r="N323" s="35" t="s">
        <v>42</v>
      </c>
      <c r="O323" s="35" t="s">
        <v>553</v>
      </c>
      <c r="P323" s="39" t="s">
        <v>554</v>
      </c>
      <c r="Q323" s="39">
        <v>13405</v>
      </c>
      <c r="R323" s="39">
        <v>13405</v>
      </c>
      <c r="S323" s="39">
        <v>7303</v>
      </c>
      <c r="T323" s="39">
        <v>3652</v>
      </c>
      <c r="U323" s="39">
        <v>750</v>
      </c>
      <c r="V323" s="39">
        <v>450</v>
      </c>
      <c r="W323" s="39">
        <v>0</v>
      </c>
      <c r="X323" s="39">
        <v>0</v>
      </c>
      <c r="Y323" s="39">
        <v>1250</v>
      </c>
      <c r="Z323" s="39">
        <v>450</v>
      </c>
      <c r="AA323" s="39">
        <v>350</v>
      </c>
      <c r="AB323" s="39">
        <v>0</v>
      </c>
      <c r="AC323" s="39">
        <v>0</v>
      </c>
      <c r="AD323" s="39">
        <v>0</v>
      </c>
      <c r="AE323" s="39">
        <v>0</v>
      </c>
      <c r="AF323" s="39">
        <v>0</v>
      </c>
      <c r="AG323" s="39">
        <v>0</v>
      </c>
      <c r="AH323" s="39">
        <v>0</v>
      </c>
      <c r="AI323" s="39">
        <v>0</v>
      </c>
      <c r="AJ323" s="39">
        <f>'Row data'!$S323+'Row data'!$T323+'Row data'!$U323+'Row data'!$W323+'Row data'!$X323+'Row data'!$Y323+'Row data'!$Z323+'Row data'!$AA323+'Row data'!$AB323+'Row data'!$AD323-'Row data'!$AC323-'Row data'!$AE323-'Row data'!$AF323-'Row data'!$AG323-'Row data'!$AH323-'Row data'!$AI323</f>
        <v>13755</v>
      </c>
      <c r="AK323" s="39">
        <v>13755</v>
      </c>
      <c r="AL323" s="39">
        <v>0</v>
      </c>
    </row>
    <row r="324" spans="1:38" x14ac:dyDescent="0.3">
      <c r="A324" s="40">
        <v>323</v>
      </c>
      <c r="B324" s="35" t="s">
        <v>69</v>
      </c>
      <c r="C324" s="35">
        <v>6172348</v>
      </c>
      <c r="D324" s="36" t="s">
        <v>670</v>
      </c>
      <c r="E324" s="35" t="s">
        <v>38</v>
      </c>
      <c r="F324" s="35" t="s">
        <v>163</v>
      </c>
      <c r="G324" s="35" t="s">
        <v>164</v>
      </c>
      <c r="H324" s="37"/>
      <c r="I324" s="38">
        <v>44235</v>
      </c>
      <c r="J324" s="38"/>
      <c r="K324" s="17"/>
      <c r="L324" s="38">
        <v>1</v>
      </c>
      <c r="M324" s="35">
        <f ca="1">IF('Row data'!$J324="",DATEDIF('Row data'!$L324,TODAY(),"y"),"0")</f>
        <v>126</v>
      </c>
      <c r="N324" s="35" t="s">
        <v>42</v>
      </c>
      <c r="O324" s="35" t="s">
        <v>553</v>
      </c>
      <c r="P324" s="39" t="s">
        <v>554</v>
      </c>
      <c r="Q324" s="39">
        <v>15337</v>
      </c>
      <c r="R324" s="39">
        <v>15337</v>
      </c>
      <c r="S324" s="39">
        <v>8591</v>
      </c>
      <c r="T324" s="39">
        <v>4296</v>
      </c>
      <c r="U324" s="39">
        <v>750</v>
      </c>
      <c r="V324" s="39">
        <v>450</v>
      </c>
      <c r="W324" s="39">
        <v>0</v>
      </c>
      <c r="X324" s="39">
        <v>0</v>
      </c>
      <c r="Y324" s="39">
        <v>1250</v>
      </c>
      <c r="Z324" s="39">
        <v>450</v>
      </c>
      <c r="AA324" s="39">
        <v>350</v>
      </c>
      <c r="AB324" s="39">
        <v>0</v>
      </c>
      <c r="AC324" s="39">
        <v>0</v>
      </c>
      <c r="AD324" s="39">
        <v>0</v>
      </c>
      <c r="AE324" s="39">
        <v>0</v>
      </c>
      <c r="AF324" s="39">
        <v>0</v>
      </c>
      <c r="AG324" s="39">
        <v>0</v>
      </c>
      <c r="AH324" s="39">
        <v>0</v>
      </c>
      <c r="AI324" s="39">
        <v>0</v>
      </c>
      <c r="AJ324" s="39">
        <f>'Row data'!$S324+'Row data'!$T324+'Row data'!$U324+'Row data'!$W324+'Row data'!$X324+'Row data'!$Y324+'Row data'!$Z324+'Row data'!$AA324+'Row data'!$AB324+'Row data'!$AD324-'Row data'!$AC324-'Row data'!$AE324-'Row data'!$AF324-'Row data'!$AG324-'Row data'!$AH324-'Row data'!$AI324</f>
        <v>15687</v>
      </c>
      <c r="AK324" s="39">
        <v>15687</v>
      </c>
      <c r="AL324" s="39">
        <v>0</v>
      </c>
    </row>
    <row r="325" spans="1:38" x14ac:dyDescent="0.3">
      <c r="A325" s="40">
        <v>324</v>
      </c>
      <c r="B325" s="35" t="s">
        <v>69</v>
      </c>
      <c r="C325" s="35">
        <v>9267989</v>
      </c>
      <c r="D325" s="36" t="s">
        <v>671</v>
      </c>
      <c r="E325" s="35" t="s">
        <v>38</v>
      </c>
      <c r="F325" s="35" t="s">
        <v>169</v>
      </c>
      <c r="G325" s="35" t="s">
        <v>50</v>
      </c>
      <c r="H325" s="37"/>
      <c r="I325" s="38">
        <v>44994</v>
      </c>
      <c r="J325" s="38"/>
      <c r="K325" s="17"/>
      <c r="L325" s="38">
        <v>34802</v>
      </c>
      <c r="M325" s="35">
        <f ca="1">IF('Row data'!$J325="",DATEDIF('Row data'!$L325,TODAY(),"y"),"0")</f>
        <v>31</v>
      </c>
      <c r="N325" s="35" t="s">
        <v>75</v>
      </c>
      <c r="O325" s="35" t="s">
        <v>553</v>
      </c>
      <c r="P325" s="39" t="s">
        <v>554</v>
      </c>
      <c r="Q325" s="39">
        <v>13405</v>
      </c>
      <c r="R325" s="39">
        <v>13405</v>
      </c>
      <c r="S325" s="39">
        <v>7303</v>
      </c>
      <c r="T325" s="39">
        <v>3652</v>
      </c>
      <c r="U325" s="39">
        <v>750</v>
      </c>
      <c r="V325" s="39">
        <v>450</v>
      </c>
      <c r="W325" s="39">
        <v>0</v>
      </c>
      <c r="X325" s="39">
        <v>0</v>
      </c>
      <c r="Y325" s="39">
        <v>1250</v>
      </c>
      <c r="Z325" s="39">
        <v>450</v>
      </c>
      <c r="AA325" s="39">
        <v>350</v>
      </c>
      <c r="AB325" s="39">
        <v>0</v>
      </c>
      <c r="AC325" s="39">
        <v>0</v>
      </c>
      <c r="AD325" s="39">
        <v>0</v>
      </c>
      <c r="AE325" s="39">
        <v>0</v>
      </c>
      <c r="AF325" s="39">
        <v>0</v>
      </c>
      <c r="AG325" s="39">
        <v>0</v>
      </c>
      <c r="AH325" s="39">
        <v>0</v>
      </c>
      <c r="AI325" s="39">
        <v>0</v>
      </c>
      <c r="AJ325" s="39">
        <f>'Row data'!$S325+'Row data'!$T325+'Row data'!$U325+'Row data'!$W325+'Row data'!$X325+'Row data'!$Y325+'Row data'!$Z325+'Row data'!$AA325+'Row data'!$AB325+'Row data'!$AD325-'Row data'!$AC325-'Row data'!$AE325-'Row data'!$AF325-'Row data'!$AG325-'Row data'!$AH325-'Row data'!$AI325</f>
        <v>13755</v>
      </c>
      <c r="AK325" s="39">
        <v>13755</v>
      </c>
      <c r="AL325" s="39">
        <v>0</v>
      </c>
    </row>
    <row r="326" spans="1:38" x14ac:dyDescent="0.3">
      <c r="A326" s="40">
        <v>325</v>
      </c>
      <c r="B326" s="35" t="s">
        <v>69</v>
      </c>
      <c r="C326" s="35">
        <v>6690920</v>
      </c>
      <c r="D326" s="36" t="s">
        <v>672</v>
      </c>
      <c r="E326" s="35" t="s">
        <v>38</v>
      </c>
      <c r="F326" s="35" t="s">
        <v>169</v>
      </c>
      <c r="G326" s="35" t="s">
        <v>50</v>
      </c>
      <c r="H326" s="37"/>
      <c r="I326" s="38">
        <v>44994</v>
      </c>
      <c r="J326" s="38"/>
      <c r="K326" s="17"/>
      <c r="L326" s="38">
        <v>35583</v>
      </c>
      <c r="M326" s="35">
        <f ca="1">IF('Row data'!$J326="",DATEDIF('Row data'!$L326,TODAY(),"y"),"0")</f>
        <v>29</v>
      </c>
      <c r="N326" s="35" t="s">
        <v>75</v>
      </c>
      <c r="O326" s="35" t="s">
        <v>553</v>
      </c>
      <c r="P326" s="39" t="s">
        <v>554</v>
      </c>
      <c r="Q326" s="39">
        <v>13405</v>
      </c>
      <c r="R326" s="39">
        <v>13405</v>
      </c>
      <c r="S326" s="39">
        <v>7303</v>
      </c>
      <c r="T326" s="39">
        <v>3652</v>
      </c>
      <c r="U326" s="39">
        <v>750</v>
      </c>
      <c r="V326" s="39">
        <v>450</v>
      </c>
      <c r="W326" s="39">
        <v>0</v>
      </c>
      <c r="X326" s="39">
        <v>0</v>
      </c>
      <c r="Y326" s="39">
        <v>1250</v>
      </c>
      <c r="Z326" s="39">
        <v>450</v>
      </c>
      <c r="AA326" s="39">
        <v>350</v>
      </c>
      <c r="AB326" s="39">
        <v>0</v>
      </c>
      <c r="AC326" s="39">
        <v>0</v>
      </c>
      <c r="AD326" s="39">
        <v>0</v>
      </c>
      <c r="AE326" s="39">
        <v>0</v>
      </c>
      <c r="AF326" s="39">
        <v>0</v>
      </c>
      <c r="AG326" s="39">
        <v>0</v>
      </c>
      <c r="AH326" s="39">
        <v>0</v>
      </c>
      <c r="AI326" s="39">
        <v>0</v>
      </c>
      <c r="AJ326" s="39">
        <f>'Row data'!$S326+'Row data'!$T326+'Row data'!$U326+'Row data'!$W326+'Row data'!$X326+'Row data'!$Y326+'Row data'!$Z326+'Row data'!$AA326+'Row data'!$AB326+'Row data'!$AD326-'Row data'!$AC326-'Row data'!$AE326-'Row data'!$AF326-'Row data'!$AG326-'Row data'!$AH326-'Row data'!$AI326</f>
        <v>13755</v>
      </c>
      <c r="AK326" s="39">
        <v>13755</v>
      </c>
      <c r="AL326" s="39">
        <v>0</v>
      </c>
    </row>
    <row r="327" spans="1:38" x14ac:dyDescent="0.3">
      <c r="A327" s="40">
        <v>326</v>
      </c>
      <c r="B327" s="35" t="s">
        <v>69</v>
      </c>
      <c r="C327" s="35">
        <v>6590865</v>
      </c>
      <c r="D327" s="36" t="s">
        <v>673</v>
      </c>
      <c r="E327" s="35" t="s">
        <v>38</v>
      </c>
      <c r="F327" s="35" t="s">
        <v>169</v>
      </c>
      <c r="G327" s="35" t="s">
        <v>164</v>
      </c>
      <c r="H327" s="37"/>
      <c r="I327" s="38">
        <v>43074</v>
      </c>
      <c r="J327" s="38"/>
      <c r="K327" s="17"/>
      <c r="L327" s="38">
        <v>29992</v>
      </c>
      <c r="M327" s="35">
        <f ca="1">IF('Row data'!$J327="",DATEDIF('Row data'!$L327,TODAY(),"y"),"0")</f>
        <v>44</v>
      </c>
      <c r="N327" s="35" t="s">
        <v>75</v>
      </c>
      <c r="O327" s="35" t="s">
        <v>553</v>
      </c>
      <c r="P327" s="39" t="s">
        <v>554</v>
      </c>
      <c r="Q327" s="39">
        <v>15337</v>
      </c>
      <c r="R327" s="39">
        <v>15337</v>
      </c>
      <c r="S327" s="39">
        <v>8591</v>
      </c>
      <c r="T327" s="39">
        <v>4296</v>
      </c>
      <c r="U327" s="39">
        <v>750</v>
      </c>
      <c r="V327" s="39">
        <v>450</v>
      </c>
      <c r="W327" s="39">
        <v>0</v>
      </c>
      <c r="X327" s="39">
        <v>0</v>
      </c>
      <c r="Y327" s="39">
        <v>1250</v>
      </c>
      <c r="Z327" s="39">
        <v>450</v>
      </c>
      <c r="AA327" s="39">
        <v>0</v>
      </c>
      <c r="AB327" s="39">
        <v>0</v>
      </c>
      <c r="AC327" s="39">
        <v>0</v>
      </c>
      <c r="AD327" s="39">
        <v>0</v>
      </c>
      <c r="AE327" s="39">
        <v>0</v>
      </c>
      <c r="AF327" s="39">
        <v>0</v>
      </c>
      <c r="AG327" s="39">
        <v>0</v>
      </c>
      <c r="AH327" s="39">
        <v>0</v>
      </c>
      <c r="AI327" s="39">
        <v>0</v>
      </c>
      <c r="AJ327" s="39">
        <f>'Row data'!$S327+'Row data'!$T327+'Row data'!$U327+'Row data'!$W327+'Row data'!$X327+'Row data'!$Y327+'Row data'!$Z327+'Row data'!$AA327+'Row data'!$AB327+'Row data'!$AD327-'Row data'!$AC327-'Row data'!$AE327-'Row data'!$AF327-'Row data'!$AG327-'Row data'!$AH327-'Row data'!$AI327</f>
        <v>15337</v>
      </c>
      <c r="AK327" s="39">
        <v>15337</v>
      </c>
      <c r="AL327" s="39">
        <v>0</v>
      </c>
    </row>
    <row r="328" spans="1:38" x14ac:dyDescent="0.3">
      <c r="A328" s="40">
        <v>327</v>
      </c>
      <c r="B328" s="35" t="s">
        <v>69</v>
      </c>
      <c r="C328" s="35">
        <v>8427506</v>
      </c>
      <c r="D328" s="36" t="s">
        <v>674</v>
      </c>
      <c r="E328" s="35" t="s">
        <v>38</v>
      </c>
      <c r="F328" s="35" t="s">
        <v>169</v>
      </c>
      <c r="G328" s="35" t="s">
        <v>170</v>
      </c>
      <c r="H328" s="37"/>
      <c r="I328" s="38">
        <v>44766</v>
      </c>
      <c r="J328" s="38"/>
      <c r="K328" s="17"/>
      <c r="L328" s="38">
        <v>30677</v>
      </c>
      <c r="M328" s="35">
        <f ca="1">IF('Row data'!$J328="",DATEDIF('Row data'!$L328,TODAY(),"y"),"0")</f>
        <v>42</v>
      </c>
      <c r="N328" s="35" t="s">
        <v>75</v>
      </c>
      <c r="O328" s="35" t="s">
        <v>553</v>
      </c>
      <c r="P328" s="39" t="s">
        <v>554</v>
      </c>
      <c r="Q328" s="39">
        <v>13405</v>
      </c>
      <c r="R328" s="39">
        <v>13405</v>
      </c>
      <c r="S328" s="39">
        <v>7303</v>
      </c>
      <c r="T328" s="39">
        <v>3652</v>
      </c>
      <c r="U328" s="39">
        <v>750</v>
      </c>
      <c r="V328" s="39">
        <v>450</v>
      </c>
      <c r="W328" s="39">
        <v>0</v>
      </c>
      <c r="X328" s="39">
        <v>0</v>
      </c>
      <c r="Y328" s="39">
        <v>1250</v>
      </c>
      <c r="Z328" s="39">
        <v>450</v>
      </c>
      <c r="AA328" s="39">
        <v>350</v>
      </c>
      <c r="AB328" s="39">
        <v>0</v>
      </c>
      <c r="AC328" s="39">
        <v>0</v>
      </c>
      <c r="AD328" s="39">
        <v>0</v>
      </c>
      <c r="AE328" s="39">
        <v>0</v>
      </c>
      <c r="AF328" s="39">
        <v>0</v>
      </c>
      <c r="AG328" s="39">
        <v>0</v>
      </c>
      <c r="AH328" s="39">
        <v>0</v>
      </c>
      <c r="AI328" s="39">
        <v>0</v>
      </c>
      <c r="AJ328" s="39">
        <f>'Row data'!$S328+'Row data'!$T328+'Row data'!$U328+'Row data'!$W328+'Row data'!$X328+'Row data'!$Y328+'Row data'!$Z328+'Row data'!$AA328+'Row data'!$AB328+'Row data'!$AD328-'Row data'!$AC328-'Row data'!$AE328-'Row data'!$AF328-'Row data'!$AG328-'Row data'!$AH328-'Row data'!$AI328</f>
        <v>13755</v>
      </c>
      <c r="AK328" s="39">
        <v>13755</v>
      </c>
      <c r="AL328" s="39">
        <v>0</v>
      </c>
    </row>
    <row r="329" spans="1:38" x14ac:dyDescent="0.3">
      <c r="A329" s="40">
        <v>328</v>
      </c>
      <c r="B329" s="35" t="s">
        <v>69</v>
      </c>
      <c r="C329" s="35">
        <v>7954515</v>
      </c>
      <c r="D329" s="36" t="s">
        <v>675</v>
      </c>
      <c r="E329" s="35" t="s">
        <v>38</v>
      </c>
      <c r="F329" s="35" t="s">
        <v>169</v>
      </c>
      <c r="G329" s="35" t="s">
        <v>50</v>
      </c>
      <c r="H329" s="37"/>
      <c r="I329" s="38">
        <v>44726</v>
      </c>
      <c r="J329" s="38"/>
      <c r="K329" s="17"/>
      <c r="L329" s="38">
        <v>34315</v>
      </c>
      <c r="M329" s="35">
        <f ca="1">IF('Row data'!$J329="",DATEDIF('Row data'!$L329,TODAY(),"y"),"0")</f>
        <v>32</v>
      </c>
      <c r="N329" s="35" t="s">
        <v>75</v>
      </c>
      <c r="O329" s="35" t="s">
        <v>553</v>
      </c>
      <c r="P329" s="39" t="s">
        <v>554</v>
      </c>
      <c r="Q329" s="39">
        <v>13405</v>
      </c>
      <c r="R329" s="39">
        <v>13405</v>
      </c>
      <c r="S329" s="39">
        <v>7303</v>
      </c>
      <c r="T329" s="39">
        <v>3652</v>
      </c>
      <c r="U329" s="39">
        <v>750</v>
      </c>
      <c r="V329" s="39">
        <v>450</v>
      </c>
      <c r="W329" s="39">
        <v>0</v>
      </c>
      <c r="X329" s="39">
        <v>0</v>
      </c>
      <c r="Y329" s="39">
        <v>1250</v>
      </c>
      <c r="Z329" s="39">
        <v>450</v>
      </c>
      <c r="AA329" s="39">
        <v>350</v>
      </c>
      <c r="AB329" s="39">
        <v>0</v>
      </c>
      <c r="AC329" s="39">
        <v>0</v>
      </c>
      <c r="AD329" s="39">
        <v>0</v>
      </c>
      <c r="AE329" s="39">
        <v>0</v>
      </c>
      <c r="AF329" s="39">
        <v>0</v>
      </c>
      <c r="AG329" s="39">
        <v>0</v>
      </c>
      <c r="AH329" s="39">
        <v>0</v>
      </c>
      <c r="AI329" s="39">
        <v>0</v>
      </c>
      <c r="AJ329" s="39">
        <f>'Row data'!$S329+'Row data'!$T329+'Row data'!$U329+'Row data'!$W329+'Row data'!$X329+'Row data'!$Y329+'Row data'!$Z329+'Row data'!$AA329+'Row data'!$AB329+'Row data'!$AD329-'Row data'!$AC329-'Row data'!$AE329-'Row data'!$AF329-'Row data'!$AG329-'Row data'!$AH329-'Row data'!$AI329</f>
        <v>13755</v>
      </c>
      <c r="AK329" s="39">
        <v>13755</v>
      </c>
      <c r="AL329" s="39">
        <v>0</v>
      </c>
    </row>
    <row r="330" spans="1:38" x14ac:dyDescent="0.3">
      <c r="A330" s="40">
        <v>329</v>
      </c>
      <c r="B330" s="35" t="s">
        <v>69</v>
      </c>
      <c r="C330" s="35">
        <v>6287921</v>
      </c>
      <c r="D330" s="36" t="s">
        <v>676</v>
      </c>
      <c r="E330" s="35" t="s">
        <v>38</v>
      </c>
      <c r="F330" s="35" t="s">
        <v>169</v>
      </c>
      <c r="G330" s="35" t="s">
        <v>50</v>
      </c>
      <c r="H330" s="37"/>
      <c r="I330" s="38">
        <v>44713</v>
      </c>
      <c r="J330" s="38"/>
      <c r="K330" s="17"/>
      <c r="L330" s="38">
        <v>31700</v>
      </c>
      <c r="M330" s="35">
        <f ca="1">IF('Row data'!$J330="",DATEDIF('Row data'!$L330,TODAY(),"y"),"0")</f>
        <v>39</v>
      </c>
      <c r="N330" s="35" t="s">
        <v>75</v>
      </c>
      <c r="O330" s="35" t="s">
        <v>553</v>
      </c>
      <c r="P330" s="39" t="s">
        <v>554</v>
      </c>
      <c r="Q330" s="39">
        <v>13405</v>
      </c>
      <c r="R330" s="39">
        <v>13405</v>
      </c>
      <c r="S330" s="39">
        <v>7303</v>
      </c>
      <c r="T330" s="39">
        <v>3652</v>
      </c>
      <c r="U330" s="39">
        <v>750</v>
      </c>
      <c r="V330" s="39">
        <v>450</v>
      </c>
      <c r="W330" s="39">
        <v>0</v>
      </c>
      <c r="X330" s="39">
        <v>0</v>
      </c>
      <c r="Y330" s="39">
        <v>1250</v>
      </c>
      <c r="Z330" s="39">
        <v>450</v>
      </c>
      <c r="AA330" s="39">
        <v>350</v>
      </c>
      <c r="AB330" s="39">
        <v>0</v>
      </c>
      <c r="AC330" s="39">
        <v>0</v>
      </c>
      <c r="AD330" s="39">
        <v>0</v>
      </c>
      <c r="AE330" s="39">
        <v>0</v>
      </c>
      <c r="AF330" s="39">
        <v>0</v>
      </c>
      <c r="AG330" s="39">
        <v>0</v>
      </c>
      <c r="AH330" s="39">
        <v>0</v>
      </c>
      <c r="AI330" s="39">
        <v>0</v>
      </c>
      <c r="AJ330" s="39">
        <f>'Row data'!$S330+'Row data'!$T330+'Row data'!$U330+'Row data'!$W330+'Row data'!$X330+'Row data'!$Y330+'Row data'!$Z330+'Row data'!$AA330+'Row data'!$AB330+'Row data'!$AD330-'Row data'!$AC330-'Row data'!$AE330-'Row data'!$AF330-'Row data'!$AG330-'Row data'!$AH330-'Row data'!$AI330</f>
        <v>13755</v>
      </c>
      <c r="AK330" s="39">
        <v>13755</v>
      </c>
      <c r="AL330" s="39">
        <v>0</v>
      </c>
    </row>
    <row r="331" spans="1:38" x14ac:dyDescent="0.3">
      <c r="A331" s="40">
        <v>330</v>
      </c>
      <c r="B331" s="35" t="s">
        <v>69</v>
      </c>
      <c r="C331" s="35">
        <v>6096382</v>
      </c>
      <c r="D331" s="36" t="s">
        <v>677</v>
      </c>
      <c r="E331" s="35" t="s">
        <v>38</v>
      </c>
      <c r="F331" s="35" t="s">
        <v>169</v>
      </c>
      <c r="G331" s="35" t="s">
        <v>50</v>
      </c>
      <c r="H331" s="37"/>
      <c r="I331" s="38">
        <v>44714</v>
      </c>
      <c r="J331" s="38"/>
      <c r="K331" s="17"/>
      <c r="L331" s="38">
        <v>32243</v>
      </c>
      <c r="M331" s="35">
        <f ca="1">IF('Row data'!$J331="",DATEDIF('Row data'!$L331,TODAY(),"y"),"0")</f>
        <v>38</v>
      </c>
      <c r="N331" s="35" t="s">
        <v>75</v>
      </c>
      <c r="O331" s="35" t="s">
        <v>553</v>
      </c>
      <c r="P331" s="39" t="s">
        <v>554</v>
      </c>
      <c r="Q331" s="39">
        <v>13405</v>
      </c>
      <c r="R331" s="39">
        <v>13405</v>
      </c>
      <c r="S331" s="39">
        <v>7303</v>
      </c>
      <c r="T331" s="39">
        <v>3652</v>
      </c>
      <c r="U331" s="39">
        <v>750</v>
      </c>
      <c r="V331" s="39">
        <v>450</v>
      </c>
      <c r="W331" s="39">
        <v>0</v>
      </c>
      <c r="X331" s="39">
        <v>0</v>
      </c>
      <c r="Y331" s="39">
        <v>1250</v>
      </c>
      <c r="Z331" s="39">
        <v>450</v>
      </c>
      <c r="AA331" s="39">
        <v>350</v>
      </c>
      <c r="AB331" s="39">
        <v>0</v>
      </c>
      <c r="AC331" s="39">
        <v>0</v>
      </c>
      <c r="AD331" s="39">
        <v>0</v>
      </c>
      <c r="AE331" s="39">
        <v>0</v>
      </c>
      <c r="AF331" s="39">
        <v>0</v>
      </c>
      <c r="AG331" s="39">
        <v>0</v>
      </c>
      <c r="AH331" s="39">
        <v>0</v>
      </c>
      <c r="AI331" s="39">
        <v>0</v>
      </c>
      <c r="AJ331" s="39">
        <f>'Row data'!$S331+'Row data'!$T331+'Row data'!$U331+'Row data'!$W331+'Row data'!$X331+'Row data'!$Y331+'Row data'!$Z331+'Row data'!$AA331+'Row data'!$AB331+'Row data'!$AD331-'Row data'!$AC331-'Row data'!$AE331-'Row data'!$AF331-'Row data'!$AG331-'Row data'!$AH331-'Row data'!$AI331</f>
        <v>13755</v>
      </c>
      <c r="AK331" s="39">
        <v>13755</v>
      </c>
      <c r="AL331" s="39">
        <v>0</v>
      </c>
    </row>
    <row r="332" spans="1:38" x14ac:dyDescent="0.3">
      <c r="A332" s="40">
        <v>331</v>
      </c>
      <c r="B332" s="35" t="s">
        <v>69</v>
      </c>
      <c r="C332" s="35">
        <v>8448140</v>
      </c>
      <c r="D332" s="36" t="s">
        <v>116</v>
      </c>
      <c r="E332" s="35" t="s">
        <v>38</v>
      </c>
      <c r="F332" s="35" t="s">
        <v>169</v>
      </c>
      <c r="G332" s="35" t="s">
        <v>50</v>
      </c>
      <c r="H332" s="37"/>
      <c r="I332" s="38">
        <v>44713</v>
      </c>
      <c r="J332" s="38"/>
      <c r="K332" s="17"/>
      <c r="L332" s="38">
        <v>30078</v>
      </c>
      <c r="M332" s="35">
        <f ca="1">IF('Row data'!$J332="",DATEDIF('Row data'!$L332,TODAY(),"y"),"0")</f>
        <v>44</v>
      </c>
      <c r="N332" s="35" t="s">
        <v>75</v>
      </c>
      <c r="O332" s="35" t="s">
        <v>553</v>
      </c>
      <c r="P332" s="39" t="s">
        <v>554</v>
      </c>
      <c r="Q332" s="39">
        <v>13405</v>
      </c>
      <c r="R332" s="39">
        <v>13405</v>
      </c>
      <c r="S332" s="39">
        <v>7303</v>
      </c>
      <c r="T332" s="39">
        <v>3652</v>
      </c>
      <c r="U332" s="39">
        <v>750</v>
      </c>
      <c r="V332" s="39">
        <v>450</v>
      </c>
      <c r="W332" s="39">
        <v>0</v>
      </c>
      <c r="X332" s="39">
        <v>0</v>
      </c>
      <c r="Y332" s="39">
        <v>1250</v>
      </c>
      <c r="Z332" s="39">
        <v>450</v>
      </c>
      <c r="AA332" s="39">
        <v>350</v>
      </c>
      <c r="AB332" s="39">
        <v>0</v>
      </c>
      <c r="AC332" s="39">
        <v>0</v>
      </c>
      <c r="AD332" s="39">
        <v>0</v>
      </c>
      <c r="AE332" s="39">
        <v>0</v>
      </c>
      <c r="AF332" s="39">
        <v>0</v>
      </c>
      <c r="AG332" s="39">
        <v>0</v>
      </c>
      <c r="AH332" s="39">
        <v>0</v>
      </c>
      <c r="AI332" s="39">
        <v>0</v>
      </c>
      <c r="AJ332" s="39">
        <f>'Row data'!$S332+'Row data'!$T332+'Row data'!$U332+'Row data'!$W332+'Row data'!$X332+'Row data'!$Y332+'Row data'!$Z332+'Row data'!$AA332+'Row data'!$AB332+'Row data'!$AD332-'Row data'!$AC332-'Row data'!$AE332-'Row data'!$AF332-'Row data'!$AG332-'Row data'!$AH332-'Row data'!$AI332</f>
        <v>13755</v>
      </c>
      <c r="AK332" s="39">
        <v>13755</v>
      </c>
      <c r="AL332" s="39">
        <v>0</v>
      </c>
    </row>
    <row r="333" spans="1:38" x14ac:dyDescent="0.3">
      <c r="A333" s="40">
        <v>332</v>
      </c>
      <c r="B333" s="35" t="s">
        <v>69</v>
      </c>
      <c r="C333" s="35">
        <v>9797953</v>
      </c>
      <c r="D333" s="36" t="s">
        <v>678</v>
      </c>
      <c r="E333" s="35" t="s">
        <v>38</v>
      </c>
      <c r="F333" s="35" t="s">
        <v>169</v>
      </c>
      <c r="G333" s="35" t="s">
        <v>50</v>
      </c>
      <c r="H333" s="37"/>
      <c r="I333" s="38">
        <v>44713</v>
      </c>
      <c r="J333" s="38"/>
      <c r="K333" s="17"/>
      <c r="L333" s="38">
        <v>30672</v>
      </c>
      <c r="M333" s="35">
        <f ca="1">IF('Row data'!$J333="",DATEDIF('Row data'!$L333,TODAY(),"y"),"0")</f>
        <v>42</v>
      </c>
      <c r="N333" s="35" t="s">
        <v>75</v>
      </c>
      <c r="O333" s="35" t="s">
        <v>553</v>
      </c>
      <c r="P333" s="39" t="s">
        <v>554</v>
      </c>
      <c r="Q333" s="39">
        <v>13405</v>
      </c>
      <c r="R333" s="39">
        <v>13405</v>
      </c>
      <c r="S333" s="39">
        <v>7303</v>
      </c>
      <c r="T333" s="39">
        <v>3652</v>
      </c>
      <c r="U333" s="39">
        <v>750</v>
      </c>
      <c r="V333" s="39">
        <v>450</v>
      </c>
      <c r="W333" s="39">
        <v>0</v>
      </c>
      <c r="X333" s="39">
        <v>0</v>
      </c>
      <c r="Y333" s="39">
        <v>1250</v>
      </c>
      <c r="Z333" s="39">
        <v>450</v>
      </c>
      <c r="AA333" s="39">
        <v>350</v>
      </c>
      <c r="AB333" s="39">
        <v>0</v>
      </c>
      <c r="AC333" s="39">
        <v>0</v>
      </c>
      <c r="AD333" s="39">
        <v>0</v>
      </c>
      <c r="AE333" s="39">
        <v>0</v>
      </c>
      <c r="AF333" s="39">
        <v>0</v>
      </c>
      <c r="AG333" s="39">
        <v>0</v>
      </c>
      <c r="AH333" s="39">
        <v>0</v>
      </c>
      <c r="AI333" s="39">
        <v>0</v>
      </c>
      <c r="AJ333" s="39">
        <f>'Row data'!$S333+'Row data'!$T333+'Row data'!$U333+'Row data'!$W333+'Row data'!$X333+'Row data'!$Y333+'Row data'!$Z333+'Row data'!$AA333+'Row data'!$AB333+'Row data'!$AD333-'Row data'!$AC333-'Row data'!$AE333-'Row data'!$AF333-'Row data'!$AG333-'Row data'!$AH333-'Row data'!$AI333</f>
        <v>13755</v>
      </c>
      <c r="AK333" s="39">
        <v>13755</v>
      </c>
      <c r="AL333" s="39">
        <v>0</v>
      </c>
    </row>
    <row r="334" spans="1:38" x14ac:dyDescent="0.3">
      <c r="A334" s="40">
        <v>333</v>
      </c>
      <c r="B334" s="35" t="s">
        <v>69</v>
      </c>
      <c r="C334" s="35">
        <v>5551040</v>
      </c>
      <c r="D334" s="36" t="s">
        <v>679</v>
      </c>
      <c r="E334" s="35" t="s">
        <v>38</v>
      </c>
      <c r="F334" s="35" t="s">
        <v>169</v>
      </c>
      <c r="G334" s="35" t="s">
        <v>50</v>
      </c>
      <c r="H334" s="37"/>
      <c r="I334" s="38">
        <v>44716</v>
      </c>
      <c r="J334" s="38"/>
      <c r="K334" s="17"/>
      <c r="L334" s="38">
        <v>37572</v>
      </c>
      <c r="M334" s="35">
        <f ca="1">IF('Row data'!$J334="",DATEDIF('Row data'!$L334,TODAY(),"y"),"0")</f>
        <v>23</v>
      </c>
      <c r="N334" s="35" t="s">
        <v>75</v>
      </c>
      <c r="O334" s="35" t="s">
        <v>553</v>
      </c>
      <c r="P334" s="39" t="s">
        <v>554</v>
      </c>
      <c r="Q334" s="39">
        <v>13405</v>
      </c>
      <c r="R334" s="39">
        <v>13405</v>
      </c>
      <c r="S334" s="39">
        <v>7303</v>
      </c>
      <c r="T334" s="39">
        <v>3652</v>
      </c>
      <c r="U334" s="39">
        <v>750</v>
      </c>
      <c r="V334" s="39">
        <v>450</v>
      </c>
      <c r="W334" s="39">
        <v>0</v>
      </c>
      <c r="X334" s="39">
        <v>0</v>
      </c>
      <c r="Y334" s="39">
        <v>1250</v>
      </c>
      <c r="Z334" s="39">
        <v>450</v>
      </c>
      <c r="AA334" s="39">
        <v>0</v>
      </c>
      <c r="AB334" s="39">
        <v>0</v>
      </c>
      <c r="AC334" s="39">
        <v>0</v>
      </c>
      <c r="AD334" s="39">
        <v>0</v>
      </c>
      <c r="AE334" s="39">
        <v>0</v>
      </c>
      <c r="AF334" s="39">
        <v>0</v>
      </c>
      <c r="AG334" s="39">
        <v>0</v>
      </c>
      <c r="AH334" s="39">
        <v>0</v>
      </c>
      <c r="AI334" s="39">
        <v>0</v>
      </c>
      <c r="AJ334" s="39">
        <f>'Row data'!$S334+'Row data'!$T334+'Row data'!$U334+'Row data'!$W334+'Row data'!$X334+'Row data'!$Y334+'Row data'!$Z334+'Row data'!$AA334+'Row data'!$AB334+'Row data'!$AD334-'Row data'!$AC334-'Row data'!$AE334-'Row data'!$AF334-'Row data'!$AG334-'Row data'!$AH334-'Row data'!$AI334</f>
        <v>13405</v>
      </c>
      <c r="AK334" s="39">
        <v>13405</v>
      </c>
      <c r="AL334" s="39">
        <v>0</v>
      </c>
    </row>
    <row r="335" spans="1:38" x14ac:dyDescent="0.3">
      <c r="A335" s="40">
        <v>334</v>
      </c>
      <c r="B335" s="35" t="s">
        <v>69</v>
      </c>
      <c r="C335" s="35">
        <v>8317873</v>
      </c>
      <c r="D335" s="36" t="s">
        <v>680</v>
      </c>
      <c r="E335" s="35" t="s">
        <v>38</v>
      </c>
      <c r="F335" s="35" t="s">
        <v>169</v>
      </c>
      <c r="G335" s="35" t="s">
        <v>50</v>
      </c>
      <c r="H335" s="37"/>
      <c r="I335" s="38">
        <v>44718</v>
      </c>
      <c r="J335" s="38"/>
      <c r="K335" s="17"/>
      <c r="L335" s="38">
        <v>31119</v>
      </c>
      <c r="M335" s="35">
        <f ca="1">IF('Row data'!$J335="",DATEDIF('Row data'!$L335,TODAY(),"y"),"0")</f>
        <v>41</v>
      </c>
      <c r="N335" s="35" t="s">
        <v>75</v>
      </c>
      <c r="O335" s="35" t="s">
        <v>553</v>
      </c>
      <c r="P335" s="39" t="s">
        <v>554</v>
      </c>
      <c r="Q335" s="39">
        <v>13405</v>
      </c>
      <c r="R335" s="39">
        <v>13405</v>
      </c>
      <c r="S335" s="39">
        <v>7303</v>
      </c>
      <c r="T335" s="39">
        <v>3652</v>
      </c>
      <c r="U335" s="39">
        <v>750</v>
      </c>
      <c r="V335" s="39">
        <v>450</v>
      </c>
      <c r="W335" s="39">
        <v>0</v>
      </c>
      <c r="X335" s="39">
        <v>0</v>
      </c>
      <c r="Y335" s="39">
        <v>1250</v>
      </c>
      <c r="Z335" s="39">
        <v>450</v>
      </c>
      <c r="AA335" s="39">
        <v>350</v>
      </c>
      <c r="AB335" s="39">
        <v>0</v>
      </c>
      <c r="AC335" s="39">
        <v>0</v>
      </c>
      <c r="AD335" s="39">
        <v>0</v>
      </c>
      <c r="AE335" s="39">
        <v>0</v>
      </c>
      <c r="AF335" s="39">
        <v>0</v>
      </c>
      <c r="AG335" s="39">
        <v>0</v>
      </c>
      <c r="AH335" s="39">
        <v>0</v>
      </c>
      <c r="AI335" s="39">
        <v>0</v>
      </c>
      <c r="AJ335" s="39">
        <f>'Row data'!$S335+'Row data'!$T335+'Row data'!$U335+'Row data'!$W335+'Row data'!$X335+'Row data'!$Y335+'Row data'!$Z335+'Row data'!$AA335+'Row data'!$AB335+'Row data'!$AD335-'Row data'!$AC335-'Row data'!$AE335-'Row data'!$AF335-'Row data'!$AG335-'Row data'!$AH335-'Row data'!$AI335</f>
        <v>13755</v>
      </c>
      <c r="AK335" s="39">
        <v>13755</v>
      </c>
      <c r="AL335" s="39">
        <v>0</v>
      </c>
    </row>
    <row r="336" spans="1:38" x14ac:dyDescent="0.3">
      <c r="A336" s="40">
        <v>335</v>
      </c>
      <c r="B336" s="35" t="s">
        <v>69</v>
      </c>
      <c r="C336" s="35">
        <v>5244493</v>
      </c>
      <c r="D336" s="36" t="s">
        <v>681</v>
      </c>
      <c r="E336" s="35" t="s">
        <v>38</v>
      </c>
      <c r="F336" s="35" t="s">
        <v>169</v>
      </c>
      <c r="G336" s="35" t="s">
        <v>50</v>
      </c>
      <c r="H336" s="37"/>
      <c r="I336" s="38">
        <v>44776</v>
      </c>
      <c r="J336" s="38"/>
      <c r="K336" s="17"/>
      <c r="L336" s="38">
        <v>31088</v>
      </c>
      <c r="M336" s="35">
        <f ca="1">IF('Row data'!$J336="",DATEDIF('Row data'!$L336,TODAY(),"y"),"0")</f>
        <v>41</v>
      </c>
      <c r="N336" s="35" t="s">
        <v>75</v>
      </c>
      <c r="O336" s="35" t="s">
        <v>553</v>
      </c>
      <c r="P336" s="39" t="s">
        <v>554</v>
      </c>
      <c r="Q336" s="39">
        <v>13405</v>
      </c>
      <c r="R336" s="39">
        <v>13405</v>
      </c>
      <c r="S336" s="39">
        <v>7303</v>
      </c>
      <c r="T336" s="39">
        <v>3652</v>
      </c>
      <c r="U336" s="39">
        <v>750</v>
      </c>
      <c r="V336" s="39">
        <v>450</v>
      </c>
      <c r="W336" s="39">
        <v>0</v>
      </c>
      <c r="X336" s="39">
        <v>0</v>
      </c>
      <c r="Y336" s="39">
        <v>1250</v>
      </c>
      <c r="Z336" s="39">
        <v>450</v>
      </c>
      <c r="AA336" s="39">
        <v>350</v>
      </c>
      <c r="AB336" s="39">
        <v>0</v>
      </c>
      <c r="AC336" s="39">
        <v>0</v>
      </c>
      <c r="AD336" s="39">
        <v>0</v>
      </c>
      <c r="AE336" s="39">
        <v>0</v>
      </c>
      <c r="AF336" s="39">
        <v>0</v>
      </c>
      <c r="AG336" s="39">
        <v>0</v>
      </c>
      <c r="AH336" s="39">
        <v>0</v>
      </c>
      <c r="AI336" s="39">
        <v>0</v>
      </c>
      <c r="AJ336" s="39">
        <f>'Row data'!$S336+'Row data'!$T336+'Row data'!$U336+'Row data'!$W336+'Row data'!$X336+'Row data'!$Y336+'Row data'!$Z336+'Row data'!$AA336+'Row data'!$AB336+'Row data'!$AD336-'Row data'!$AC336-'Row data'!$AE336-'Row data'!$AF336-'Row data'!$AG336-'Row data'!$AH336-'Row data'!$AI336</f>
        <v>13755</v>
      </c>
      <c r="AK336" s="39">
        <v>13755</v>
      </c>
      <c r="AL336" s="39">
        <v>0</v>
      </c>
    </row>
    <row r="337" spans="1:38" x14ac:dyDescent="0.3">
      <c r="A337" s="40">
        <v>336</v>
      </c>
      <c r="B337" s="35" t="s">
        <v>69</v>
      </c>
      <c r="C337" s="35">
        <v>6778718</v>
      </c>
      <c r="D337" s="36" t="s">
        <v>682</v>
      </c>
      <c r="E337" s="35" t="s">
        <v>38</v>
      </c>
      <c r="F337" s="35" t="s">
        <v>169</v>
      </c>
      <c r="G337" s="35" t="s">
        <v>50</v>
      </c>
      <c r="H337" s="37"/>
      <c r="I337" s="38">
        <v>44471</v>
      </c>
      <c r="J337" s="38"/>
      <c r="K337" s="17"/>
      <c r="L337" s="38">
        <v>27672</v>
      </c>
      <c r="M337" s="35">
        <f ca="1">IF('Row data'!$J337="",DATEDIF('Row data'!$L337,TODAY(),"y"),"0")</f>
        <v>50</v>
      </c>
      <c r="N337" s="35" t="s">
        <v>75</v>
      </c>
      <c r="O337" s="35" t="s">
        <v>553</v>
      </c>
      <c r="P337" s="39" t="s">
        <v>554</v>
      </c>
      <c r="Q337" s="39">
        <v>13405</v>
      </c>
      <c r="R337" s="39">
        <v>13405</v>
      </c>
      <c r="S337" s="39">
        <v>7303</v>
      </c>
      <c r="T337" s="39">
        <v>3652</v>
      </c>
      <c r="U337" s="39">
        <v>750</v>
      </c>
      <c r="V337" s="39">
        <v>450</v>
      </c>
      <c r="W337" s="39">
        <v>0</v>
      </c>
      <c r="X337" s="39">
        <v>0</v>
      </c>
      <c r="Y337" s="39">
        <v>1250</v>
      </c>
      <c r="Z337" s="39">
        <v>450</v>
      </c>
      <c r="AA337" s="39">
        <v>350</v>
      </c>
      <c r="AB337" s="39">
        <v>0</v>
      </c>
      <c r="AC337" s="39">
        <v>0</v>
      </c>
      <c r="AD337" s="39">
        <v>0</v>
      </c>
      <c r="AE337" s="39">
        <v>0</v>
      </c>
      <c r="AF337" s="39">
        <v>0</v>
      </c>
      <c r="AG337" s="39">
        <v>0</v>
      </c>
      <c r="AH337" s="39">
        <v>0</v>
      </c>
      <c r="AI337" s="39">
        <v>0</v>
      </c>
      <c r="AJ337" s="39">
        <f>'Row data'!$S337+'Row data'!$T337+'Row data'!$U337+'Row data'!$W337+'Row data'!$X337+'Row data'!$Y337+'Row data'!$Z337+'Row data'!$AA337+'Row data'!$AB337+'Row data'!$AD337-'Row data'!$AC337-'Row data'!$AE337-'Row data'!$AF337-'Row data'!$AG337-'Row data'!$AH337-'Row data'!$AI337</f>
        <v>13755</v>
      </c>
      <c r="AK337" s="39">
        <v>13755</v>
      </c>
      <c r="AL337" s="39">
        <v>0</v>
      </c>
    </row>
    <row r="338" spans="1:38" x14ac:dyDescent="0.3">
      <c r="A338" s="40">
        <v>337</v>
      </c>
      <c r="B338" s="35" t="s">
        <v>69</v>
      </c>
      <c r="C338" s="35">
        <v>9525454</v>
      </c>
      <c r="D338" s="36" t="s">
        <v>683</v>
      </c>
      <c r="E338" s="35" t="s">
        <v>38</v>
      </c>
      <c r="F338" s="35" t="s">
        <v>169</v>
      </c>
      <c r="G338" s="35" t="s">
        <v>50</v>
      </c>
      <c r="H338" s="37"/>
      <c r="I338" s="38">
        <v>44471</v>
      </c>
      <c r="J338" s="38"/>
      <c r="K338" s="17"/>
      <c r="L338" s="38">
        <v>34252</v>
      </c>
      <c r="M338" s="35">
        <f ca="1">IF('Row data'!$J338="",DATEDIF('Row data'!$L338,TODAY(),"y"),"0")</f>
        <v>32</v>
      </c>
      <c r="N338" s="35" t="s">
        <v>75</v>
      </c>
      <c r="O338" s="35" t="s">
        <v>553</v>
      </c>
      <c r="P338" s="39" t="s">
        <v>554</v>
      </c>
      <c r="Q338" s="39">
        <v>13405</v>
      </c>
      <c r="R338" s="39">
        <v>13405</v>
      </c>
      <c r="S338" s="39">
        <v>7303</v>
      </c>
      <c r="T338" s="39">
        <v>3652</v>
      </c>
      <c r="U338" s="39">
        <v>750</v>
      </c>
      <c r="V338" s="39">
        <v>450</v>
      </c>
      <c r="W338" s="39">
        <v>0</v>
      </c>
      <c r="X338" s="39">
        <v>0</v>
      </c>
      <c r="Y338" s="39">
        <v>1250</v>
      </c>
      <c r="Z338" s="39">
        <v>450</v>
      </c>
      <c r="AA338" s="39">
        <v>350</v>
      </c>
      <c r="AB338" s="39">
        <v>0</v>
      </c>
      <c r="AC338" s="39">
        <v>0</v>
      </c>
      <c r="AD338" s="39">
        <v>0</v>
      </c>
      <c r="AE338" s="39">
        <v>0</v>
      </c>
      <c r="AF338" s="39">
        <v>0</v>
      </c>
      <c r="AG338" s="39">
        <v>0</v>
      </c>
      <c r="AH338" s="39">
        <v>0</v>
      </c>
      <c r="AI338" s="39">
        <v>0</v>
      </c>
      <c r="AJ338" s="39">
        <f>'Row data'!$S338+'Row data'!$T338+'Row data'!$U338+'Row data'!$W338+'Row data'!$X338+'Row data'!$Y338+'Row data'!$Z338+'Row data'!$AA338+'Row data'!$AB338+'Row data'!$AD338-'Row data'!$AC338-'Row data'!$AE338-'Row data'!$AF338-'Row data'!$AG338-'Row data'!$AH338-'Row data'!$AI338</f>
        <v>13755</v>
      </c>
      <c r="AK338" s="39">
        <v>13755</v>
      </c>
      <c r="AL338" s="39">
        <v>0</v>
      </c>
    </row>
    <row r="339" spans="1:38" x14ac:dyDescent="0.3">
      <c r="A339" s="40">
        <v>338</v>
      </c>
      <c r="B339" s="35" t="s">
        <v>69</v>
      </c>
      <c r="C339" s="35">
        <v>9374847</v>
      </c>
      <c r="D339" s="36" t="s">
        <v>597</v>
      </c>
      <c r="E339" s="35" t="s">
        <v>38</v>
      </c>
      <c r="F339" s="35" t="s">
        <v>169</v>
      </c>
      <c r="G339" s="35" t="s">
        <v>50</v>
      </c>
      <c r="H339" s="37"/>
      <c r="I339" s="38">
        <v>44385</v>
      </c>
      <c r="J339" s="38"/>
      <c r="K339" s="17"/>
      <c r="L339" s="38">
        <v>31914</v>
      </c>
      <c r="M339" s="35">
        <f ca="1">IF('Row data'!$J339="",DATEDIF('Row data'!$L339,TODAY(),"y"),"0")</f>
        <v>39</v>
      </c>
      <c r="N339" s="35" t="s">
        <v>75</v>
      </c>
      <c r="O339" s="35" t="s">
        <v>553</v>
      </c>
      <c r="P339" s="39" t="s">
        <v>554</v>
      </c>
      <c r="Q339" s="39">
        <v>13405</v>
      </c>
      <c r="R339" s="39">
        <v>13405</v>
      </c>
      <c r="S339" s="39">
        <v>7303</v>
      </c>
      <c r="T339" s="39">
        <v>3652</v>
      </c>
      <c r="U339" s="39">
        <v>750</v>
      </c>
      <c r="V339" s="39">
        <v>450</v>
      </c>
      <c r="W339" s="39">
        <v>0</v>
      </c>
      <c r="X339" s="39">
        <v>0</v>
      </c>
      <c r="Y339" s="39">
        <v>1250</v>
      </c>
      <c r="Z339" s="39">
        <v>450</v>
      </c>
      <c r="AA339" s="39">
        <v>0</v>
      </c>
      <c r="AB339" s="39">
        <v>0</v>
      </c>
      <c r="AC339" s="39">
        <v>0</v>
      </c>
      <c r="AD339" s="39">
        <v>0</v>
      </c>
      <c r="AE339" s="39">
        <v>0</v>
      </c>
      <c r="AF339" s="39">
        <v>0</v>
      </c>
      <c r="AG339" s="39">
        <v>0</v>
      </c>
      <c r="AH339" s="39">
        <v>0</v>
      </c>
      <c r="AI339" s="39">
        <v>0</v>
      </c>
      <c r="AJ339" s="39">
        <f>'Row data'!$S339+'Row data'!$T339+'Row data'!$U339+'Row data'!$W339+'Row data'!$X339+'Row data'!$Y339+'Row data'!$Z339+'Row data'!$AA339+'Row data'!$AB339+'Row data'!$AD339-'Row data'!$AC339-'Row data'!$AE339-'Row data'!$AF339-'Row data'!$AG339-'Row data'!$AH339-'Row data'!$AI339</f>
        <v>13405</v>
      </c>
      <c r="AK339" s="39">
        <v>13405</v>
      </c>
      <c r="AL339" s="39">
        <v>0</v>
      </c>
    </row>
    <row r="340" spans="1:38" x14ac:dyDescent="0.3">
      <c r="A340" s="40">
        <v>339</v>
      </c>
      <c r="B340" s="35" t="s">
        <v>69</v>
      </c>
      <c r="C340" s="35">
        <v>7897668</v>
      </c>
      <c r="D340" s="36" t="s">
        <v>684</v>
      </c>
      <c r="E340" s="35" t="s">
        <v>38</v>
      </c>
      <c r="F340" s="35" t="s">
        <v>169</v>
      </c>
      <c r="G340" s="35" t="s">
        <v>50</v>
      </c>
      <c r="H340" s="37"/>
      <c r="I340" s="38">
        <v>43195</v>
      </c>
      <c r="J340" s="38"/>
      <c r="K340" s="17"/>
      <c r="L340" s="38">
        <v>31779</v>
      </c>
      <c r="M340" s="35">
        <f ca="1">IF('Row data'!$J340="",DATEDIF('Row data'!$L340,TODAY(),"y"),"0")</f>
        <v>39</v>
      </c>
      <c r="N340" s="35" t="s">
        <v>75</v>
      </c>
      <c r="O340" s="35" t="s">
        <v>553</v>
      </c>
      <c r="P340" s="39" t="s">
        <v>554</v>
      </c>
      <c r="Q340" s="39">
        <v>13568</v>
      </c>
      <c r="R340" s="39">
        <v>13568</v>
      </c>
      <c r="S340" s="39">
        <v>7412</v>
      </c>
      <c r="T340" s="39">
        <v>3706</v>
      </c>
      <c r="U340" s="39">
        <v>750</v>
      </c>
      <c r="V340" s="39">
        <v>450</v>
      </c>
      <c r="W340" s="39">
        <v>0</v>
      </c>
      <c r="X340" s="39">
        <v>0</v>
      </c>
      <c r="Y340" s="39">
        <v>1250</v>
      </c>
      <c r="Z340" s="39">
        <v>450</v>
      </c>
      <c r="AA340" s="39">
        <v>350</v>
      </c>
      <c r="AB340" s="39">
        <v>0</v>
      </c>
      <c r="AC340" s="39">
        <v>0</v>
      </c>
      <c r="AD340" s="39">
        <v>0</v>
      </c>
      <c r="AE340" s="39">
        <v>0</v>
      </c>
      <c r="AF340" s="39">
        <v>0</v>
      </c>
      <c r="AG340" s="39">
        <v>0</v>
      </c>
      <c r="AH340" s="39">
        <v>0</v>
      </c>
      <c r="AI340" s="39">
        <v>0</v>
      </c>
      <c r="AJ340" s="39">
        <f>'Row data'!$S340+'Row data'!$T340+'Row data'!$U340+'Row data'!$W340+'Row data'!$X340+'Row data'!$Y340+'Row data'!$Z340+'Row data'!$AA340+'Row data'!$AB340+'Row data'!$AD340-'Row data'!$AC340-'Row data'!$AE340-'Row data'!$AF340-'Row data'!$AG340-'Row data'!$AH340-'Row data'!$AI340</f>
        <v>13918</v>
      </c>
      <c r="AK340" s="39">
        <v>13918</v>
      </c>
      <c r="AL340" s="39">
        <v>0</v>
      </c>
    </row>
    <row r="341" spans="1:38" x14ac:dyDescent="0.3">
      <c r="A341" s="40">
        <v>340</v>
      </c>
      <c r="B341" s="35" t="s">
        <v>69</v>
      </c>
      <c r="C341" s="35">
        <v>7175126</v>
      </c>
      <c r="D341" s="36" t="s">
        <v>685</v>
      </c>
      <c r="E341" s="35" t="s">
        <v>38</v>
      </c>
      <c r="F341" s="35" t="s">
        <v>169</v>
      </c>
      <c r="G341" s="35" t="s">
        <v>170</v>
      </c>
      <c r="H341" s="37"/>
      <c r="I341" s="38">
        <v>40656</v>
      </c>
      <c r="J341" s="38"/>
      <c r="K341" s="17"/>
      <c r="L341" s="38">
        <v>29336</v>
      </c>
      <c r="M341" s="35">
        <f ca="1">IF('Row data'!$J341="",DATEDIF('Row data'!$L341,TODAY(),"y"),"0")</f>
        <v>46</v>
      </c>
      <c r="N341" s="35" t="s">
        <v>75</v>
      </c>
      <c r="O341" s="35" t="s">
        <v>553</v>
      </c>
      <c r="P341" s="39" t="s">
        <v>554</v>
      </c>
      <c r="Q341" s="39">
        <v>14315</v>
      </c>
      <c r="R341" s="39">
        <v>14315</v>
      </c>
      <c r="S341" s="39">
        <v>7910</v>
      </c>
      <c r="T341" s="39">
        <v>3955</v>
      </c>
      <c r="U341" s="39">
        <v>750</v>
      </c>
      <c r="V341" s="39">
        <v>450</v>
      </c>
      <c r="W341" s="39">
        <v>0</v>
      </c>
      <c r="X341" s="39">
        <v>0</v>
      </c>
      <c r="Y341" s="39">
        <v>1250</v>
      </c>
      <c r="Z341" s="39">
        <v>450</v>
      </c>
      <c r="AA341" s="39">
        <v>350</v>
      </c>
      <c r="AB341" s="39">
        <v>0</v>
      </c>
      <c r="AC341" s="39">
        <v>0</v>
      </c>
      <c r="AD341" s="39">
        <v>0</v>
      </c>
      <c r="AE341" s="39">
        <v>0</v>
      </c>
      <c r="AF341" s="39">
        <v>0</v>
      </c>
      <c r="AG341" s="39">
        <v>0</v>
      </c>
      <c r="AH341" s="39">
        <v>0</v>
      </c>
      <c r="AI341" s="39">
        <v>0</v>
      </c>
      <c r="AJ341" s="39">
        <f>'Row data'!$S341+'Row data'!$T341+'Row data'!$U341+'Row data'!$W341+'Row data'!$X341+'Row data'!$Y341+'Row data'!$Z341+'Row data'!$AA341+'Row data'!$AB341+'Row data'!$AD341-'Row data'!$AC341-'Row data'!$AE341-'Row data'!$AF341-'Row data'!$AG341-'Row data'!$AH341-'Row data'!$AI341</f>
        <v>14665</v>
      </c>
      <c r="AK341" s="39">
        <v>14665</v>
      </c>
      <c r="AL341" s="39">
        <v>0</v>
      </c>
    </row>
    <row r="342" spans="1:38" x14ac:dyDescent="0.3">
      <c r="A342" s="40">
        <v>341</v>
      </c>
      <c r="B342" s="35" t="s">
        <v>69</v>
      </c>
      <c r="C342" s="35">
        <v>8881582</v>
      </c>
      <c r="D342" s="36" t="s">
        <v>686</v>
      </c>
      <c r="E342" s="35" t="s">
        <v>38</v>
      </c>
      <c r="F342" s="35" t="s">
        <v>169</v>
      </c>
      <c r="G342" s="35" t="s">
        <v>170</v>
      </c>
      <c r="H342" s="37"/>
      <c r="I342" s="38">
        <v>39387</v>
      </c>
      <c r="J342" s="38"/>
      <c r="K342" s="17"/>
      <c r="L342" s="38">
        <v>27705</v>
      </c>
      <c r="M342" s="35">
        <f ca="1">IF('Row data'!$J342="",DATEDIF('Row data'!$L342,TODAY(),"y"),"0")</f>
        <v>50</v>
      </c>
      <c r="N342" s="35" t="s">
        <v>75</v>
      </c>
      <c r="O342" s="35" t="s">
        <v>553</v>
      </c>
      <c r="P342" s="39" t="s">
        <v>554</v>
      </c>
      <c r="Q342" s="39">
        <v>16355</v>
      </c>
      <c r="R342" s="39">
        <v>16046</v>
      </c>
      <c r="S342" s="39">
        <v>9270</v>
      </c>
      <c r="T342" s="39">
        <v>4635</v>
      </c>
      <c r="U342" s="39">
        <v>750</v>
      </c>
      <c r="V342" s="39">
        <v>450</v>
      </c>
      <c r="W342" s="39">
        <v>0</v>
      </c>
      <c r="X342" s="39">
        <v>0</v>
      </c>
      <c r="Y342" s="39">
        <v>1250</v>
      </c>
      <c r="Z342" s="39">
        <v>450</v>
      </c>
      <c r="AA342" s="39">
        <v>350</v>
      </c>
      <c r="AB342" s="39">
        <v>0</v>
      </c>
      <c r="AC342" s="39">
        <v>-309</v>
      </c>
      <c r="AD342" s="39">
        <v>0</v>
      </c>
      <c r="AE342" s="39">
        <v>0</v>
      </c>
      <c r="AF342" s="39">
        <v>0</v>
      </c>
      <c r="AG342" s="39">
        <v>0</v>
      </c>
      <c r="AH342" s="39">
        <v>0</v>
      </c>
      <c r="AI342" s="39">
        <v>0</v>
      </c>
      <c r="AJ342" s="39">
        <f>'Row data'!$S342+'Row data'!$T342+'Row data'!$U342+'Row data'!$W342+'Row data'!$X342+'Row data'!$Y342+'Row data'!$Z342+'Row data'!$AA342+'Row data'!$AB342+'Row data'!$AD342-'Row data'!$AC342-'Row data'!$AE342-'Row data'!$AF342-'Row data'!$AG342-'Row data'!$AH342-'Row data'!$AI342</f>
        <v>17014</v>
      </c>
      <c r="AK342" s="39">
        <v>16396</v>
      </c>
      <c r="AL342" s="39">
        <v>0</v>
      </c>
    </row>
    <row r="343" spans="1:38" x14ac:dyDescent="0.3">
      <c r="A343" s="40">
        <v>342</v>
      </c>
      <c r="B343" s="35" t="s">
        <v>69</v>
      </c>
      <c r="C343" s="35">
        <v>7850976</v>
      </c>
      <c r="D343" s="36" t="s">
        <v>687</v>
      </c>
      <c r="E343" s="35" t="s">
        <v>38</v>
      </c>
      <c r="F343" s="35" t="s">
        <v>169</v>
      </c>
      <c r="G343" s="35" t="s">
        <v>170</v>
      </c>
      <c r="H343" s="37"/>
      <c r="I343" s="38">
        <v>42754</v>
      </c>
      <c r="J343" s="38"/>
      <c r="K343" s="17"/>
      <c r="L343" s="38">
        <v>31908</v>
      </c>
      <c r="M343" s="35">
        <f ca="1">IF('Row data'!$J343="",DATEDIF('Row data'!$L343,TODAY(),"y"),"0")</f>
        <v>39</v>
      </c>
      <c r="N343" s="35" t="s">
        <v>75</v>
      </c>
      <c r="O343" s="35" t="s">
        <v>553</v>
      </c>
      <c r="P343" s="39" t="s">
        <v>554</v>
      </c>
      <c r="Q343" s="39">
        <v>13568</v>
      </c>
      <c r="R343" s="39">
        <v>13568</v>
      </c>
      <c r="S343" s="39">
        <v>7412</v>
      </c>
      <c r="T343" s="39">
        <v>3706</v>
      </c>
      <c r="U343" s="39">
        <v>750</v>
      </c>
      <c r="V343" s="39">
        <v>450</v>
      </c>
      <c r="W343" s="39">
        <v>0</v>
      </c>
      <c r="X343" s="39">
        <v>0</v>
      </c>
      <c r="Y343" s="39">
        <v>1250</v>
      </c>
      <c r="Z343" s="39">
        <v>450</v>
      </c>
      <c r="AA343" s="39">
        <v>350</v>
      </c>
      <c r="AB343" s="39">
        <v>0</v>
      </c>
      <c r="AC343" s="39">
        <v>0</v>
      </c>
      <c r="AD343" s="39">
        <v>0</v>
      </c>
      <c r="AE343" s="39">
        <v>0</v>
      </c>
      <c r="AF343" s="39">
        <v>0</v>
      </c>
      <c r="AG343" s="39">
        <v>0</v>
      </c>
      <c r="AH343" s="39">
        <v>0</v>
      </c>
      <c r="AI343" s="39">
        <v>0</v>
      </c>
      <c r="AJ343" s="39">
        <f>'Row data'!$S343+'Row data'!$T343+'Row data'!$U343+'Row data'!$W343+'Row data'!$X343+'Row data'!$Y343+'Row data'!$Z343+'Row data'!$AA343+'Row data'!$AB343+'Row data'!$AD343-'Row data'!$AC343-'Row data'!$AE343-'Row data'!$AF343-'Row data'!$AG343-'Row data'!$AH343-'Row data'!$AI343</f>
        <v>13918</v>
      </c>
      <c r="AK343" s="39">
        <v>13918</v>
      </c>
      <c r="AL343" s="39">
        <v>0</v>
      </c>
    </row>
    <row r="344" spans="1:38" x14ac:dyDescent="0.3">
      <c r="A344" s="40">
        <v>343</v>
      </c>
      <c r="B344" s="35" t="s">
        <v>69</v>
      </c>
      <c r="C344" s="35">
        <v>7815319</v>
      </c>
      <c r="D344" s="36" t="s">
        <v>688</v>
      </c>
      <c r="E344" s="35" t="s">
        <v>38</v>
      </c>
      <c r="F344" s="35" t="s">
        <v>169</v>
      </c>
      <c r="G344" s="35" t="s">
        <v>170</v>
      </c>
      <c r="H344" s="37"/>
      <c r="I344" s="38">
        <v>42754</v>
      </c>
      <c r="J344" s="38">
        <v>44904</v>
      </c>
      <c r="K344" s="17">
        <f>YEAR('Row data'!$J344)</f>
        <v>2022</v>
      </c>
      <c r="L344" s="38">
        <v>32486</v>
      </c>
      <c r="M344" s="35" t="str">
        <f ca="1">IF('Row data'!$J344="",DATEDIF('Row data'!$L344,TODAY(),"y"),"0")</f>
        <v>0</v>
      </c>
      <c r="N344" s="35" t="s">
        <v>75</v>
      </c>
      <c r="O344" s="35" t="s">
        <v>553</v>
      </c>
      <c r="P344" s="39" t="s">
        <v>554</v>
      </c>
      <c r="Q344" s="39">
        <v>13568</v>
      </c>
      <c r="R344" s="39">
        <v>13568</v>
      </c>
      <c r="S344" s="39">
        <v>7412</v>
      </c>
      <c r="T344" s="39">
        <v>3706</v>
      </c>
      <c r="U344" s="39">
        <v>750</v>
      </c>
      <c r="V344" s="39">
        <v>450</v>
      </c>
      <c r="W344" s="39">
        <v>0</v>
      </c>
      <c r="X344" s="39">
        <v>0</v>
      </c>
      <c r="Y344" s="39">
        <v>1250</v>
      </c>
      <c r="Z344" s="39">
        <v>450</v>
      </c>
      <c r="AA344" s="39">
        <v>350</v>
      </c>
      <c r="AB344" s="39">
        <v>0</v>
      </c>
      <c r="AC344" s="39">
        <v>0</v>
      </c>
      <c r="AD344" s="39">
        <v>0</v>
      </c>
      <c r="AE344" s="39">
        <v>0</v>
      </c>
      <c r="AF344" s="39">
        <v>0</v>
      </c>
      <c r="AG344" s="39">
        <v>0</v>
      </c>
      <c r="AH344" s="39">
        <v>0</v>
      </c>
      <c r="AI344" s="39">
        <v>0</v>
      </c>
      <c r="AJ344" s="39">
        <f>'Row data'!$S344+'Row data'!$T344+'Row data'!$U344+'Row data'!$W344+'Row data'!$X344+'Row data'!$Y344+'Row data'!$Z344+'Row data'!$AA344+'Row data'!$AB344+'Row data'!$AD344-'Row data'!$AC344-'Row data'!$AE344-'Row data'!$AF344-'Row data'!$AG344-'Row data'!$AH344-'Row data'!$AI344</f>
        <v>13918</v>
      </c>
      <c r="AK344" s="39">
        <v>13918</v>
      </c>
      <c r="AL344" s="39">
        <v>0</v>
      </c>
    </row>
    <row r="345" spans="1:38" x14ac:dyDescent="0.3">
      <c r="A345" s="40">
        <v>344</v>
      </c>
      <c r="B345" s="35" t="s">
        <v>69</v>
      </c>
      <c r="C345" s="35">
        <v>9039504</v>
      </c>
      <c r="D345" s="36" t="s">
        <v>391</v>
      </c>
      <c r="E345" s="35" t="s">
        <v>38</v>
      </c>
      <c r="F345" s="35" t="s">
        <v>169</v>
      </c>
      <c r="G345" s="35" t="s">
        <v>170</v>
      </c>
      <c r="H345" s="37"/>
      <c r="I345" s="38">
        <v>41655</v>
      </c>
      <c r="J345" s="38">
        <v>44613</v>
      </c>
      <c r="K345" s="17">
        <f>YEAR('Row data'!$J345)</f>
        <v>2022</v>
      </c>
      <c r="L345" s="38">
        <v>32194</v>
      </c>
      <c r="M345" s="35" t="str">
        <f ca="1">IF('Row data'!$J345="",DATEDIF('Row data'!$L345,TODAY(),"y"),"0")</f>
        <v>0</v>
      </c>
      <c r="N345" s="35" t="s">
        <v>75</v>
      </c>
      <c r="O345" s="35" t="s">
        <v>553</v>
      </c>
      <c r="P345" s="39" t="s">
        <v>554</v>
      </c>
      <c r="Q345" s="39">
        <v>13568</v>
      </c>
      <c r="R345" s="39">
        <v>13568</v>
      </c>
      <c r="S345" s="39">
        <v>7412</v>
      </c>
      <c r="T345" s="39">
        <v>3706</v>
      </c>
      <c r="U345" s="39">
        <v>750</v>
      </c>
      <c r="V345" s="39">
        <v>450</v>
      </c>
      <c r="W345" s="39">
        <v>0</v>
      </c>
      <c r="X345" s="39">
        <v>0</v>
      </c>
      <c r="Y345" s="39">
        <v>1250</v>
      </c>
      <c r="Z345" s="39">
        <v>450</v>
      </c>
      <c r="AA345" s="39">
        <v>350</v>
      </c>
      <c r="AB345" s="39">
        <v>0</v>
      </c>
      <c r="AC345" s="39">
        <v>0</v>
      </c>
      <c r="AD345" s="39">
        <v>0</v>
      </c>
      <c r="AE345" s="39">
        <v>0</v>
      </c>
      <c r="AF345" s="39">
        <v>0</v>
      </c>
      <c r="AG345" s="39">
        <v>0</v>
      </c>
      <c r="AH345" s="39">
        <v>0</v>
      </c>
      <c r="AI345" s="39">
        <v>0</v>
      </c>
      <c r="AJ345" s="39">
        <f>'Row data'!$S345+'Row data'!$T345+'Row data'!$U345+'Row data'!$W345+'Row data'!$X345+'Row data'!$Y345+'Row data'!$Z345+'Row data'!$AA345+'Row data'!$AB345+'Row data'!$AD345-'Row data'!$AC345-'Row data'!$AE345-'Row data'!$AF345-'Row data'!$AG345-'Row data'!$AH345-'Row data'!$AI345</f>
        <v>13918</v>
      </c>
      <c r="AK345" s="39">
        <v>13918</v>
      </c>
      <c r="AL345" s="39">
        <v>0</v>
      </c>
    </row>
    <row r="346" spans="1:38" x14ac:dyDescent="0.3">
      <c r="A346" s="40">
        <v>345</v>
      </c>
      <c r="B346" s="35" t="s">
        <v>69</v>
      </c>
      <c r="C346" s="35">
        <v>9144679</v>
      </c>
      <c r="D346" s="36" t="s">
        <v>689</v>
      </c>
      <c r="E346" s="35" t="s">
        <v>38</v>
      </c>
      <c r="F346" s="35" t="s">
        <v>169</v>
      </c>
      <c r="G346" s="35" t="s">
        <v>170</v>
      </c>
      <c r="H346" s="37"/>
      <c r="I346" s="38">
        <v>43283</v>
      </c>
      <c r="J346" s="38"/>
      <c r="K346" s="17"/>
      <c r="L346" s="38">
        <v>29414</v>
      </c>
      <c r="M346" s="35">
        <f ca="1">IF('Row data'!$J346="",DATEDIF('Row data'!$L346,TODAY(),"y"),"0")</f>
        <v>46</v>
      </c>
      <c r="N346" s="35" t="s">
        <v>75</v>
      </c>
      <c r="O346" s="35" t="s">
        <v>553</v>
      </c>
      <c r="P346" s="39" t="s">
        <v>554</v>
      </c>
      <c r="Q346" s="39">
        <v>13568</v>
      </c>
      <c r="R346" s="39">
        <v>13568</v>
      </c>
      <c r="S346" s="39">
        <v>7412</v>
      </c>
      <c r="T346" s="39">
        <v>3706</v>
      </c>
      <c r="U346" s="39">
        <v>750</v>
      </c>
      <c r="V346" s="39">
        <v>450</v>
      </c>
      <c r="W346" s="39">
        <v>0</v>
      </c>
      <c r="X346" s="39">
        <v>0</v>
      </c>
      <c r="Y346" s="39">
        <v>1250</v>
      </c>
      <c r="Z346" s="39">
        <v>450</v>
      </c>
      <c r="AA346" s="39">
        <v>350</v>
      </c>
      <c r="AB346" s="39">
        <v>0</v>
      </c>
      <c r="AC346" s="39">
        <v>0</v>
      </c>
      <c r="AD346" s="39">
        <v>0</v>
      </c>
      <c r="AE346" s="39">
        <v>0</v>
      </c>
      <c r="AF346" s="39">
        <v>0</v>
      </c>
      <c r="AG346" s="39">
        <v>0</v>
      </c>
      <c r="AH346" s="39">
        <v>0</v>
      </c>
      <c r="AI346" s="39">
        <v>0</v>
      </c>
      <c r="AJ346" s="39">
        <f>'Row data'!$S346+'Row data'!$T346+'Row data'!$U346+'Row data'!$W346+'Row data'!$X346+'Row data'!$Y346+'Row data'!$Z346+'Row data'!$AA346+'Row data'!$AB346+'Row data'!$AD346-'Row data'!$AC346-'Row data'!$AE346-'Row data'!$AF346-'Row data'!$AG346-'Row data'!$AH346-'Row data'!$AI346</f>
        <v>13918</v>
      </c>
      <c r="AK346" s="39">
        <v>13918</v>
      </c>
      <c r="AL346" s="39">
        <v>0</v>
      </c>
    </row>
    <row r="347" spans="1:38" x14ac:dyDescent="0.3">
      <c r="A347" s="40">
        <v>346</v>
      </c>
      <c r="B347" s="35" t="s">
        <v>69</v>
      </c>
      <c r="C347" s="35">
        <v>9766809</v>
      </c>
      <c r="D347" s="36" t="s">
        <v>690</v>
      </c>
      <c r="E347" s="35" t="s">
        <v>38</v>
      </c>
      <c r="F347" s="35" t="s">
        <v>169</v>
      </c>
      <c r="G347" s="35" t="s">
        <v>164</v>
      </c>
      <c r="H347" s="37"/>
      <c r="I347" s="38">
        <v>42723</v>
      </c>
      <c r="J347" s="38"/>
      <c r="K347" s="17"/>
      <c r="L347" s="38">
        <v>33368</v>
      </c>
      <c r="M347" s="35">
        <f ca="1">IF('Row data'!$J347="",DATEDIF('Row data'!$L347,TODAY(),"y"),"0")</f>
        <v>35</v>
      </c>
      <c r="N347" s="35" t="s">
        <v>75</v>
      </c>
      <c r="O347" s="35" t="s">
        <v>553</v>
      </c>
      <c r="P347" s="39" t="s">
        <v>554</v>
      </c>
      <c r="Q347" s="39">
        <v>15337</v>
      </c>
      <c r="R347" s="39">
        <v>15337</v>
      </c>
      <c r="S347" s="39">
        <v>8591</v>
      </c>
      <c r="T347" s="39">
        <v>4296</v>
      </c>
      <c r="U347" s="39">
        <v>750</v>
      </c>
      <c r="V347" s="39">
        <v>450</v>
      </c>
      <c r="W347" s="39">
        <v>0</v>
      </c>
      <c r="X347" s="39">
        <v>0</v>
      </c>
      <c r="Y347" s="39">
        <v>1250</v>
      </c>
      <c r="Z347" s="39">
        <v>450</v>
      </c>
      <c r="AA347" s="39">
        <v>350</v>
      </c>
      <c r="AB347" s="39">
        <v>0</v>
      </c>
      <c r="AC347" s="39">
        <v>0</v>
      </c>
      <c r="AD347" s="39">
        <v>0</v>
      </c>
      <c r="AE347" s="39">
        <v>0</v>
      </c>
      <c r="AF347" s="39">
        <v>0</v>
      </c>
      <c r="AG347" s="39">
        <v>0</v>
      </c>
      <c r="AH347" s="39">
        <v>0</v>
      </c>
      <c r="AI347" s="39">
        <v>0</v>
      </c>
      <c r="AJ347" s="39">
        <f>'Row data'!$S347+'Row data'!$T347+'Row data'!$U347+'Row data'!$W347+'Row data'!$X347+'Row data'!$Y347+'Row data'!$Z347+'Row data'!$AA347+'Row data'!$AB347+'Row data'!$AD347-'Row data'!$AC347-'Row data'!$AE347-'Row data'!$AF347-'Row data'!$AG347-'Row data'!$AH347-'Row data'!$AI347</f>
        <v>15687</v>
      </c>
      <c r="AK347" s="39">
        <v>15687</v>
      </c>
      <c r="AL347" s="39">
        <v>0</v>
      </c>
    </row>
    <row r="348" spans="1:38" x14ac:dyDescent="0.3">
      <c r="A348" s="40">
        <v>347</v>
      </c>
      <c r="B348" s="35" t="s">
        <v>69</v>
      </c>
      <c r="C348" s="35">
        <v>7063114</v>
      </c>
      <c r="D348" s="36" t="s">
        <v>691</v>
      </c>
      <c r="E348" s="35" t="s">
        <v>38</v>
      </c>
      <c r="F348" s="35" t="s">
        <v>169</v>
      </c>
      <c r="G348" s="35" t="s">
        <v>164</v>
      </c>
      <c r="H348" s="37"/>
      <c r="I348" s="38">
        <v>40442</v>
      </c>
      <c r="J348" s="38"/>
      <c r="K348" s="17"/>
      <c r="L348" s="38">
        <v>35799</v>
      </c>
      <c r="M348" s="35">
        <f ca="1">IF('Row data'!$J348="",DATEDIF('Row data'!$L348,TODAY(),"y"),"0")</f>
        <v>28</v>
      </c>
      <c r="N348" s="35" t="s">
        <v>75</v>
      </c>
      <c r="O348" s="35" t="s">
        <v>553</v>
      </c>
      <c r="P348" s="39" t="s">
        <v>554</v>
      </c>
      <c r="Q348" s="39">
        <v>16064</v>
      </c>
      <c r="R348" s="39">
        <v>15740</v>
      </c>
      <c r="S348" s="39">
        <v>9076</v>
      </c>
      <c r="T348" s="39">
        <v>4538</v>
      </c>
      <c r="U348" s="39">
        <v>750</v>
      </c>
      <c r="V348" s="39">
        <v>450</v>
      </c>
      <c r="W348" s="39">
        <v>0</v>
      </c>
      <c r="X348" s="39">
        <v>0</v>
      </c>
      <c r="Y348" s="39">
        <v>1250</v>
      </c>
      <c r="Z348" s="39">
        <v>450</v>
      </c>
      <c r="AA348" s="39">
        <v>0</v>
      </c>
      <c r="AB348" s="39">
        <v>0</v>
      </c>
      <c r="AC348" s="39">
        <v>0</v>
      </c>
      <c r="AD348" s="39">
        <v>0</v>
      </c>
      <c r="AE348" s="39">
        <v>324</v>
      </c>
      <c r="AF348" s="39">
        <v>0</v>
      </c>
      <c r="AG348" s="39">
        <v>0</v>
      </c>
      <c r="AH348" s="39">
        <v>0</v>
      </c>
      <c r="AI348" s="39">
        <v>0</v>
      </c>
      <c r="AJ348" s="39">
        <f>'Row data'!$S348+'Row data'!$T348+'Row data'!$U348+'Row data'!$W348+'Row data'!$X348+'Row data'!$Y348+'Row data'!$Z348+'Row data'!$AA348+'Row data'!$AB348+'Row data'!$AD348-'Row data'!$AC348-'Row data'!$AE348-'Row data'!$AF348-'Row data'!$AG348-'Row data'!$AH348-'Row data'!$AI348</f>
        <v>15740</v>
      </c>
      <c r="AK348" s="39">
        <v>15740</v>
      </c>
      <c r="AL348" s="39">
        <v>0</v>
      </c>
    </row>
    <row r="349" spans="1:38" x14ac:dyDescent="0.3">
      <c r="A349" s="40">
        <v>348</v>
      </c>
      <c r="B349" s="35" t="s">
        <v>69</v>
      </c>
      <c r="C349" s="35">
        <v>5161411</v>
      </c>
      <c r="D349" s="36" t="s">
        <v>597</v>
      </c>
      <c r="E349" s="35" t="s">
        <v>38</v>
      </c>
      <c r="F349" s="35" t="s">
        <v>169</v>
      </c>
      <c r="G349" s="35" t="s">
        <v>50</v>
      </c>
      <c r="H349" s="37"/>
      <c r="I349" s="38">
        <v>43082</v>
      </c>
      <c r="J349" s="38"/>
      <c r="K349" s="17"/>
      <c r="L349" s="38">
        <v>31413</v>
      </c>
      <c r="M349" s="35">
        <f ca="1">IF('Row data'!$J349="",DATEDIF('Row data'!$L349,TODAY(),"y"),"0")</f>
        <v>40</v>
      </c>
      <c r="N349" s="35" t="s">
        <v>75</v>
      </c>
      <c r="O349" s="35" t="s">
        <v>553</v>
      </c>
      <c r="P349" s="39" t="s">
        <v>554</v>
      </c>
      <c r="Q349" s="39">
        <v>13568</v>
      </c>
      <c r="R349" s="39">
        <v>13303</v>
      </c>
      <c r="S349" s="39">
        <v>7412</v>
      </c>
      <c r="T349" s="39">
        <v>3706</v>
      </c>
      <c r="U349" s="39">
        <v>750</v>
      </c>
      <c r="V349" s="39">
        <v>450</v>
      </c>
      <c r="W349" s="39">
        <v>0</v>
      </c>
      <c r="X349" s="39">
        <v>0</v>
      </c>
      <c r="Y349" s="39">
        <v>1250</v>
      </c>
      <c r="Z349" s="39">
        <v>450</v>
      </c>
      <c r="AA349" s="39">
        <v>0</v>
      </c>
      <c r="AB349" s="39">
        <v>0</v>
      </c>
      <c r="AC349" s="39">
        <v>0</v>
      </c>
      <c r="AD349" s="39">
        <v>0</v>
      </c>
      <c r="AE349" s="39">
        <v>265</v>
      </c>
      <c r="AF349" s="39">
        <v>0</v>
      </c>
      <c r="AG349" s="39">
        <v>0</v>
      </c>
      <c r="AH349" s="39">
        <v>0</v>
      </c>
      <c r="AI349" s="39">
        <v>0</v>
      </c>
      <c r="AJ349" s="39">
        <f>'Row data'!$S349+'Row data'!$T349+'Row data'!$U349+'Row data'!$W349+'Row data'!$X349+'Row data'!$Y349+'Row data'!$Z349+'Row data'!$AA349+'Row data'!$AB349+'Row data'!$AD349-'Row data'!$AC349-'Row data'!$AE349-'Row data'!$AF349-'Row data'!$AG349-'Row data'!$AH349-'Row data'!$AI349</f>
        <v>13303</v>
      </c>
      <c r="AK349" s="39">
        <v>13303</v>
      </c>
      <c r="AL349" s="39">
        <v>0</v>
      </c>
    </row>
    <row r="350" spans="1:38" x14ac:dyDescent="0.3">
      <c r="A350" s="40">
        <v>349</v>
      </c>
      <c r="B350" s="35" t="s">
        <v>69</v>
      </c>
      <c r="C350" s="35">
        <v>5272564</v>
      </c>
      <c r="D350" s="36" t="s">
        <v>692</v>
      </c>
      <c r="E350" s="35" t="s">
        <v>38</v>
      </c>
      <c r="F350" s="35" t="s">
        <v>169</v>
      </c>
      <c r="G350" s="35" t="s">
        <v>50</v>
      </c>
      <c r="H350" s="37"/>
      <c r="I350" s="38">
        <v>43051</v>
      </c>
      <c r="J350" s="38"/>
      <c r="K350" s="17"/>
      <c r="L350" s="38">
        <v>27890</v>
      </c>
      <c r="M350" s="35">
        <f ca="1">IF('Row data'!$J350="",DATEDIF('Row data'!$L350,TODAY(),"y"),"0")</f>
        <v>50</v>
      </c>
      <c r="N350" s="35" t="s">
        <v>75</v>
      </c>
      <c r="O350" s="35" t="s">
        <v>553</v>
      </c>
      <c r="P350" s="39" t="s">
        <v>554</v>
      </c>
      <c r="Q350" s="39">
        <v>13568</v>
      </c>
      <c r="R350" s="39">
        <v>13568</v>
      </c>
      <c r="S350" s="39">
        <v>7412</v>
      </c>
      <c r="T350" s="39">
        <v>3706</v>
      </c>
      <c r="U350" s="39">
        <v>750</v>
      </c>
      <c r="V350" s="39">
        <v>450</v>
      </c>
      <c r="W350" s="39">
        <v>0</v>
      </c>
      <c r="X350" s="39">
        <v>0</v>
      </c>
      <c r="Y350" s="39">
        <v>1250</v>
      </c>
      <c r="Z350" s="39">
        <v>450</v>
      </c>
      <c r="AA350" s="39">
        <v>350</v>
      </c>
      <c r="AB350" s="39">
        <v>0</v>
      </c>
      <c r="AC350" s="39">
        <v>0</v>
      </c>
      <c r="AD350" s="39">
        <v>0</v>
      </c>
      <c r="AE350" s="39">
        <v>0</v>
      </c>
      <c r="AF350" s="39">
        <v>0</v>
      </c>
      <c r="AG350" s="39">
        <v>0</v>
      </c>
      <c r="AH350" s="39">
        <v>0</v>
      </c>
      <c r="AI350" s="39">
        <v>0</v>
      </c>
      <c r="AJ350" s="39">
        <f>'Row data'!$S350+'Row data'!$T350+'Row data'!$U350+'Row data'!$W350+'Row data'!$X350+'Row data'!$Y350+'Row data'!$Z350+'Row data'!$AA350+'Row data'!$AB350+'Row data'!$AD350-'Row data'!$AC350-'Row data'!$AE350-'Row data'!$AF350-'Row data'!$AG350-'Row data'!$AH350-'Row data'!$AI350</f>
        <v>13918</v>
      </c>
      <c r="AK350" s="39">
        <v>13918</v>
      </c>
      <c r="AL350" s="39">
        <v>0</v>
      </c>
    </row>
    <row r="351" spans="1:38" x14ac:dyDescent="0.3">
      <c r="A351" s="40">
        <v>350</v>
      </c>
      <c r="B351" s="35" t="s">
        <v>69</v>
      </c>
      <c r="C351" s="35">
        <v>6137085</v>
      </c>
      <c r="D351" s="36" t="s">
        <v>693</v>
      </c>
      <c r="E351" s="35" t="s">
        <v>38</v>
      </c>
      <c r="F351" s="35" t="s">
        <v>169</v>
      </c>
      <c r="G351" s="35" t="s">
        <v>50</v>
      </c>
      <c r="H351" s="37"/>
      <c r="I351" s="38">
        <v>44370</v>
      </c>
      <c r="J351" s="38"/>
      <c r="K351" s="17"/>
      <c r="L351" s="38">
        <v>32999</v>
      </c>
      <c r="M351" s="35">
        <f ca="1">IF('Row data'!$J351="",DATEDIF('Row data'!$L351,TODAY(),"y"),"0")</f>
        <v>36</v>
      </c>
      <c r="N351" s="35" t="s">
        <v>75</v>
      </c>
      <c r="O351" s="35" t="s">
        <v>553</v>
      </c>
      <c r="P351" s="39" t="s">
        <v>554</v>
      </c>
      <c r="Q351" s="39">
        <v>13405</v>
      </c>
      <c r="R351" s="39">
        <v>13405</v>
      </c>
      <c r="S351" s="39">
        <v>7303</v>
      </c>
      <c r="T351" s="39">
        <v>3652</v>
      </c>
      <c r="U351" s="39">
        <v>750</v>
      </c>
      <c r="V351" s="39">
        <v>450</v>
      </c>
      <c r="W351" s="39">
        <v>0</v>
      </c>
      <c r="X351" s="39">
        <v>0</v>
      </c>
      <c r="Y351" s="39">
        <v>1250</v>
      </c>
      <c r="Z351" s="39">
        <v>450</v>
      </c>
      <c r="AA351" s="39">
        <v>0</v>
      </c>
      <c r="AB351" s="39">
        <v>0</v>
      </c>
      <c r="AC351" s="39">
        <v>0</v>
      </c>
      <c r="AD351" s="39">
        <v>0</v>
      </c>
      <c r="AE351" s="39">
        <v>0</v>
      </c>
      <c r="AF351" s="39">
        <v>0</v>
      </c>
      <c r="AG351" s="39">
        <v>0</v>
      </c>
      <c r="AH351" s="39">
        <v>0</v>
      </c>
      <c r="AI351" s="39">
        <v>0</v>
      </c>
      <c r="AJ351" s="39">
        <f>'Row data'!$S351+'Row data'!$T351+'Row data'!$U351+'Row data'!$W351+'Row data'!$X351+'Row data'!$Y351+'Row data'!$Z351+'Row data'!$AA351+'Row data'!$AB351+'Row data'!$AD351-'Row data'!$AC351-'Row data'!$AE351-'Row data'!$AF351-'Row data'!$AG351-'Row data'!$AH351-'Row data'!$AI351</f>
        <v>13405</v>
      </c>
      <c r="AK351" s="39">
        <v>13405</v>
      </c>
      <c r="AL351" s="39">
        <v>0</v>
      </c>
    </row>
    <row r="352" spans="1:38" x14ac:dyDescent="0.3">
      <c r="A352" s="40">
        <v>351</v>
      </c>
      <c r="B352" s="35" t="s">
        <v>69</v>
      </c>
      <c r="C352" s="35">
        <v>9313009</v>
      </c>
      <c r="D352" s="36" t="s">
        <v>597</v>
      </c>
      <c r="E352" s="35" t="s">
        <v>38</v>
      </c>
      <c r="F352" s="35" t="s">
        <v>169</v>
      </c>
      <c r="G352" s="35" t="s">
        <v>50</v>
      </c>
      <c r="H352" s="37"/>
      <c r="I352" s="38">
        <v>43078</v>
      </c>
      <c r="J352" s="38"/>
      <c r="K352" s="17"/>
      <c r="L352" s="38">
        <v>35925</v>
      </c>
      <c r="M352" s="35">
        <f ca="1">IF('Row data'!$J352="",DATEDIF('Row data'!$L352,TODAY(),"y"),"0")</f>
        <v>28</v>
      </c>
      <c r="N352" s="35" t="s">
        <v>75</v>
      </c>
      <c r="O352" s="35" t="s">
        <v>553</v>
      </c>
      <c r="P352" s="39" t="s">
        <v>554</v>
      </c>
      <c r="Q352" s="39">
        <v>13568</v>
      </c>
      <c r="R352" s="39">
        <v>13568</v>
      </c>
      <c r="S352" s="39">
        <v>7412</v>
      </c>
      <c r="T352" s="39">
        <v>3706</v>
      </c>
      <c r="U352" s="39">
        <v>750</v>
      </c>
      <c r="V352" s="39">
        <v>450</v>
      </c>
      <c r="W352" s="39">
        <v>0</v>
      </c>
      <c r="X352" s="39">
        <v>0</v>
      </c>
      <c r="Y352" s="39">
        <v>1250</v>
      </c>
      <c r="Z352" s="39">
        <v>450</v>
      </c>
      <c r="AA352" s="39">
        <v>350</v>
      </c>
      <c r="AB352" s="39">
        <v>0</v>
      </c>
      <c r="AC352" s="39">
        <v>0</v>
      </c>
      <c r="AD352" s="39">
        <v>0</v>
      </c>
      <c r="AE352" s="39">
        <v>0</v>
      </c>
      <c r="AF352" s="39">
        <v>0</v>
      </c>
      <c r="AG352" s="39">
        <v>0</v>
      </c>
      <c r="AH352" s="39">
        <v>0</v>
      </c>
      <c r="AI352" s="39">
        <v>0</v>
      </c>
      <c r="AJ352" s="39">
        <f>'Row data'!$S352+'Row data'!$T352+'Row data'!$U352+'Row data'!$W352+'Row data'!$X352+'Row data'!$Y352+'Row data'!$Z352+'Row data'!$AA352+'Row data'!$AB352+'Row data'!$AD352-'Row data'!$AC352-'Row data'!$AE352-'Row data'!$AF352-'Row data'!$AG352-'Row data'!$AH352-'Row data'!$AI352</f>
        <v>13918</v>
      </c>
      <c r="AK352" s="39">
        <v>13918</v>
      </c>
      <c r="AL352" s="39">
        <v>0</v>
      </c>
    </row>
    <row r="353" spans="1:38" x14ac:dyDescent="0.3">
      <c r="A353" s="40">
        <v>352</v>
      </c>
      <c r="B353" s="35" t="s">
        <v>69</v>
      </c>
      <c r="C353" s="35">
        <v>8358227</v>
      </c>
      <c r="D353" s="36" t="s">
        <v>597</v>
      </c>
      <c r="E353" s="35" t="s">
        <v>38</v>
      </c>
      <c r="F353" s="35" t="s">
        <v>169</v>
      </c>
      <c r="G353" s="35" t="s">
        <v>50</v>
      </c>
      <c r="H353" s="37"/>
      <c r="I353" s="38">
        <v>43078</v>
      </c>
      <c r="J353" s="38"/>
      <c r="K353" s="17"/>
      <c r="L353" s="38">
        <v>30421</v>
      </c>
      <c r="M353" s="35">
        <f ca="1">IF('Row data'!$J353="",DATEDIF('Row data'!$L353,TODAY(),"y"),"0")</f>
        <v>43</v>
      </c>
      <c r="N353" s="35" t="s">
        <v>75</v>
      </c>
      <c r="O353" s="35" t="s">
        <v>553</v>
      </c>
      <c r="P353" s="39" t="s">
        <v>554</v>
      </c>
      <c r="Q353" s="39">
        <v>13568</v>
      </c>
      <c r="R353" s="39">
        <v>13568</v>
      </c>
      <c r="S353" s="39">
        <v>7412</v>
      </c>
      <c r="T353" s="39">
        <v>3706</v>
      </c>
      <c r="U353" s="39">
        <v>750</v>
      </c>
      <c r="V353" s="39">
        <v>450</v>
      </c>
      <c r="W353" s="39">
        <v>0</v>
      </c>
      <c r="X353" s="39">
        <v>0</v>
      </c>
      <c r="Y353" s="39">
        <v>1250</v>
      </c>
      <c r="Z353" s="39">
        <v>450</v>
      </c>
      <c r="AA353" s="39">
        <v>350</v>
      </c>
      <c r="AB353" s="39">
        <v>0</v>
      </c>
      <c r="AC353" s="39">
        <v>0</v>
      </c>
      <c r="AD353" s="39">
        <v>0</v>
      </c>
      <c r="AE353" s="39">
        <v>0</v>
      </c>
      <c r="AF353" s="39">
        <v>0</v>
      </c>
      <c r="AG353" s="39">
        <v>0</v>
      </c>
      <c r="AH353" s="39">
        <v>0</v>
      </c>
      <c r="AI353" s="39">
        <v>0</v>
      </c>
      <c r="AJ353" s="39">
        <f>'Row data'!$S353+'Row data'!$T353+'Row data'!$U353+'Row data'!$W353+'Row data'!$X353+'Row data'!$Y353+'Row data'!$Z353+'Row data'!$AA353+'Row data'!$AB353+'Row data'!$AD353-'Row data'!$AC353-'Row data'!$AE353-'Row data'!$AF353-'Row data'!$AG353-'Row data'!$AH353-'Row data'!$AI353</f>
        <v>13918</v>
      </c>
      <c r="AK353" s="39">
        <v>13918</v>
      </c>
      <c r="AL353" s="39">
        <v>0</v>
      </c>
    </row>
    <row r="354" spans="1:38" x14ac:dyDescent="0.3">
      <c r="A354" s="40">
        <v>353</v>
      </c>
      <c r="B354" s="35" t="s">
        <v>69</v>
      </c>
      <c r="C354" s="35">
        <v>8814781</v>
      </c>
      <c r="D354" s="36" t="s">
        <v>694</v>
      </c>
      <c r="E354" s="35" t="s">
        <v>38</v>
      </c>
      <c r="F354" s="35" t="s">
        <v>169</v>
      </c>
      <c r="G354" s="35" t="s">
        <v>50</v>
      </c>
      <c r="H354" s="37"/>
      <c r="I354" s="38">
        <v>44440</v>
      </c>
      <c r="J354" s="38">
        <v>44684</v>
      </c>
      <c r="K354" s="17">
        <f>YEAR('Row data'!$J354)</f>
        <v>2022</v>
      </c>
      <c r="L354" s="38">
        <v>32266</v>
      </c>
      <c r="M354" s="35" t="str">
        <f ca="1">IF('Row data'!$J354="",DATEDIF('Row data'!$L354,TODAY(),"y"),"0")</f>
        <v>0</v>
      </c>
      <c r="N354" s="35" t="s">
        <v>75</v>
      </c>
      <c r="O354" s="35" t="s">
        <v>553</v>
      </c>
      <c r="P354" s="39" t="s">
        <v>554</v>
      </c>
      <c r="Q354" s="39">
        <v>13405</v>
      </c>
      <c r="R354" s="39">
        <v>13405</v>
      </c>
      <c r="S354" s="39">
        <v>7303</v>
      </c>
      <c r="T354" s="39">
        <v>3652</v>
      </c>
      <c r="U354" s="39">
        <v>750</v>
      </c>
      <c r="V354" s="39">
        <v>450</v>
      </c>
      <c r="W354" s="39">
        <v>0</v>
      </c>
      <c r="X354" s="39">
        <v>0</v>
      </c>
      <c r="Y354" s="39">
        <v>1250</v>
      </c>
      <c r="Z354" s="39">
        <v>450</v>
      </c>
      <c r="AA354" s="39">
        <v>350</v>
      </c>
      <c r="AB354" s="39">
        <v>0</v>
      </c>
      <c r="AC354" s="39">
        <v>0</v>
      </c>
      <c r="AD354" s="39">
        <v>0</v>
      </c>
      <c r="AE354" s="39">
        <v>0</v>
      </c>
      <c r="AF354" s="39">
        <v>0</v>
      </c>
      <c r="AG354" s="39">
        <v>0</v>
      </c>
      <c r="AH354" s="39">
        <v>0</v>
      </c>
      <c r="AI354" s="39">
        <v>0</v>
      </c>
      <c r="AJ354" s="39">
        <f>'Row data'!$S354+'Row data'!$T354+'Row data'!$U354+'Row data'!$W354+'Row data'!$X354+'Row data'!$Y354+'Row data'!$Z354+'Row data'!$AA354+'Row data'!$AB354+'Row data'!$AD354-'Row data'!$AC354-'Row data'!$AE354-'Row data'!$AF354-'Row data'!$AG354-'Row data'!$AH354-'Row data'!$AI354</f>
        <v>13755</v>
      </c>
      <c r="AK354" s="39">
        <v>13755</v>
      </c>
      <c r="AL354" s="39">
        <v>0</v>
      </c>
    </row>
    <row r="355" spans="1:38" x14ac:dyDescent="0.3">
      <c r="A355" s="40">
        <v>354</v>
      </c>
      <c r="B355" s="35" t="s">
        <v>69</v>
      </c>
      <c r="C355" s="35">
        <v>7598891</v>
      </c>
      <c r="D355" s="36" t="s">
        <v>583</v>
      </c>
      <c r="E355" s="35" t="s">
        <v>38</v>
      </c>
      <c r="F355" s="35" t="s">
        <v>169</v>
      </c>
      <c r="G355" s="35" t="s">
        <v>634</v>
      </c>
      <c r="H355" s="37"/>
      <c r="I355" s="38">
        <v>40725</v>
      </c>
      <c r="J355" s="38"/>
      <c r="K355" s="17"/>
      <c r="L355" s="38">
        <v>30083</v>
      </c>
      <c r="M355" s="35">
        <f ca="1">IF('Row data'!$J355="",DATEDIF('Row data'!$L355,TODAY(),"y"),"0")</f>
        <v>44</v>
      </c>
      <c r="N355" s="35" t="s">
        <v>75</v>
      </c>
      <c r="O355" s="35" t="s">
        <v>553</v>
      </c>
      <c r="P355" s="39" t="s">
        <v>554</v>
      </c>
      <c r="Q355" s="39">
        <v>16070</v>
      </c>
      <c r="R355" s="39">
        <v>16070</v>
      </c>
      <c r="S355" s="39">
        <v>9080</v>
      </c>
      <c r="T355" s="39">
        <v>4540</v>
      </c>
      <c r="U355" s="39">
        <v>750</v>
      </c>
      <c r="V355" s="39">
        <v>450</v>
      </c>
      <c r="W355" s="39">
        <v>0</v>
      </c>
      <c r="X355" s="39">
        <v>0</v>
      </c>
      <c r="Y355" s="39">
        <v>1250</v>
      </c>
      <c r="Z355" s="39">
        <v>450</v>
      </c>
      <c r="AA355" s="39">
        <v>0</v>
      </c>
      <c r="AB355" s="39">
        <v>0</v>
      </c>
      <c r="AC355" s="39">
        <v>0</v>
      </c>
      <c r="AD355" s="39">
        <v>0</v>
      </c>
      <c r="AE355" s="39">
        <v>0</v>
      </c>
      <c r="AF355" s="39">
        <v>0</v>
      </c>
      <c r="AG355" s="39">
        <v>0</v>
      </c>
      <c r="AH355" s="39">
        <v>0</v>
      </c>
      <c r="AI355" s="39">
        <v>0</v>
      </c>
      <c r="AJ355" s="39">
        <f>'Row data'!$S355+'Row data'!$T355+'Row data'!$U355+'Row data'!$W355+'Row data'!$X355+'Row data'!$Y355+'Row data'!$Z355+'Row data'!$AA355+'Row data'!$AB355+'Row data'!$AD355-'Row data'!$AC355-'Row data'!$AE355-'Row data'!$AF355-'Row data'!$AG355-'Row data'!$AH355-'Row data'!$AI355</f>
        <v>16070</v>
      </c>
      <c r="AK355" s="39">
        <v>16070</v>
      </c>
      <c r="AL355" s="39">
        <v>0</v>
      </c>
    </row>
    <row r="356" spans="1:38" x14ac:dyDescent="0.3">
      <c r="A356" s="40">
        <v>355</v>
      </c>
      <c r="B356" s="35" t="s">
        <v>69</v>
      </c>
      <c r="C356" s="35">
        <v>7710744</v>
      </c>
      <c r="D356" s="36" t="s">
        <v>591</v>
      </c>
      <c r="E356" s="35" t="s">
        <v>38</v>
      </c>
      <c r="F356" s="35" t="s">
        <v>169</v>
      </c>
      <c r="G356" s="35" t="s">
        <v>634</v>
      </c>
      <c r="H356" s="37"/>
      <c r="I356" s="38">
        <v>39612</v>
      </c>
      <c r="J356" s="38"/>
      <c r="K356" s="17"/>
      <c r="L356" s="38">
        <v>30977</v>
      </c>
      <c r="M356" s="35">
        <f ca="1">IF('Row data'!$J356="",DATEDIF('Row data'!$L356,TODAY(),"y"),"0")</f>
        <v>41</v>
      </c>
      <c r="N356" s="35" t="s">
        <v>75</v>
      </c>
      <c r="O356" s="35" t="s">
        <v>553</v>
      </c>
      <c r="P356" s="39" t="s">
        <v>554</v>
      </c>
      <c r="Q356" s="39">
        <v>16519</v>
      </c>
      <c r="R356" s="39">
        <v>16519</v>
      </c>
      <c r="S356" s="39">
        <v>9379</v>
      </c>
      <c r="T356" s="39">
        <v>4690</v>
      </c>
      <c r="U356" s="39">
        <v>750</v>
      </c>
      <c r="V356" s="39">
        <v>450</v>
      </c>
      <c r="W356" s="39">
        <v>0</v>
      </c>
      <c r="X356" s="39">
        <v>0</v>
      </c>
      <c r="Y356" s="39">
        <v>1250</v>
      </c>
      <c r="Z356" s="39">
        <v>450</v>
      </c>
      <c r="AA356" s="39">
        <v>0</v>
      </c>
      <c r="AB356" s="39">
        <v>0</v>
      </c>
      <c r="AC356" s="39">
        <v>0</v>
      </c>
      <c r="AD356" s="39">
        <v>0</v>
      </c>
      <c r="AE356" s="39">
        <v>0</v>
      </c>
      <c r="AF356" s="39">
        <v>0</v>
      </c>
      <c r="AG356" s="39">
        <v>0</v>
      </c>
      <c r="AH356" s="39">
        <v>0</v>
      </c>
      <c r="AI356" s="39">
        <v>0</v>
      </c>
      <c r="AJ356" s="39">
        <f>'Row data'!$S356+'Row data'!$T356+'Row data'!$U356+'Row data'!$W356+'Row data'!$X356+'Row data'!$Y356+'Row data'!$Z356+'Row data'!$AA356+'Row data'!$AB356+'Row data'!$AD356-'Row data'!$AC356-'Row data'!$AE356-'Row data'!$AF356-'Row data'!$AG356-'Row data'!$AH356-'Row data'!$AI356</f>
        <v>16519</v>
      </c>
      <c r="AK356" s="39">
        <v>16519</v>
      </c>
      <c r="AL356" s="39">
        <v>0</v>
      </c>
    </row>
    <row r="357" spans="1:38" x14ac:dyDescent="0.3">
      <c r="A357" s="40">
        <v>356</v>
      </c>
      <c r="B357" s="35" t="s">
        <v>69</v>
      </c>
      <c r="C357" s="35">
        <v>6899813</v>
      </c>
      <c r="D357" s="36" t="s">
        <v>695</v>
      </c>
      <c r="E357" s="35" t="s">
        <v>38</v>
      </c>
      <c r="F357" s="35" t="s">
        <v>169</v>
      </c>
      <c r="G357" s="35" t="s">
        <v>633</v>
      </c>
      <c r="H357" s="37"/>
      <c r="I357" s="38">
        <v>42095</v>
      </c>
      <c r="J357" s="38"/>
      <c r="K357" s="17"/>
      <c r="L357" s="38">
        <v>31206</v>
      </c>
      <c r="M357" s="35">
        <f ca="1">IF('Row data'!$J357="",DATEDIF('Row data'!$L357,TODAY(),"y"),"0")</f>
        <v>41</v>
      </c>
      <c r="N357" s="35" t="s">
        <v>75</v>
      </c>
      <c r="O357" s="35" t="s">
        <v>553</v>
      </c>
      <c r="P357" s="39" t="s">
        <v>554</v>
      </c>
      <c r="Q357" s="39">
        <v>13568</v>
      </c>
      <c r="R357" s="39">
        <v>13568</v>
      </c>
      <c r="S357" s="39">
        <v>7412</v>
      </c>
      <c r="T357" s="39">
        <v>3706</v>
      </c>
      <c r="U357" s="39">
        <v>750</v>
      </c>
      <c r="V357" s="39">
        <v>450</v>
      </c>
      <c r="W357" s="39">
        <v>0</v>
      </c>
      <c r="X357" s="39">
        <v>0</v>
      </c>
      <c r="Y357" s="39">
        <v>1250</v>
      </c>
      <c r="Z357" s="39">
        <v>450</v>
      </c>
      <c r="AA357" s="39">
        <v>250</v>
      </c>
      <c r="AB357" s="39">
        <v>0</v>
      </c>
      <c r="AC357" s="39">
        <v>0</v>
      </c>
      <c r="AD357" s="39">
        <v>0</v>
      </c>
      <c r="AE357" s="39">
        <v>0</v>
      </c>
      <c r="AF357" s="39">
        <v>0</v>
      </c>
      <c r="AG357" s="39">
        <v>0</v>
      </c>
      <c r="AH357" s="39">
        <v>0</v>
      </c>
      <c r="AI357" s="39">
        <v>0</v>
      </c>
      <c r="AJ357" s="39">
        <f>'Row data'!$S357+'Row data'!$T357+'Row data'!$U357+'Row data'!$W357+'Row data'!$X357+'Row data'!$Y357+'Row data'!$Z357+'Row data'!$AA357+'Row data'!$AB357+'Row data'!$AD357-'Row data'!$AC357-'Row data'!$AE357-'Row data'!$AF357-'Row data'!$AG357-'Row data'!$AH357-'Row data'!$AI357</f>
        <v>13818</v>
      </c>
      <c r="AK357" s="39">
        <v>13818</v>
      </c>
      <c r="AL357" s="39">
        <v>0</v>
      </c>
    </row>
    <row r="358" spans="1:38" x14ac:dyDescent="0.3">
      <c r="A358" s="40">
        <v>357</v>
      </c>
      <c r="B358" s="35" t="s">
        <v>69</v>
      </c>
      <c r="C358" s="35">
        <v>9741733</v>
      </c>
      <c r="D358" s="36" t="s">
        <v>696</v>
      </c>
      <c r="E358" s="35" t="s">
        <v>38</v>
      </c>
      <c r="F358" s="35" t="s">
        <v>169</v>
      </c>
      <c r="G358" s="35" t="s">
        <v>633</v>
      </c>
      <c r="H358" s="37"/>
      <c r="I358" s="38">
        <v>41429</v>
      </c>
      <c r="J358" s="38"/>
      <c r="K358" s="17"/>
      <c r="L358" s="38">
        <v>29136</v>
      </c>
      <c r="M358" s="35">
        <f ca="1">IF('Row data'!$J358="",DATEDIF('Row data'!$L358,TODAY(),"y"),"0")</f>
        <v>46</v>
      </c>
      <c r="N358" s="35" t="s">
        <v>75</v>
      </c>
      <c r="O358" s="35" t="s">
        <v>553</v>
      </c>
      <c r="P358" s="39" t="s">
        <v>554</v>
      </c>
      <c r="Q358" s="39">
        <v>13568</v>
      </c>
      <c r="R358" s="39">
        <v>13568</v>
      </c>
      <c r="S358" s="39">
        <v>7412</v>
      </c>
      <c r="T358" s="39">
        <v>3706</v>
      </c>
      <c r="U358" s="39">
        <v>750</v>
      </c>
      <c r="V358" s="39">
        <v>450</v>
      </c>
      <c r="W358" s="39">
        <v>0</v>
      </c>
      <c r="X358" s="39">
        <v>0</v>
      </c>
      <c r="Y358" s="39">
        <v>1250</v>
      </c>
      <c r="Z358" s="39">
        <v>450</v>
      </c>
      <c r="AA358" s="39">
        <v>250</v>
      </c>
      <c r="AB358" s="39">
        <v>0</v>
      </c>
      <c r="AC358" s="39">
        <v>0</v>
      </c>
      <c r="AD358" s="39">
        <v>0</v>
      </c>
      <c r="AE358" s="39">
        <v>0</v>
      </c>
      <c r="AF358" s="39">
        <v>0</v>
      </c>
      <c r="AG358" s="39">
        <v>0</v>
      </c>
      <c r="AH358" s="39">
        <v>0</v>
      </c>
      <c r="AI358" s="39">
        <v>0</v>
      </c>
      <c r="AJ358" s="39">
        <f>'Row data'!$S358+'Row data'!$T358+'Row data'!$U358+'Row data'!$W358+'Row data'!$X358+'Row data'!$Y358+'Row data'!$Z358+'Row data'!$AA358+'Row data'!$AB358+'Row data'!$AD358-'Row data'!$AC358-'Row data'!$AE358-'Row data'!$AF358-'Row data'!$AG358-'Row data'!$AH358-'Row data'!$AI358</f>
        <v>13818</v>
      </c>
      <c r="AK358" s="39">
        <v>13818</v>
      </c>
      <c r="AL358" s="39">
        <v>0</v>
      </c>
    </row>
    <row r="359" spans="1:38" x14ac:dyDescent="0.3">
      <c r="A359" s="40">
        <v>358</v>
      </c>
      <c r="B359" s="35" t="s">
        <v>69</v>
      </c>
      <c r="C359" s="35">
        <v>8731400</v>
      </c>
      <c r="D359" s="36" t="s">
        <v>697</v>
      </c>
      <c r="E359" s="35" t="s">
        <v>38</v>
      </c>
      <c r="F359" s="35" t="s">
        <v>169</v>
      </c>
      <c r="G359" s="35" t="s">
        <v>633</v>
      </c>
      <c r="H359" s="37"/>
      <c r="I359" s="38">
        <v>42826</v>
      </c>
      <c r="J359" s="38"/>
      <c r="K359" s="17"/>
      <c r="L359" s="38">
        <v>32833</v>
      </c>
      <c r="M359" s="35">
        <f ca="1">IF('Row data'!$J359="",DATEDIF('Row data'!$L359,TODAY(),"y"),"0")</f>
        <v>36</v>
      </c>
      <c r="N359" s="35" t="s">
        <v>75</v>
      </c>
      <c r="O359" s="35" t="s">
        <v>553</v>
      </c>
      <c r="P359" s="39" t="s">
        <v>554</v>
      </c>
      <c r="Q359" s="39">
        <v>13568</v>
      </c>
      <c r="R359" s="39">
        <v>13568</v>
      </c>
      <c r="S359" s="39">
        <v>7412</v>
      </c>
      <c r="T359" s="39">
        <v>3706</v>
      </c>
      <c r="U359" s="39">
        <v>750</v>
      </c>
      <c r="V359" s="39">
        <v>450</v>
      </c>
      <c r="W359" s="39">
        <v>0</v>
      </c>
      <c r="X359" s="39">
        <v>0</v>
      </c>
      <c r="Y359" s="39">
        <v>1250</v>
      </c>
      <c r="Z359" s="39">
        <v>450</v>
      </c>
      <c r="AA359" s="39">
        <v>250</v>
      </c>
      <c r="AB359" s="39">
        <v>0</v>
      </c>
      <c r="AC359" s="39">
        <v>0</v>
      </c>
      <c r="AD359" s="39">
        <v>0</v>
      </c>
      <c r="AE359" s="39">
        <v>0</v>
      </c>
      <c r="AF359" s="39">
        <v>0</v>
      </c>
      <c r="AG359" s="39">
        <v>0</v>
      </c>
      <c r="AH359" s="39">
        <v>0</v>
      </c>
      <c r="AI359" s="39">
        <v>0</v>
      </c>
      <c r="AJ359" s="39">
        <f>'Row data'!$S359+'Row data'!$T359+'Row data'!$U359+'Row data'!$W359+'Row data'!$X359+'Row data'!$Y359+'Row data'!$Z359+'Row data'!$AA359+'Row data'!$AB359+'Row data'!$AD359-'Row data'!$AC359-'Row data'!$AE359-'Row data'!$AF359-'Row data'!$AG359-'Row data'!$AH359-'Row data'!$AI359</f>
        <v>13818</v>
      </c>
      <c r="AK359" s="39">
        <v>13818</v>
      </c>
      <c r="AL359" s="39">
        <v>0</v>
      </c>
    </row>
    <row r="360" spans="1:38" x14ac:dyDescent="0.3">
      <c r="A360" s="40">
        <v>359</v>
      </c>
      <c r="B360" s="35" t="s">
        <v>69</v>
      </c>
      <c r="C360" s="35">
        <v>8172660</v>
      </c>
      <c r="D360" s="36" t="s">
        <v>698</v>
      </c>
      <c r="E360" s="35" t="s">
        <v>38</v>
      </c>
      <c r="F360" s="35" t="s">
        <v>169</v>
      </c>
      <c r="G360" s="35" t="s">
        <v>609</v>
      </c>
      <c r="H360" s="37"/>
      <c r="I360" s="38">
        <v>39805</v>
      </c>
      <c r="J360" s="38"/>
      <c r="K360" s="17"/>
      <c r="L360" s="38">
        <v>31413</v>
      </c>
      <c r="M360" s="35">
        <f ca="1">IF('Row data'!$J360="",DATEDIF('Row data'!$L360,TODAY(),"y"),"0")</f>
        <v>40</v>
      </c>
      <c r="N360" s="35" t="s">
        <v>75</v>
      </c>
      <c r="O360" s="35" t="s">
        <v>553</v>
      </c>
      <c r="P360" s="39" t="s">
        <v>554</v>
      </c>
      <c r="Q360" s="39">
        <v>17261</v>
      </c>
      <c r="R360" s="39">
        <v>15850</v>
      </c>
      <c r="S360" s="39">
        <v>9874</v>
      </c>
      <c r="T360" s="39">
        <v>4937</v>
      </c>
      <c r="U360" s="39">
        <v>750</v>
      </c>
      <c r="V360" s="39">
        <v>450</v>
      </c>
      <c r="W360" s="39">
        <v>0</v>
      </c>
      <c r="X360" s="39">
        <v>0</v>
      </c>
      <c r="Y360" s="39">
        <v>1250</v>
      </c>
      <c r="Z360" s="39">
        <v>450</v>
      </c>
      <c r="AA360" s="39">
        <v>0</v>
      </c>
      <c r="AB360" s="39">
        <v>0</v>
      </c>
      <c r="AC360" s="39">
        <v>0</v>
      </c>
      <c r="AD360" s="39">
        <v>0</v>
      </c>
      <c r="AE360" s="39">
        <v>1411</v>
      </c>
      <c r="AF360" s="39">
        <v>0</v>
      </c>
      <c r="AG360" s="39">
        <v>0</v>
      </c>
      <c r="AH360" s="39">
        <v>0</v>
      </c>
      <c r="AI360" s="39">
        <v>0</v>
      </c>
      <c r="AJ360" s="39">
        <f>'Row data'!$S360+'Row data'!$T360+'Row data'!$U360+'Row data'!$W360+'Row data'!$X360+'Row data'!$Y360+'Row data'!$Z360+'Row data'!$AA360+'Row data'!$AB360+'Row data'!$AD360-'Row data'!$AC360-'Row data'!$AE360-'Row data'!$AF360-'Row data'!$AG360-'Row data'!$AH360-'Row data'!$AI360</f>
        <v>15850</v>
      </c>
      <c r="AK360" s="39">
        <v>15850</v>
      </c>
      <c r="AL360" s="39">
        <v>0</v>
      </c>
    </row>
    <row r="361" spans="1:38" x14ac:dyDescent="0.3">
      <c r="A361" s="40">
        <v>360</v>
      </c>
      <c r="B361" s="35" t="s">
        <v>69</v>
      </c>
      <c r="C361" s="35">
        <v>6911676</v>
      </c>
      <c r="D361" s="36" t="s">
        <v>699</v>
      </c>
      <c r="E361" s="35" t="s">
        <v>38</v>
      </c>
      <c r="F361" s="35" t="s">
        <v>169</v>
      </c>
      <c r="G361" s="35" t="s">
        <v>649</v>
      </c>
      <c r="H361" s="37"/>
      <c r="I361" s="38">
        <v>39612</v>
      </c>
      <c r="J361" s="38">
        <v>44573</v>
      </c>
      <c r="K361" s="17">
        <f>YEAR('Row data'!$J361)</f>
        <v>2022</v>
      </c>
      <c r="L361" s="38">
        <v>28137</v>
      </c>
      <c r="M361" s="35" t="str">
        <f ca="1">IF('Row data'!$J361="",DATEDIF('Row data'!$L361,TODAY(),"y"),"0")</f>
        <v>0</v>
      </c>
      <c r="N361" s="35" t="s">
        <v>75</v>
      </c>
      <c r="O361" s="35" t="s">
        <v>553</v>
      </c>
      <c r="P361" s="39" t="s">
        <v>554</v>
      </c>
      <c r="Q361" s="39">
        <v>17204</v>
      </c>
      <c r="R361" s="39">
        <v>17204</v>
      </c>
      <c r="S361" s="39">
        <v>9836</v>
      </c>
      <c r="T361" s="39">
        <v>4918</v>
      </c>
      <c r="U361" s="39">
        <v>750</v>
      </c>
      <c r="V361" s="39">
        <v>450</v>
      </c>
      <c r="W361" s="39">
        <v>0</v>
      </c>
      <c r="X361" s="39">
        <v>0</v>
      </c>
      <c r="Y361" s="39">
        <v>1250</v>
      </c>
      <c r="Z361" s="39">
        <v>450</v>
      </c>
      <c r="AA361" s="39">
        <v>350</v>
      </c>
      <c r="AB361" s="39">
        <v>0</v>
      </c>
      <c r="AC361" s="39">
        <v>0</v>
      </c>
      <c r="AD361" s="39">
        <v>0</v>
      </c>
      <c r="AE361" s="39">
        <v>0</v>
      </c>
      <c r="AF361" s="39">
        <v>0</v>
      </c>
      <c r="AG361" s="39">
        <v>0</v>
      </c>
      <c r="AH361" s="39">
        <v>0</v>
      </c>
      <c r="AI361" s="39">
        <v>0</v>
      </c>
      <c r="AJ361" s="39">
        <f>'Row data'!$S361+'Row data'!$T361+'Row data'!$U361+'Row data'!$W361+'Row data'!$X361+'Row data'!$Y361+'Row data'!$Z361+'Row data'!$AA361+'Row data'!$AB361+'Row data'!$AD361-'Row data'!$AC361-'Row data'!$AE361-'Row data'!$AF361-'Row data'!$AG361-'Row data'!$AH361-'Row data'!$AI361</f>
        <v>17554</v>
      </c>
      <c r="AK361" s="39">
        <v>17554</v>
      </c>
      <c r="AL361" s="39">
        <v>0</v>
      </c>
    </row>
    <row r="362" spans="1:38" x14ac:dyDescent="0.3">
      <c r="A362" s="40">
        <v>361</v>
      </c>
      <c r="B362" s="35" t="s">
        <v>69</v>
      </c>
      <c r="C362" s="35">
        <v>5832927</v>
      </c>
      <c r="D362" s="36" t="s">
        <v>678</v>
      </c>
      <c r="E362" s="35" t="s">
        <v>38</v>
      </c>
      <c r="F362" s="35" t="s">
        <v>169</v>
      </c>
      <c r="G362" s="35" t="s">
        <v>633</v>
      </c>
      <c r="H362" s="37"/>
      <c r="I362" s="38">
        <v>42826</v>
      </c>
      <c r="J362" s="38"/>
      <c r="K362" s="17"/>
      <c r="L362" s="38">
        <v>31978</v>
      </c>
      <c r="M362" s="35">
        <f ca="1">IF('Row data'!$J362="",DATEDIF('Row data'!$L362,TODAY(),"y"),"0")</f>
        <v>39</v>
      </c>
      <c r="N362" s="35" t="s">
        <v>75</v>
      </c>
      <c r="O362" s="35" t="s">
        <v>553</v>
      </c>
      <c r="P362" s="39" t="s">
        <v>554</v>
      </c>
      <c r="Q362" s="39">
        <v>13568</v>
      </c>
      <c r="R362" s="39">
        <v>13568</v>
      </c>
      <c r="S362" s="39">
        <v>7412</v>
      </c>
      <c r="T362" s="39">
        <v>3706</v>
      </c>
      <c r="U362" s="39">
        <v>750</v>
      </c>
      <c r="V362" s="39">
        <v>450</v>
      </c>
      <c r="W362" s="39">
        <v>0</v>
      </c>
      <c r="X362" s="39">
        <v>0</v>
      </c>
      <c r="Y362" s="39">
        <v>1250</v>
      </c>
      <c r="Z362" s="39">
        <v>450</v>
      </c>
      <c r="AA362" s="39">
        <v>250</v>
      </c>
      <c r="AB362" s="39">
        <v>0</v>
      </c>
      <c r="AC362" s="39">
        <v>0</v>
      </c>
      <c r="AD362" s="39">
        <v>0</v>
      </c>
      <c r="AE362" s="39">
        <v>0</v>
      </c>
      <c r="AF362" s="39">
        <v>0</v>
      </c>
      <c r="AG362" s="39">
        <v>0</v>
      </c>
      <c r="AH362" s="39">
        <v>0</v>
      </c>
      <c r="AI362" s="39">
        <v>0</v>
      </c>
      <c r="AJ362" s="39">
        <f>'Row data'!$S362+'Row data'!$T362+'Row data'!$U362+'Row data'!$W362+'Row data'!$X362+'Row data'!$Y362+'Row data'!$Z362+'Row data'!$AA362+'Row data'!$AB362+'Row data'!$AD362-'Row data'!$AC362-'Row data'!$AE362-'Row data'!$AF362-'Row data'!$AG362-'Row data'!$AH362-'Row data'!$AI362</f>
        <v>13818</v>
      </c>
      <c r="AK362" s="39">
        <v>13818</v>
      </c>
      <c r="AL362" s="39">
        <v>0</v>
      </c>
    </row>
    <row r="363" spans="1:38" x14ac:dyDescent="0.3">
      <c r="A363" s="40">
        <v>362</v>
      </c>
      <c r="B363" s="35" t="s">
        <v>69</v>
      </c>
      <c r="C363" s="35">
        <v>9462467</v>
      </c>
      <c r="D363" s="36" t="s">
        <v>700</v>
      </c>
      <c r="E363" s="35" t="s">
        <v>38</v>
      </c>
      <c r="F363" s="35" t="s">
        <v>169</v>
      </c>
      <c r="G363" s="35" t="s">
        <v>701</v>
      </c>
      <c r="H363" s="37"/>
      <c r="I363" s="38">
        <v>42826</v>
      </c>
      <c r="J363" s="38">
        <v>44562</v>
      </c>
      <c r="K363" s="17">
        <f>YEAR('Row data'!$J363)</f>
        <v>2022</v>
      </c>
      <c r="L363" s="38">
        <v>28126</v>
      </c>
      <c r="M363" s="35" t="str">
        <f ca="1">IF('Row data'!$J363="",DATEDIF('Row data'!$L363,TODAY(),"y"),"0")</f>
        <v>0</v>
      </c>
      <c r="N363" s="35" t="s">
        <v>75</v>
      </c>
      <c r="O363" s="35" t="s">
        <v>553</v>
      </c>
      <c r="P363" s="39" t="s">
        <v>554</v>
      </c>
      <c r="Q363" s="39">
        <v>14549</v>
      </c>
      <c r="R363" s="39">
        <v>14281</v>
      </c>
      <c r="S363" s="39">
        <v>8066</v>
      </c>
      <c r="T363" s="39">
        <v>4033</v>
      </c>
      <c r="U363" s="39">
        <v>750</v>
      </c>
      <c r="V363" s="39">
        <v>450</v>
      </c>
      <c r="W363" s="39">
        <v>0</v>
      </c>
      <c r="X363" s="39">
        <v>0</v>
      </c>
      <c r="Y363" s="39">
        <v>1250</v>
      </c>
      <c r="Z363" s="39">
        <v>450</v>
      </c>
      <c r="AA363" s="39">
        <v>350</v>
      </c>
      <c r="AB363" s="39">
        <v>0</v>
      </c>
      <c r="AC363" s="39">
        <v>-268</v>
      </c>
      <c r="AD363" s="39">
        <v>0</v>
      </c>
      <c r="AE363" s="39">
        <v>0</v>
      </c>
      <c r="AF363" s="39">
        <v>0</v>
      </c>
      <c r="AG363" s="39">
        <v>0</v>
      </c>
      <c r="AH363" s="39">
        <v>0</v>
      </c>
      <c r="AI363" s="39">
        <v>0</v>
      </c>
      <c r="AJ363" s="39">
        <f>'Row data'!$S363+'Row data'!$T363+'Row data'!$U363+'Row data'!$W363+'Row data'!$X363+'Row data'!$Y363+'Row data'!$Z363+'Row data'!$AA363+'Row data'!$AB363+'Row data'!$AD363-'Row data'!$AC363-'Row data'!$AE363-'Row data'!$AF363-'Row data'!$AG363-'Row data'!$AH363-'Row data'!$AI363</f>
        <v>15167</v>
      </c>
      <c r="AK363" s="39">
        <v>14631</v>
      </c>
      <c r="AL363" s="39">
        <v>0</v>
      </c>
    </row>
    <row r="364" spans="1:38" x14ac:dyDescent="0.3">
      <c r="A364" s="40">
        <v>363</v>
      </c>
      <c r="B364" s="35" t="s">
        <v>69</v>
      </c>
      <c r="C364" s="35">
        <v>6834000</v>
      </c>
      <c r="D364" s="36" t="s">
        <v>605</v>
      </c>
      <c r="E364" s="35" t="s">
        <v>38</v>
      </c>
      <c r="F364" s="35" t="s">
        <v>169</v>
      </c>
      <c r="G364" s="35" t="s">
        <v>170</v>
      </c>
      <c r="H364" s="37"/>
      <c r="I364" s="38">
        <v>42826</v>
      </c>
      <c r="J364" s="38"/>
      <c r="K364" s="17"/>
      <c r="L364" s="38">
        <v>31914</v>
      </c>
      <c r="M364" s="35">
        <f ca="1">IF('Row data'!$J364="",DATEDIF('Row data'!$L364,TODAY(),"y"),"0")</f>
        <v>39</v>
      </c>
      <c r="N364" s="35" t="s">
        <v>75</v>
      </c>
      <c r="O364" s="35" t="s">
        <v>553</v>
      </c>
      <c r="P364" s="39" t="s">
        <v>554</v>
      </c>
      <c r="Q364" s="39">
        <v>13568</v>
      </c>
      <c r="R364" s="39">
        <v>13568</v>
      </c>
      <c r="S364" s="39">
        <v>7412</v>
      </c>
      <c r="T364" s="39">
        <v>3706</v>
      </c>
      <c r="U364" s="39">
        <v>750</v>
      </c>
      <c r="V364" s="39">
        <v>450</v>
      </c>
      <c r="W364" s="39">
        <v>0</v>
      </c>
      <c r="X364" s="39">
        <v>0</v>
      </c>
      <c r="Y364" s="39">
        <v>1250</v>
      </c>
      <c r="Z364" s="39">
        <v>450</v>
      </c>
      <c r="AA364" s="39">
        <v>350</v>
      </c>
      <c r="AB364" s="39">
        <v>0</v>
      </c>
      <c r="AC364" s="39">
        <v>0</v>
      </c>
      <c r="AD364" s="39">
        <v>0</v>
      </c>
      <c r="AE364" s="39">
        <v>0</v>
      </c>
      <c r="AF364" s="39">
        <v>0</v>
      </c>
      <c r="AG364" s="39">
        <v>0</v>
      </c>
      <c r="AH364" s="39">
        <v>0</v>
      </c>
      <c r="AI364" s="39">
        <v>0</v>
      </c>
      <c r="AJ364" s="39">
        <f>'Row data'!$S364+'Row data'!$T364+'Row data'!$U364+'Row data'!$W364+'Row data'!$X364+'Row data'!$Y364+'Row data'!$Z364+'Row data'!$AA364+'Row data'!$AB364+'Row data'!$AD364-'Row data'!$AC364-'Row data'!$AE364-'Row data'!$AF364-'Row data'!$AG364-'Row data'!$AH364-'Row data'!$AI364</f>
        <v>13918</v>
      </c>
      <c r="AK364" s="39">
        <v>13918</v>
      </c>
      <c r="AL364" s="39">
        <v>0</v>
      </c>
    </row>
    <row r="365" spans="1:38" x14ac:dyDescent="0.3">
      <c r="A365" s="40">
        <v>364</v>
      </c>
      <c r="B365" s="35" t="s">
        <v>69</v>
      </c>
      <c r="C365" s="35">
        <v>6340218</v>
      </c>
      <c r="D365" s="36" t="s">
        <v>702</v>
      </c>
      <c r="E365" s="35" t="s">
        <v>38</v>
      </c>
      <c r="F365" s="35" t="s">
        <v>169</v>
      </c>
      <c r="G365" s="35" t="s">
        <v>633</v>
      </c>
      <c r="H365" s="37"/>
      <c r="I365" s="38">
        <v>42077</v>
      </c>
      <c r="J365" s="38"/>
      <c r="K365" s="17"/>
      <c r="L365" s="38">
        <v>31108</v>
      </c>
      <c r="M365" s="35">
        <f ca="1">IF('Row data'!$J365="",DATEDIF('Row data'!$L365,TODAY(),"y"),"0")</f>
        <v>41</v>
      </c>
      <c r="N365" s="35" t="s">
        <v>75</v>
      </c>
      <c r="O365" s="35" t="s">
        <v>553</v>
      </c>
      <c r="P365" s="39" t="s">
        <v>554</v>
      </c>
      <c r="Q365" s="39">
        <v>13568</v>
      </c>
      <c r="R365" s="39">
        <v>13568</v>
      </c>
      <c r="S365" s="39">
        <v>7412</v>
      </c>
      <c r="T365" s="39">
        <v>3706</v>
      </c>
      <c r="U365" s="39">
        <v>750</v>
      </c>
      <c r="V365" s="39">
        <v>450</v>
      </c>
      <c r="W365" s="39">
        <v>0</v>
      </c>
      <c r="X365" s="39">
        <v>0</v>
      </c>
      <c r="Y365" s="39">
        <v>1250</v>
      </c>
      <c r="Z365" s="39">
        <v>450</v>
      </c>
      <c r="AA365" s="39">
        <v>350</v>
      </c>
      <c r="AB365" s="39">
        <v>0</v>
      </c>
      <c r="AC365" s="39">
        <v>0</v>
      </c>
      <c r="AD365" s="39">
        <v>0</v>
      </c>
      <c r="AE365" s="39">
        <v>0</v>
      </c>
      <c r="AF365" s="39">
        <v>0</v>
      </c>
      <c r="AG365" s="39">
        <v>0</v>
      </c>
      <c r="AH365" s="39">
        <v>0</v>
      </c>
      <c r="AI365" s="39">
        <v>0</v>
      </c>
      <c r="AJ365" s="39">
        <f>'Row data'!$S365+'Row data'!$T365+'Row data'!$U365+'Row data'!$W365+'Row data'!$X365+'Row data'!$Y365+'Row data'!$Z365+'Row data'!$AA365+'Row data'!$AB365+'Row data'!$AD365-'Row data'!$AC365-'Row data'!$AE365-'Row data'!$AF365-'Row data'!$AG365-'Row data'!$AH365-'Row data'!$AI365</f>
        <v>13918</v>
      </c>
      <c r="AK365" s="39">
        <v>13918</v>
      </c>
      <c r="AL365" s="39">
        <v>0</v>
      </c>
    </row>
    <row r="366" spans="1:38" x14ac:dyDescent="0.3">
      <c r="A366" s="40">
        <v>365</v>
      </c>
      <c r="B366" s="35" t="s">
        <v>69</v>
      </c>
      <c r="C366" s="35">
        <v>8061188</v>
      </c>
      <c r="D366" s="36" t="s">
        <v>703</v>
      </c>
      <c r="E366" s="35" t="s">
        <v>38</v>
      </c>
      <c r="F366" s="35" t="s">
        <v>169</v>
      </c>
      <c r="G366" s="35" t="s">
        <v>633</v>
      </c>
      <c r="H366" s="37"/>
      <c r="I366" s="38">
        <v>43283</v>
      </c>
      <c r="J366" s="38"/>
      <c r="K366" s="17"/>
      <c r="L366" s="38">
        <v>30359</v>
      </c>
      <c r="M366" s="35">
        <f ca="1">IF('Row data'!$J366="",DATEDIF('Row data'!$L366,TODAY(),"y"),"0")</f>
        <v>43</v>
      </c>
      <c r="N366" s="35" t="s">
        <v>75</v>
      </c>
      <c r="O366" s="35" t="s">
        <v>553</v>
      </c>
      <c r="P366" s="39" t="s">
        <v>554</v>
      </c>
      <c r="Q366" s="39">
        <v>13568</v>
      </c>
      <c r="R366" s="39">
        <v>13568</v>
      </c>
      <c r="S366" s="39">
        <v>7412</v>
      </c>
      <c r="T366" s="39">
        <v>3706</v>
      </c>
      <c r="U366" s="39">
        <v>750</v>
      </c>
      <c r="V366" s="39">
        <v>450</v>
      </c>
      <c r="W366" s="39">
        <v>0</v>
      </c>
      <c r="X366" s="39">
        <v>0</v>
      </c>
      <c r="Y366" s="39">
        <v>1250</v>
      </c>
      <c r="Z366" s="39">
        <v>450</v>
      </c>
      <c r="AA366" s="39">
        <v>0</v>
      </c>
      <c r="AB366" s="39">
        <v>0</v>
      </c>
      <c r="AC366" s="39">
        <v>0</v>
      </c>
      <c r="AD366" s="39">
        <v>0</v>
      </c>
      <c r="AE366" s="39">
        <v>0</v>
      </c>
      <c r="AF366" s="39">
        <v>0</v>
      </c>
      <c r="AG366" s="39">
        <v>0</v>
      </c>
      <c r="AH366" s="39">
        <v>0</v>
      </c>
      <c r="AI366" s="39">
        <v>0</v>
      </c>
      <c r="AJ366" s="39">
        <f>'Row data'!$S366+'Row data'!$T366+'Row data'!$U366+'Row data'!$W366+'Row data'!$X366+'Row data'!$Y366+'Row data'!$Z366+'Row data'!$AA366+'Row data'!$AB366+'Row data'!$AD366-'Row data'!$AC366-'Row data'!$AE366-'Row data'!$AF366-'Row data'!$AG366-'Row data'!$AH366-'Row data'!$AI366</f>
        <v>13568</v>
      </c>
      <c r="AK366" s="39">
        <v>13568</v>
      </c>
      <c r="AL366" s="39">
        <v>0</v>
      </c>
    </row>
    <row r="367" spans="1:38" x14ac:dyDescent="0.3">
      <c r="A367" s="40">
        <v>366</v>
      </c>
      <c r="B367" s="35" t="s">
        <v>69</v>
      </c>
      <c r="C367" s="35">
        <v>5398273</v>
      </c>
      <c r="D367" s="36" t="s">
        <v>704</v>
      </c>
      <c r="E367" s="35" t="s">
        <v>38</v>
      </c>
      <c r="F367" s="35" t="s">
        <v>169</v>
      </c>
      <c r="G367" s="35" t="s">
        <v>633</v>
      </c>
      <c r="H367" s="37"/>
      <c r="I367" s="38">
        <v>43282</v>
      </c>
      <c r="J367" s="38"/>
      <c r="K367" s="17"/>
      <c r="L367" s="38">
        <v>30566</v>
      </c>
      <c r="M367" s="35">
        <f ca="1">IF('Row data'!$J367="",DATEDIF('Row data'!$L367,TODAY(),"y"),"0")</f>
        <v>43</v>
      </c>
      <c r="N367" s="35" t="s">
        <v>75</v>
      </c>
      <c r="O367" s="35" t="s">
        <v>553</v>
      </c>
      <c r="P367" s="39" t="s">
        <v>554</v>
      </c>
      <c r="Q367" s="39">
        <v>13568</v>
      </c>
      <c r="R367" s="39">
        <v>13568</v>
      </c>
      <c r="S367" s="39">
        <v>7412</v>
      </c>
      <c r="T367" s="39">
        <v>3706</v>
      </c>
      <c r="U367" s="39">
        <v>750</v>
      </c>
      <c r="V367" s="39">
        <v>450</v>
      </c>
      <c r="W367" s="39">
        <v>0</v>
      </c>
      <c r="X367" s="39">
        <v>0</v>
      </c>
      <c r="Y367" s="39">
        <v>1250</v>
      </c>
      <c r="Z367" s="39">
        <v>450</v>
      </c>
      <c r="AA367" s="39">
        <v>350</v>
      </c>
      <c r="AB367" s="39">
        <v>0</v>
      </c>
      <c r="AC367" s="39">
        <v>0</v>
      </c>
      <c r="AD367" s="39">
        <v>0</v>
      </c>
      <c r="AE367" s="39">
        <v>0</v>
      </c>
      <c r="AF367" s="39">
        <v>0</v>
      </c>
      <c r="AG367" s="39">
        <v>0</v>
      </c>
      <c r="AH367" s="39">
        <v>0</v>
      </c>
      <c r="AI367" s="39">
        <v>0</v>
      </c>
      <c r="AJ367" s="39">
        <f>'Row data'!$S367+'Row data'!$T367+'Row data'!$U367+'Row data'!$W367+'Row data'!$X367+'Row data'!$Y367+'Row data'!$Z367+'Row data'!$AA367+'Row data'!$AB367+'Row data'!$AD367-'Row data'!$AC367-'Row data'!$AE367-'Row data'!$AF367-'Row data'!$AG367-'Row data'!$AH367-'Row data'!$AI367</f>
        <v>13918</v>
      </c>
      <c r="AK367" s="39">
        <v>13918</v>
      </c>
      <c r="AL367" s="39">
        <v>0</v>
      </c>
    </row>
    <row r="368" spans="1:38" x14ac:dyDescent="0.3">
      <c r="A368" s="40">
        <v>367</v>
      </c>
      <c r="B368" s="35" t="s">
        <v>69</v>
      </c>
      <c r="C368" s="35">
        <v>8731571</v>
      </c>
      <c r="D368" s="36" t="s">
        <v>705</v>
      </c>
      <c r="E368" s="35" t="s">
        <v>38</v>
      </c>
      <c r="F368" s="35" t="s">
        <v>169</v>
      </c>
      <c r="G368" s="35" t="s">
        <v>633</v>
      </c>
      <c r="H368" s="37"/>
      <c r="I368" s="38">
        <v>43177</v>
      </c>
      <c r="J368" s="38"/>
      <c r="K368" s="17"/>
      <c r="L368" s="38">
        <v>30139</v>
      </c>
      <c r="M368" s="35">
        <f ca="1">IF('Row data'!$J368="",DATEDIF('Row data'!$L368,TODAY(),"y"),"0")</f>
        <v>44</v>
      </c>
      <c r="N368" s="35" t="s">
        <v>75</v>
      </c>
      <c r="O368" s="35" t="s">
        <v>553</v>
      </c>
      <c r="P368" s="39" t="s">
        <v>554</v>
      </c>
      <c r="Q368" s="39">
        <v>13568</v>
      </c>
      <c r="R368" s="39">
        <v>13568</v>
      </c>
      <c r="S368" s="39">
        <v>7412</v>
      </c>
      <c r="T368" s="39">
        <v>3706</v>
      </c>
      <c r="U368" s="39">
        <v>750</v>
      </c>
      <c r="V368" s="39">
        <v>450</v>
      </c>
      <c r="W368" s="39">
        <v>0</v>
      </c>
      <c r="X368" s="39">
        <v>0</v>
      </c>
      <c r="Y368" s="39">
        <v>1250</v>
      </c>
      <c r="Z368" s="39">
        <v>450</v>
      </c>
      <c r="AA368" s="39">
        <v>350</v>
      </c>
      <c r="AB368" s="39">
        <v>0</v>
      </c>
      <c r="AC368" s="39">
        <v>0</v>
      </c>
      <c r="AD368" s="39">
        <v>0</v>
      </c>
      <c r="AE368" s="39">
        <v>0</v>
      </c>
      <c r="AF368" s="39">
        <v>0</v>
      </c>
      <c r="AG368" s="39">
        <v>0</v>
      </c>
      <c r="AH368" s="39">
        <v>0</v>
      </c>
      <c r="AI368" s="39">
        <v>0</v>
      </c>
      <c r="AJ368" s="39">
        <f>'Row data'!$S368+'Row data'!$T368+'Row data'!$U368+'Row data'!$W368+'Row data'!$X368+'Row data'!$Y368+'Row data'!$Z368+'Row data'!$AA368+'Row data'!$AB368+'Row data'!$AD368-'Row data'!$AC368-'Row data'!$AE368-'Row data'!$AF368-'Row data'!$AG368-'Row data'!$AH368-'Row data'!$AI368</f>
        <v>13918</v>
      </c>
      <c r="AK368" s="39">
        <v>13918</v>
      </c>
      <c r="AL368" s="39">
        <v>0</v>
      </c>
    </row>
    <row r="369" spans="1:38" x14ac:dyDescent="0.3">
      <c r="A369" s="40">
        <v>368</v>
      </c>
      <c r="B369" s="35" t="s">
        <v>69</v>
      </c>
      <c r="C369" s="35">
        <v>6492681</v>
      </c>
      <c r="D369" s="36" t="s">
        <v>706</v>
      </c>
      <c r="E369" s="35" t="s">
        <v>38</v>
      </c>
      <c r="F369" s="35" t="s">
        <v>169</v>
      </c>
      <c r="G369" s="35" t="s">
        <v>633</v>
      </c>
      <c r="H369" s="37"/>
      <c r="I369" s="38">
        <v>43193</v>
      </c>
      <c r="J369" s="38"/>
      <c r="K369" s="17"/>
      <c r="L369" s="38">
        <v>43193</v>
      </c>
      <c r="M369" s="35">
        <f ca="1">IF('Row data'!$J369="",DATEDIF('Row data'!$L369,TODAY(),"y"),"0")</f>
        <v>8</v>
      </c>
      <c r="N369" s="35" t="s">
        <v>75</v>
      </c>
      <c r="O369" s="35" t="s">
        <v>553</v>
      </c>
      <c r="P369" s="39" t="s">
        <v>554</v>
      </c>
      <c r="Q369" s="39">
        <v>13568</v>
      </c>
      <c r="R369" s="39">
        <v>13568</v>
      </c>
      <c r="S369" s="39">
        <v>7412</v>
      </c>
      <c r="T369" s="39">
        <v>3706</v>
      </c>
      <c r="U369" s="39">
        <v>750</v>
      </c>
      <c r="V369" s="39">
        <v>450</v>
      </c>
      <c r="W369" s="39">
        <v>0</v>
      </c>
      <c r="X369" s="39">
        <v>0</v>
      </c>
      <c r="Y369" s="39">
        <v>1250</v>
      </c>
      <c r="Z369" s="39">
        <v>450</v>
      </c>
      <c r="AA369" s="39">
        <v>350</v>
      </c>
      <c r="AB369" s="39">
        <v>0</v>
      </c>
      <c r="AC369" s="39">
        <v>0</v>
      </c>
      <c r="AD369" s="39">
        <v>0</v>
      </c>
      <c r="AE369" s="39">
        <v>0</v>
      </c>
      <c r="AF369" s="39">
        <v>0</v>
      </c>
      <c r="AG369" s="39">
        <v>0</v>
      </c>
      <c r="AH369" s="39">
        <v>0</v>
      </c>
      <c r="AI369" s="39">
        <v>0</v>
      </c>
      <c r="AJ369" s="39">
        <f>'Row data'!$S369+'Row data'!$T369+'Row data'!$U369+'Row data'!$W369+'Row data'!$X369+'Row data'!$Y369+'Row data'!$Z369+'Row data'!$AA369+'Row data'!$AB369+'Row data'!$AD369-'Row data'!$AC369-'Row data'!$AE369-'Row data'!$AF369-'Row data'!$AG369-'Row data'!$AH369-'Row data'!$AI369</f>
        <v>13918</v>
      </c>
      <c r="AK369" s="39">
        <v>13918</v>
      </c>
      <c r="AL369" s="39">
        <v>0</v>
      </c>
    </row>
    <row r="370" spans="1:38" x14ac:dyDescent="0.3">
      <c r="A370" s="40">
        <v>369</v>
      </c>
      <c r="B370" s="35" t="s">
        <v>69</v>
      </c>
      <c r="C370" s="35">
        <v>6771091</v>
      </c>
      <c r="D370" s="36" t="s">
        <v>707</v>
      </c>
      <c r="E370" s="35" t="s">
        <v>38</v>
      </c>
      <c r="F370" s="35" t="s">
        <v>169</v>
      </c>
      <c r="G370" s="35" t="s">
        <v>633</v>
      </c>
      <c r="H370" s="37"/>
      <c r="I370" s="38">
        <v>43191</v>
      </c>
      <c r="J370" s="38"/>
      <c r="K370" s="17"/>
      <c r="L370" s="38">
        <v>33582</v>
      </c>
      <c r="M370" s="35">
        <f ca="1">IF('Row data'!$J370="",DATEDIF('Row data'!$L370,TODAY(),"y"),"0")</f>
        <v>34</v>
      </c>
      <c r="N370" s="35" t="s">
        <v>75</v>
      </c>
      <c r="O370" s="35" t="s">
        <v>553</v>
      </c>
      <c r="P370" s="39" t="s">
        <v>554</v>
      </c>
      <c r="Q370" s="39">
        <v>13568</v>
      </c>
      <c r="R370" s="39">
        <v>13568</v>
      </c>
      <c r="S370" s="39">
        <v>7412</v>
      </c>
      <c r="T370" s="39">
        <v>3706</v>
      </c>
      <c r="U370" s="39">
        <v>750</v>
      </c>
      <c r="V370" s="39">
        <v>450</v>
      </c>
      <c r="W370" s="39">
        <v>0</v>
      </c>
      <c r="X370" s="39">
        <v>0</v>
      </c>
      <c r="Y370" s="39">
        <v>1250</v>
      </c>
      <c r="Z370" s="39">
        <v>450</v>
      </c>
      <c r="AA370" s="39">
        <v>350</v>
      </c>
      <c r="AB370" s="39">
        <v>0</v>
      </c>
      <c r="AC370" s="39">
        <v>0</v>
      </c>
      <c r="AD370" s="39">
        <v>0</v>
      </c>
      <c r="AE370" s="39">
        <v>0</v>
      </c>
      <c r="AF370" s="39">
        <v>0</v>
      </c>
      <c r="AG370" s="39">
        <v>0</v>
      </c>
      <c r="AH370" s="39">
        <v>0</v>
      </c>
      <c r="AI370" s="39">
        <v>0</v>
      </c>
      <c r="AJ370" s="39">
        <f>'Row data'!$S370+'Row data'!$T370+'Row data'!$U370+'Row data'!$W370+'Row data'!$X370+'Row data'!$Y370+'Row data'!$Z370+'Row data'!$AA370+'Row data'!$AB370+'Row data'!$AD370-'Row data'!$AC370-'Row data'!$AE370-'Row data'!$AF370-'Row data'!$AG370-'Row data'!$AH370-'Row data'!$AI370</f>
        <v>13918</v>
      </c>
      <c r="AK370" s="39">
        <v>13918</v>
      </c>
      <c r="AL370" s="39">
        <v>0</v>
      </c>
    </row>
    <row r="371" spans="1:38" x14ac:dyDescent="0.3">
      <c r="A371" s="40">
        <v>370</v>
      </c>
      <c r="B371" s="35" t="s">
        <v>69</v>
      </c>
      <c r="C371" s="35">
        <v>6240928</v>
      </c>
      <c r="D371" s="36" t="s">
        <v>708</v>
      </c>
      <c r="E371" s="35" t="s">
        <v>38</v>
      </c>
      <c r="F371" s="35" t="s">
        <v>169</v>
      </c>
      <c r="G371" s="35" t="s">
        <v>633</v>
      </c>
      <c r="H371" s="37"/>
      <c r="I371" s="38">
        <v>43209</v>
      </c>
      <c r="J371" s="38">
        <v>44632</v>
      </c>
      <c r="K371" s="17">
        <f>YEAR('Row data'!$J371)</f>
        <v>2022</v>
      </c>
      <c r="L371" s="38">
        <v>32214</v>
      </c>
      <c r="M371" s="35" t="str">
        <f ca="1">IF('Row data'!$J371="",DATEDIF('Row data'!$L371,TODAY(),"y"),"0")</f>
        <v>0</v>
      </c>
      <c r="N371" s="35" t="s">
        <v>75</v>
      </c>
      <c r="O371" s="35" t="s">
        <v>553</v>
      </c>
      <c r="P371" s="39" t="s">
        <v>554</v>
      </c>
      <c r="Q371" s="39">
        <v>13568</v>
      </c>
      <c r="R371" s="39">
        <v>13568</v>
      </c>
      <c r="S371" s="39">
        <v>7412</v>
      </c>
      <c r="T371" s="39">
        <v>3706</v>
      </c>
      <c r="U371" s="39">
        <v>750</v>
      </c>
      <c r="V371" s="39">
        <v>450</v>
      </c>
      <c r="W371" s="39">
        <v>0</v>
      </c>
      <c r="X371" s="39">
        <v>0</v>
      </c>
      <c r="Y371" s="39">
        <v>1250</v>
      </c>
      <c r="Z371" s="39">
        <v>450</v>
      </c>
      <c r="AA371" s="39">
        <v>350</v>
      </c>
      <c r="AB371" s="39">
        <v>0</v>
      </c>
      <c r="AC371" s="39">
        <v>0</v>
      </c>
      <c r="AD371" s="39">
        <v>0</v>
      </c>
      <c r="AE371" s="39">
        <v>0</v>
      </c>
      <c r="AF371" s="39">
        <v>0</v>
      </c>
      <c r="AG371" s="39">
        <v>0</v>
      </c>
      <c r="AH371" s="39">
        <v>0</v>
      </c>
      <c r="AI371" s="39">
        <v>0</v>
      </c>
      <c r="AJ371" s="39">
        <f>'Row data'!$S371+'Row data'!$T371+'Row data'!$U371+'Row data'!$W371+'Row data'!$X371+'Row data'!$Y371+'Row data'!$Z371+'Row data'!$AA371+'Row data'!$AB371+'Row data'!$AD371-'Row data'!$AC371-'Row data'!$AE371-'Row data'!$AF371-'Row data'!$AG371-'Row data'!$AH371-'Row data'!$AI371</f>
        <v>13918</v>
      </c>
      <c r="AK371" s="39">
        <v>13918</v>
      </c>
      <c r="AL371" s="39">
        <v>0</v>
      </c>
    </row>
    <row r="372" spans="1:38" x14ac:dyDescent="0.3">
      <c r="A372" s="40">
        <v>371</v>
      </c>
      <c r="B372" s="35" t="s">
        <v>69</v>
      </c>
      <c r="C372" s="35">
        <v>7755368</v>
      </c>
      <c r="D372" s="36" t="s">
        <v>709</v>
      </c>
      <c r="E372" s="35" t="s">
        <v>38</v>
      </c>
      <c r="F372" s="35" t="s">
        <v>169</v>
      </c>
      <c r="G372" s="35" t="s">
        <v>633</v>
      </c>
      <c r="H372" s="37"/>
      <c r="I372" s="38">
        <v>43197</v>
      </c>
      <c r="J372" s="38"/>
      <c r="K372" s="17"/>
      <c r="L372" s="38">
        <v>33335</v>
      </c>
      <c r="M372" s="35">
        <f ca="1">IF('Row data'!$J372="",DATEDIF('Row data'!$L372,TODAY(),"y"),"0")</f>
        <v>35</v>
      </c>
      <c r="N372" s="35" t="s">
        <v>75</v>
      </c>
      <c r="O372" s="35" t="s">
        <v>553</v>
      </c>
      <c r="P372" s="39" t="s">
        <v>554</v>
      </c>
      <c r="Q372" s="39">
        <v>13568</v>
      </c>
      <c r="R372" s="39">
        <v>13568</v>
      </c>
      <c r="S372" s="39">
        <v>7412</v>
      </c>
      <c r="T372" s="39">
        <v>3706</v>
      </c>
      <c r="U372" s="39">
        <v>750</v>
      </c>
      <c r="V372" s="39">
        <v>450</v>
      </c>
      <c r="W372" s="39">
        <v>0</v>
      </c>
      <c r="X372" s="39">
        <v>0</v>
      </c>
      <c r="Y372" s="39">
        <v>1250</v>
      </c>
      <c r="Z372" s="39">
        <v>450</v>
      </c>
      <c r="AA372" s="39">
        <v>350</v>
      </c>
      <c r="AB372" s="39">
        <v>0</v>
      </c>
      <c r="AC372" s="39">
        <v>0</v>
      </c>
      <c r="AD372" s="39">
        <v>0</v>
      </c>
      <c r="AE372" s="39">
        <v>0</v>
      </c>
      <c r="AF372" s="39">
        <v>0</v>
      </c>
      <c r="AG372" s="39">
        <v>0</v>
      </c>
      <c r="AH372" s="39">
        <v>0</v>
      </c>
      <c r="AI372" s="39">
        <v>0</v>
      </c>
      <c r="AJ372" s="39">
        <f>'Row data'!$S372+'Row data'!$T372+'Row data'!$U372+'Row data'!$W372+'Row data'!$X372+'Row data'!$Y372+'Row data'!$Z372+'Row data'!$AA372+'Row data'!$AB372+'Row data'!$AD372-'Row data'!$AC372-'Row data'!$AE372-'Row data'!$AF372-'Row data'!$AG372-'Row data'!$AH372-'Row data'!$AI372</f>
        <v>13918</v>
      </c>
      <c r="AK372" s="39">
        <v>13918</v>
      </c>
      <c r="AL372" s="39">
        <v>0</v>
      </c>
    </row>
    <row r="373" spans="1:38" x14ac:dyDescent="0.3">
      <c r="A373" s="40">
        <v>372</v>
      </c>
      <c r="B373" s="35" t="s">
        <v>69</v>
      </c>
      <c r="C373" s="35">
        <v>6407047</v>
      </c>
      <c r="D373" s="36" t="s">
        <v>710</v>
      </c>
      <c r="E373" s="35" t="s">
        <v>38</v>
      </c>
      <c r="F373" s="35" t="s">
        <v>169</v>
      </c>
      <c r="G373" s="35" t="s">
        <v>633</v>
      </c>
      <c r="H373" s="37"/>
      <c r="I373" s="38">
        <v>43192</v>
      </c>
      <c r="J373" s="38"/>
      <c r="K373" s="17"/>
      <c r="L373" s="38">
        <v>31885</v>
      </c>
      <c r="M373" s="35">
        <f ca="1">IF('Row data'!$J373="",DATEDIF('Row data'!$L373,TODAY(),"y"),"0")</f>
        <v>39</v>
      </c>
      <c r="N373" s="35" t="s">
        <v>75</v>
      </c>
      <c r="O373" s="35" t="s">
        <v>553</v>
      </c>
      <c r="P373" s="39" t="s">
        <v>554</v>
      </c>
      <c r="Q373" s="39">
        <v>13568</v>
      </c>
      <c r="R373" s="39">
        <v>13568</v>
      </c>
      <c r="S373" s="39">
        <v>7412</v>
      </c>
      <c r="T373" s="39">
        <v>3706</v>
      </c>
      <c r="U373" s="39">
        <v>750</v>
      </c>
      <c r="V373" s="39">
        <v>450</v>
      </c>
      <c r="W373" s="39">
        <v>0</v>
      </c>
      <c r="X373" s="39">
        <v>0</v>
      </c>
      <c r="Y373" s="39">
        <v>1250</v>
      </c>
      <c r="Z373" s="39">
        <v>450</v>
      </c>
      <c r="AA373" s="39">
        <v>350</v>
      </c>
      <c r="AB373" s="39">
        <v>0</v>
      </c>
      <c r="AC373" s="39">
        <v>0</v>
      </c>
      <c r="AD373" s="39">
        <v>0</v>
      </c>
      <c r="AE373" s="39">
        <v>0</v>
      </c>
      <c r="AF373" s="39">
        <v>0</v>
      </c>
      <c r="AG373" s="39">
        <v>0</v>
      </c>
      <c r="AH373" s="39">
        <v>0</v>
      </c>
      <c r="AI373" s="39">
        <v>0</v>
      </c>
      <c r="AJ373" s="39">
        <f>'Row data'!$S373+'Row data'!$T373+'Row data'!$U373+'Row data'!$W373+'Row data'!$X373+'Row data'!$Y373+'Row data'!$Z373+'Row data'!$AA373+'Row data'!$AB373+'Row data'!$AD373-'Row data'!$AC373-'Row data'!$AE373-'Row data'!$AF373-'Row data'!$AG373-'Row data'!$AH373-'Row data'!$AI373</f>
        <v>13918</v>
      </c>
      <c r="AK373" s="39">
        <v>13918</v>
      </c>
      <c r="AL373" s="39">
        <v>0</v>
      </c>
    </row>
    <row r="374" spans="1:38" x14ac:dyDescent="0.3">
      <c r="A374" s="40">
        <v>373</v>
      </c>
      <c r="B374" s="35" t="s">
        <v>69</v>
      </c>
      <c r="C374" s="35">
        <v>8974867</v>
      </c>
      <c r="D374" s="36" t="s">
        <v>711</v>
      </c>
      <c r="E374" s="35" t="s">
        <v>38</v>
      </c>
      <c r="F374" s="35" t="s">
        <v>169</v>
      </c>
      <c r="G374" s="35" t="s">
        <v>633</v>
      </c>
      <c r="H374" s="37"/>
      <c r="I374" s="38">
        <v>43831</v>
      </c>
      <c r="J374" s="38"/>
      <c r="K374" s="17"/>
      <c r="L374" s="38">
        <v>33040</v>
      </c>
      <c r="M374" s="35">
        <f ca="1">IF('Row data'!$J374="",DATEDIF('Row data'!$L374,TODAY(),"y"),"0")</f>
        <v>36</v>
      </c>
      <c r="N374" s="35" t="s">
        <v>75</v>
      </c>
      <c r="O374" s="35" t="s">
        <v>553</v>
      </c>
      <c r="P374" s="39" t="s">
        <v>554</v>
      </c>
      <c r="Q374" s="39">
        <v>13405</v>
      </c>
      <c r="R374" s="39">
        <v>13405</v>
      </c>
      <c r="S374" s="39">
        <v>7303</v>
      </c>
      <c r="T374" s="39">
        <v>3652</v>
      </c>
      <c r="U374" s="39">
        <v>750</v>
      </c>
      <c r="V374" s="39">
        <v>450</v>
      </c>
      <c r="W374" s="39">
        <v>0</v>
      </c>
      <c r="X374" s="39">
        <v>0</v>
      </c>
      <c r="Y374" s="39">
        <v>1250</v>
      </c>
      <c r="Z374" s="39">
        <v>450</v>
      </c>
      <c r="AA374" s="39">
        <v>350</v>
      </c>
      <c r="AB374" s="39">
        <v>0</v>
      </c>
      <c r="AC374" s="39">
        <v>0</v>
      </c>
      <c r="AD374" s="39">
        <v>0</v>
      </c>
      <c r="AE374" s="39">
        <v>0</v>
      </c>
      <c r="AF374" s="39">
        <v>0</v>
      </c>
      <c r="AG374" s="39">
        <v>0</v>
      </c>
      <c r="AH374" s="39">
        <v>0</v>
      </c>
      <c r="AI374" s="39">
        <v>0</v>
      </c>
      <c r="AJ374" s="39">
        <f>'Row data'!$S374+'Row data'!$T374+'Row data'!$U374+'Row data'!$W374+'Row data'!$X374+'Row data'!$Y374+'Row data'!$Z374+'Row data'!$AA374+'Row data'!$AB374+'Row data'!$AD374-'Row data'!$AC374-'Row data'!$AE374-'Row data'!$AF374-'Row data'!$AG374-'Row data'!$AH374-'Row data'!$AI374</f>
        <v>13755</v>
      </c>
      <c r="AK374" s="39">
        <v>13755</v>
      </c>
      <c r="AL374" s="39">
        <v>0</v>
      </c>
    </row>
    <row r="375" spans="1:38" x14ac:dyDescent="0.3">
      <c r="A375" s="40">
        <v>374</v>
      </c>
      <c r="B375" s="35" t="s">
        <v>69</v>
      </c>
      <c r="C375" s="35">
        <v>6522093</v>
      </c>
      <c r="D375" s="36" t="s">
        <v>712</v>
      </c>
      <c r="E375" s="35" t="s">
        <v>38</v>
      </c>
      <c r="F375" s="35" t="s">
        <v>169</v>
      </c>
      <c r="G375" s="35" t="s">
        <v>633</v>
      </c>
      <c r="H375" s="37"/>
      <c r="I375" s="38">
        <v>43831</v>
      </c>
      <c r="J375" s="38"/>
      <c r="K375" s="17"/>
      <c r="L375" s="38">
        <v>35644</v>
      </c>
      <c r="M375" s="35">
        <f ca="1">IF('Row data'!$J375="",DATEDIF('Row data'!$L375,TODAY(),"y"),"0")</f>
        <v>29</v>
      </c>
      <c r="N375" s="35" t="s">
        <v>75</v>
      </c>
      <c r="O375" s="35" t="s">
        <v>553</v>
      </c>
      <c r="P375" s="39" t="s">
        <v>554</v>
      </c>
      <c r="Q375" s="39">
        <v>13405</v>
      </c>
      <c r="R375" s="39">
        <v>13405</v>
      </c>
      <c r="S375" s="39">
        <v>7303</v>
      </c>
      <c r="T375" s="39">
        <v>3652</v>
      </c>
      <c r="U375" s="39">
        <v>750</v>
      </c>
      <c r="V375" s="39">
        <v>450</v>
      </c>
      <c r="W375" s="39">
        <v>0</v>
      </c>
      <c r="X375" s="39">
        <v>0</v>
      </c>
      <c r="Y375" s="39">
        <v>1250</v>
      </c>
      <c r="Z375" s="39">
        <v>450</v>
      </c>
      <c r="AA375" s="39">
        <v>0</v>
      </c>
      <c r="AB375" s="39">
        <v>0</v>
      </c>
      <c r="AC375" s="39">
        <v>0</v>
      </c>
      <c r="AD375" s="39">
        <v>0</v>
      </c>
      <c r="AE375" s="39">
        <v>0</v>
      </c>
      <c r="AF375" s="39">
        <v>0</v>
      </c>
      <c r="AG375" s="39">
        <v>0</v>
      </c>
      <c r="AH375" s="39">
        <v>0</v>
      </c>
      <c r="AI375" s="39">
        <v>0</v>
      </c>
      <c r="AJ375" s="39">
        <f>'Row data'!$S375+'Row data'!$T375+'Row data'!$U375+'Row data'!$W375+'Row data'!$X375+'Row data'!$Y375+'Row data'!$Z375+'Row data'!$AA375+'Row data'!$AB375+'Row data'!$AD375-'Row data'!$AC375-'Row data'!$AE375-'Row data'!$AF375-'Row data'!$AG375-'Row data'!$AH375-'Row data'!$AI375</f>
        <v>13405</v>
      </c>
      <c r="AK375" s="39">
        <v>13405</v>
      </c>
      <c r="AL375" s="39">
        <v>0</v>
      </c>
    </row>
    <row r="376" spans="1:38" x14ac:dyDescent="0.3">
      <c r="A376" s="40">
        <v>375</v>
      </c>
      <c r="B376" s="35" t="s">
        <v>69</v>
      </c>
      <c r="C376" s="35">
        <v>5782708</v>
      </c>
      <c r="D376" s="36" t="s">
        <v>713</v>
      </c>
      <c r="E376" s="35" t="s">
        <v>38</v>
      </c>
      <c r="F376" s="35" t="s">
        <v>169</v>
      </c>
      <c r="G376" s="35" t="s">
        <v>633</v>
      </c>
      <c r="H376" s="37"/>
      <c r="I376" s="38">
        <v>43835</v>
      </c>
      <c r="J376" s="38"/>
      <c r="K376" s="17"/>
      <c r="L376" s="38">
        <v>36526</v>
      </c>
      <c r="M376" s="35">
        <f ca="1">IF('Row data'!$J376="",DATEDIF('Row data'!$L376,TODAY(),"y"),"0")</f>
        <v>26</v>
      </c>
      <c r="N376" s="35" t="s">
        <v>75</v>
      </c>
      <c r="O376" s="35" t="s">
        <v>553</v>
      </c>
      <c r="P376" s="39" t="s">
        <v>554</v>
      </c>
      <c r="Q376" s="39">
        <v>13405</v>
      </c>
      <c r="R376" s="39">
        <v>13405</v>
      </c>
      <c r="S376" s="39">
        <v>7303</v>
      </c>
      <c r="T376" s="39">
        <v>3652</v>
      </c>
      <c r="U376" s="39">
        <v>750</v>
      </c>
      <c r="V376" s="39">
        <v>450</v>
      </c>
      <c r="W376" s="39">
        <v>0</v>
      </c>
      <c r="X376" s="39">
        <v>0</v>
      </c>
      <c r="Y376" s="39">
        <v>1250</v>
      </c>
      <c r="Z376" s="39">
        <v>450</v>
      </c>
      <c r="AA376" s="39">
        <v>350</v>
      </c>
      <c r="AB376" s="39">
        <v>0</v>
      </c>
      <c r="AC376" s="39">
        <v>0</v>
      </c>
      <c r="AD376" s="39">
        <v>0</v>
      </c>
      <c r="AE376" s="39">
        <v>0</v>
      </c>
      <c r="AF376" s="39">
        <v>0</v>
      </c>
      <c r="AG376" s="39">
        <v>0</v>
      </c>
      <c r="AH376" s="39">
        <v>0</v>
      </c>
      <c r="AI376" s="39">
        <v>0</v>
      </c>
      <c r="AJ376" s="39">
        <f>'Row data'!$S376+'Row data'!$T376+'Row data'!$U376+'Row data'!$W376+'Row data'!$X376+'Row data'!$Y376+'Row data'!$Z376+'Row data'!$AA376+'Row data'!$AB376+'Row data'!$AD376-'Row data'!$AC376-'Row data'!$AE376-'Row data'!$AF376-'Row data'!$AG376-'Row data'!$AH376-'Row data'!$AI376</f>
        <v>13755</v>
      </c>
      <c r="AK376" s="39">
        <v>13755</v>
      </c>
      <c r="AL376" s="39">
        <v>0</v>
      </c>
    </row>
    <row r="377" spans="1:38" x14ac:dyDescent="0.3">
      <c r="A377" s="40">
        <v>376</v>
      </c>
      <c r="B377" s="35" t="s">
        <v>69</v>
      </c>
      <c r="C377" s="35">
        <v>6065301</v>
      </c>
      <c r="D377" s="36" t="s">
        <v>714</v>
      </c>
      <c r="E377" s="35" t="s">
        <v>38</v>
      </c>
      <c r="F377" s="35" t="s">
        <v>169</v>
      </c>
      <c r="G377" s="35" t="s">
        <v>164</v>
      </c>
      <c r="H377" s="37"/>
      <c r="I377" s="38">
        <v>42401</v>
      </c>
      <c r="J377" s="38"/>
      <c r="K377" s="17"/>
      <c r="L377" s="38">
        <v>28044</v>
      </c>
      <c r="M377" s="35">
        <f ca="1">IF('Row data'!$J377="",DATEDIF('Row data'!$L377,TODAY(),"y"),"0")</f>
        <v>49</v>
      </c>
      <c r="N377" s="35" t="s">
        <v>75</v>
      </c>
      <c r="O377" s="35" t="s">
        <v>553</v>
      </c>
      <c r="P377" s="39" t="s">
        <v>554</v>
      </c>
      <c r="Q377" s="39">
        <v>15337</v>
      </c>
      <c r="R377" s="39">
        <v>15337</v>
      </c>
      <c r="S377" s="39">
        <v>8591</v>
      </c>
      <c r="T377" s="39">
        <v>4296</v>
      </c>
      <c r="U377" s="39">
        <v>750</v>
      </c>
      <c r="V377" s="39">
        <v>450</v>
      </c>
      <c r="W377" s="39">
        <v>0</v>
      </c>
      <c r="X377" s="39">
        <v>0</v>
      </c>
      <c r="Y377" s="39">
        <v>1250</v>
      </c>
      <c r="Z377" s="39">
        <v>450</v>
      </c>
      <c r="AA377" s="39">
        <v>350</v>
      </c>
      <c r="AB377" s="39">
        <v>0</v>
      </c>
      <c r="AC377" s="39">
        <v>0</v>
      </c>
      <c r="AD377" s="39">
        <v>0</v>
      </c>
      <c r="AE377" s="39">
        <v>0</v>
      </c>
      <c r="AF377" s="39">
        <v>0</v>
      </c>
      <c r="AG377" s="39">
        <v>0</v>
      </c>
      <c r="AH377" s="39">
        <v>0</v>
      </c>
      <c r="AI377" s="39">
        <v>0</v>
      </c>
      <c r="AJ377" s="39">
        <f>'Row data'!$S377+'Row data'!$T377+'Row data'!$U377+'Row data'!$W377+'Row data'!$X377+'Row data'!$Y377+'Row data'!$Z377+'Row data'!$AA377+'Row data'!$AB377+'Row data'!$AD377-'Row data'!$AC377-'Row data'!$AE377-'Row data'!$AF377-'Row data'!$AG377-'Row data'!$AH377-'Row data'!$AI377</f>
        <v>15687</v>
      </c>
      <c r="AK377" s="39">
        <v>15687</v>
      </c>
      <c r="AL377" s="39">
        <v>0</v>
      </c>
    </row>
    <row r="378" spans="1:38" x14ac:dyDescent="0.3">
      <c r="A378" s="40">
        <v>377</v>
      </c>
      <c r="B378" s="35" t="s">
        <v>69</v>
      </c>
      <c r="C378" s="35">
        <v>7065971</v>
      </c>
      <c r="D378" s="36" t="s">
        <v>715</v>
      </c>
      <c r="E378" s="35" t="s">
        <v>38</v>
      </c>
      <c r="F378" s="35" t="s">
        <v>169</v>
      </c>
      <c r="G378" s="35" t="s">
        <v>50</v>
      </c>
      <c r="H378" s="37"/>
      <c r="I378" s="38">
        <v>44258</v>
      </c>
      <c r="J378" s="38"/>
      <c r="K378" s="17"/>
      <c r="L378" s="38">
        <v>33455</v>
      </c>
      <c r="M378" s="35">
        <f ca="1">IF('Row data'!$J378="",DATEDIF('Row data'!$L378,TODAY(),"y"),"0")</f>
        <v>35</v>
      </c>
      <c r="N378" s="35" t="s">
        <v>75</v>
      </c>
      <c r="O378" s="35" t="s">
        <v>553</v>
      </c>
      <c r="P378" s="39" t="s">
        <v>554</v>
      </c>
      <c r="Q378" s="39">
        <v>13405</v>
      </c>
      <c r="R378" s="39">
        <v>13405</v>
      </c>
      <c r="S378" s="39">
        <v>7303</v>
      </c>
      <c r="T378" s="39">
        <v>3652</v>
      </c>
      <c r="U378" s="39">
        <v>750</v>
      </c>
      <c r="V378" s="39">
        <v>450</v>
      </c>
      <c r="W378" s="39">
        <v>0</v>
      </c>
      <c r="X378" s="39">
        <v>0</v>
      </c>
      <c r="Y378" s="39">
        <v>1250</v>
      </c>
      <c r="Z378" s="39">
        <v>450</v>
      </c>
      <c r="AA378" s="39">
        <v>350</v>
      </c>
      <c r="AB378" s="39">
        <v>0</v>
      </c>
      <c r="AC378" s="39">
        <v>0</v>
      </c>
      <c r="AD378" s="39">
        <v>0</v>
      </c>
      <c r="AE378" s="39">
        <v>0</v>
      </c>
      <c r="AF378" s="39">
        <v>0</v>
      </c>
      <c r="AG378" s="39">
        <v>0</v>
      </c>
      <c r="AH378" s="39">
        <v>0</v>
      </c>
      <c r="AI378" s="39">
        <v>0</v>
      </c>
      <c r="AJ378" s="39">
        <f>'Row data'!$S378+'Row data'!$T378+'Row data'!$U378+'Row data'!$W378+'Row data'!$X378+'Row data'!$Y378+'Row data'!$Z378+'Row data'!$AA378+'Row data'!$AB378+'Row data'!$AD378-'Row data'!$AC378-'Row data'!$AE378-'Row data'!$AF378-'Row data'!$AG378-'Row data'!$AH378-'Row data'!$AI378</f>
        <v>13755</v>
      </c>
      <c r="AK378" s="39">
        <v>13755</v>
      </c>
      <c r="AL378" s="39">
        <v>0</v>
      </c>
    </row>
    <row r="379" spans="1:38" x14ac:dyDescent="0.3">
      <c r="A379" s="40">
        <v>378</v>
      </c>
      <c r="B379" s="35" t="s">
        <v>69</v>
      </c>
      <c r="C379" s="35">
        <v>9904816</v>
      </c>
      <c r="D379" s="36" t="s">
        <v>658</v>
      </c>
      <c r="E379" s="35" t="s">
        <v>38</v>
      </c>
      <c r="F379" s="35" t="s">
        <v>169</v>
      </c>
      <c r="G379" s="35" t="s">
        <v>50</v>
      </c>
      <c r="H379" s="37"/>
      <c r="I379" s="38">
        <v>44257</v>
      </c>
      <c r="J379" s="38"/>
      <c r="K379" s="17"/>
      <c r="L379" s="38">
        <v>31413</v>
      </c>
      <c r="M379" s="35">
        <f ca="1">IF('Row data'!$J379="",DATEDIF('Row data'!$L379,TODAY(),"y"),"0")</f>
        <v>40</v>
      </c>
      <c r="N379" s="35" t="s">
        <v>75</v>
      </c>
      <c r="O379" s="35" t="s">
        <v>553</v>
      </c>
      <c r="P379" s="39" t="s">
        <v>554</v>
      </c>
      <c r="Q379" s="39">
        <v>13405</v>
      </c>
      <c r="R379" s="39">
        <v>13405</v>
      </c>
      <c r="S379" s="39">
        <v>7303</v>
      </c>
      <c r="T379" s="39">
        <v>3652</v>
      </c>
      <c r="U379" s="39">
        <v>750</v>
      </c>
      <c r="V379" s="39">
        <v>450</v>
      </c>
      <c r="W379" s="39">
        <v>0</v>
      </c>
      <c r="X379" s="39">
        <v>0</v>
      </c>
      <c r="Y379" s="39">
        <v>1250</v>
      </c>
      <c r="Z379" s="39">
        <v>450</v>
      </c>
      <c r="AA379" s="39">
        <v>350</v>
      </c>
      <c r="AB379" s="39">
        <v>0</v>
      </c>
      <c r="AC379" s="39">
        <v>0</v>
      </c>
      <c r="AD379" s="39">
        <v>0</v>
      </c>
      <c r="AE379" s="39">
        <v>0</v>
      </c>
      <c r="AF379" s="39">
        <v>0</v>
      </c>
      <c r="AG379" s="39">
        <v>0</v>
      </c>
      <c r="AH379" s="39">
        <v>0</v>
      </c>
      <c r="AI379" s="39">
        <v>0</v>
      </c>
      <c r="AJ379" s="39">
        <f>'Row data'!$S379+'Row data'!$T379+'Row data'!$U379+'Row data'!$W379+'Row data'!$X379+'Row data'!$Y379+'Row data'!$Z379+'Row data'!$AA379+'Row data'!$AB379+'Row data'!$AD379-'Row data'!$AC379-'Row data'!$AE379-'Row data'!$AF379-'Row data'!$AG379-'Row data'!$AH379-'Row data'!$AI379</f>
        <v>13755</v>
      </c>
      <c r="AK379" s="39">
        <v>13755</v>
      </c>
      <c r="AL379" s="39">
        <v>0</v>
      </c>
    </row>
    <row r="380" spans="1:38" x14ac:dyDescent="0.3">
      <c r="A380" s="40">
        <v>379</v>
      </c>
      <c r="B380" s="35" t="s">
        <v>69</v>
      </c>
      <c r="C380" s="35">
        <v>9632013</v>
      </c>
      <c r="D380" s="36" t="s">
        <v>716</v>
      </c>
      <c r="E380" s="35" t="s">
        <v>38</v>
      </c>
      <c r="F380" s="35" t="s">
        <v>169</v>
      </c>
      <c r="G380" s="35" t="s">
        <v>170</v>
      </c>
      <c r="H380" s="37"/>
      <c r="I380" s="38">
        <v>43191</v>
      </c>
      <c r="J380" s="38"/>
      <c r="K380" s="17"/>
      <c r="L380" s="38">
        <v>31567</v>
      </c>
      <c r="M380" s="35">
        <f ca="1">IF('Row data'!$J380="",DATEDIF('Row data'!$L380,TODAY(),"y"),"0")</f>
        <v>40</v>
      </c>
      <c r="N380" s="35" t="s">
        <v>75</v>
      </c>
      <c r="O380" s="35" t="s">
        <v>553</v>
      </c>
      <c r="P380" s="39" t="s">
        <v>554</v>
      </c>
      <c r="Q380" s="39">
        <v>13568</v>
      </c>
      <c r="R380" s="39">
        <v>13568</v>
      </c>
      <c r="S380" s="39">
        <v>7412</v>
      </c>
      <c r="T380" s="39">
        <v>3706</v>
      </c>
      <c r="U380" s="39">
        <v>750</v>
      </c>
      <c r="V380" s="39">
        <v>450</v>
      </c>
      <c r="W380" s="39">
        <v>0</v>
      </c>
      <c r="X380" s="39">
        <v>0</v>
      </c>
      <c r="Y380" s="39">
        <v>1250</v>
      </c>
      <c r="Z380" s="39">
        <v>450</v>
      </c>
      <c r="AA380" s="39">
        <v>350</v>
      </c>
      <c r="AB380" s="39">
        <v>0</v>
      </c>
      <c r="AC380" s="39">
        <v>0</v>
      </c>
      <c r="AD380" s="39">
        <v>0</v>
      </c>
      <c r="AE380" s="39">
        <v>0</v>
      </c>
      <c r="AF380" s="39">
        <v>0</v>
      </c>
      <c r="AG380" s="39">
        <v>0</v>
      </c>
      <c r="AH380" s="39">
        <v>0</v>
      </c>
      <c r="AI380" s="39">
        <v>0</v>
      </c>
      <c r="AJ380" s="39">
        <f>'Row data'!$S380+'Row data'!$T380+'Row data'!$U380+'Row data'!$W380+'Row data'!$X380+'Row data'!$Y380+'Row data'!$Z380+'Row data'!$AA380+'Row data'!$AB380+'Row data'!$AD380-'Row data'!$AC380-'Row data'!$AE380-'Row data'!$AF380-'Row data'!$AG380-'Row data'!$AH380-'Row data'!$AI380</f>
        <v>13918</v>
      </c>
      <c r="AK380" s="39">
        <v>13918</v>
      </c>
      <c r="AL380" s="39">
        <v>0</v>
      </c>
    </row>
    <row r="381" spans="1:38" x14ac:dyDescent="0.3">
      <c r="A381" s="40">
        <v>380</v>
      </c>
      <c r="B381" s="35" t="s">
        <v>69</v>
      </c>
      <c r="C381" s="35">
        <v>7248481</v>
      </c>
      <c r="D381" s="36" t="s">
        <v>717</v>
      </c>
      <c r="E381" s="35" t="s">
        <v>38</v>
      </c>
      <c r="F381" s="35" t="s">
        <v>169</v>
      </c>
      <c r="G381" s="35" t="s">
        <v>718</v>
      </c>
      <c r="H381" s="37"/>
      <c r="I381" s="38">
        <v>36771</v>
      </c>
      <c r="J381" s="38"/>
      <c r="K381" s="17"/>
      <c r="L381" s="38">
        <v>32631</v>
      </c>
      <c r="M381" s="35">
        <f ca="1">IF('Row data'!$J381="",DATEDIF('Row data'!$L381,TODAY(),"y"),"0")</f>
        <v>37</v>
      </c>
      <c r="N381" s="35" t="s">
        <v>75</v>
      </c>
      <c r="O381" s="35" t="s">
        <v>553</v>
      </c>
      <c r="P381" s="39" t="s">
        <v>554</v>
      </c>
      <c r="Q381" s="39">
        <v>16524</v>
      </c>
      <c r="R381" s="39">
        <v>16524</v>
      </c>
      <c r="S381" s="39">
        <v>9383</v>
      </c>
      <c r="T381" s="39">
        <v>4691</v>
      </c>
      <c r="U381" s="39">
        <v>750</v>
      </c>
      <c r="V381" s="39">
        <v>450</v>
      </c>
      <c r="W381" s="39">
        <v>0</v>
      </c>
      <c r="X381" s="39">
        <v>0</v>
      </c>
      <c r="Y381" s="39">
        <v>1250</v>
      </c>
      <c r="Z381" s="39">
        <v>450</v>
      </c>
      <c r="AA381" s="39">
        <v>350</v>
      </c>
      <c r="AB381" s="39">
        <v>0</v>
      </c>
      <c r="AC381" s="39">
        <v>0</v>
      </c>
      <c r="AD381" s="39">
        <v>0</v>
      </c>
      <c r="AE381" s="39">
        <v>0</v>
      </c>
      <c r="AF381" s="39">
        <v>0</v>
      </c>
      <c r="AG381" s="39">
        <v>0</v>
      </c>
      <c r="AH381" s="39">
        <v>0</v>
      </c>
      <c r="AI381" s="39">
        <v>0</v>
      </c>
      <c r="AJ381" s="39">
        <f>'Row data'!$S381+'Row data'!$T381+'Row data'!$U381+'Row data'!$W381+'Row data'!$X381+'Row data'!$Y381+'Row data'!$Z381+'Row data'!$AA381+'Row data'!$AB381+'Row data'!$AD381-'Row data'!$AC381-'Row data'!$AE381-'Row data'!$AF381-'Row data'!$AG381-'Row data'!$AH381-'Row data'!$AI381</f>
        <v>16874</v>
      </c>
      <c r="AK381" s="39">
        <v>16874</v>
      </c>
      <c r="AL381" s="39">
        <v>0</v>
      </c>
    </row>
    <row r="382" spans="1:38" x14ac:dyDescent="0.3">
      <c r="A382" s="40">
        <v>381</v>
      </c>
      <c r="B382" s="35" t="s">
        <v>69</v>
      </c>
      <c r="C382" s="35">
        <v>7160060</v>
      </c>
      <c r="D382" s="36" t="s">
        <v>719</v>
      </c>
      <c r="E382" s="35" t="s">
        <v>38</v>
      </c>
      <c r="F382" s="35" t="s">
        <v>169</v>
      </c>
      <c r="G382" s="35" t="s">
        <v>164</v>
      </c>
      <c r="H382" s="37"/>
      <c r="I382" s="38">
        <v>39135</v>
      </c>
      <c r="J382" s="38"/>
      <c r="K382" s="17"/>
      <c r="L382" s="38">
        <v>31096</v>
      </c>
      <c r="M382" s="35">
        <f ca="1">IF('Row data'!$J382="",DATEDIF('Row data'!$L382,TODAY(),"y"),"0")</f>
        <v>41</v>
      </c>
      <c r="N382" s="35" t="s">
        <v>75</v>
      </c>
      <c r="O382" s="35" t="s">
        <v>553</v>
      </c>
      <c r="P382" s="39" t="s">
        <v>554</v>
      </c>
      <c r="Q382" s="39">
        <v>16519</v>
      </c>
      <c r="R382" s="39">
        <v>16519</v>
      </c>
      <c r="S382" s="39">
        <v>9379</v>
      </c>
      <c r="T382" s="39">
        <v>4690</v>
      </c>
      <c r="U382" s="39">
        <v>750</v>
      </c>
      <c r="V382" s="39">
        <v>450</v>
      </c>
      <c r="W382" s="39">
        <v>0</v>
      </c>
      <c r="X382" s="39">
        <v>0</v>
      </c>
      <c r="Y382" s="39">
        <v>1250</v>
      </c>
      <c r="Z382" s="39">
        <v>450</v>
      </c>
      <c r="AA382" s="39">
        <v>350</v>
      </c>
      <c r="AB382" s="39">
        <v>0</v>
      </c>
      <c r="AC382" s="39">
        <v>0</v>
      </c>
      <c r="AD382" s="39">
        <v>0</v>
      </c>
      <c r="AE382" s="39">
        <v>0</v>
      </c>
      <c r="AF382" s="39">
        <v>0</v>
      </c>
      <c r="AG382" s="39">
        <v>0</v>
      </c>
      <c r="AH382" s="39">
        <v>0</v>
      </c>
      <c r="AI382" s="39">
        <v>0</v>
      </c>
      <c r="AJ382" s="39">
        <f>'Row data'!$S382+'Row data'!$T382+'Row data'!$U382+'Row data'!$W382+'Row data'!$X382+'Row data'!$Y382+'Row data'!$Z382+'Row data'!$AA382+'Row data'!$AB382+'Row data'!$AD382-'Row data'!$AC382-'Row data'!$AE382-'Row data'!$AF382-'Row data'!$AG382-'Row data'!$AH382-'Row data'!$AI382</f>
        <v>16869</v>
      </c>
      <c r="AK382" s="39">
        <v>16869</v>
      </c>
      <c r="AL382" s="39">
        <v>0</v>
      </c>
    </row>
    <row r="383" spans="1:38" x14ac:dyDescent="0.3">
      <c r="A383" s="40">
        <v>382</v>
      </c>
      <c r="B383" s="35" t="s">
        <v>69</v>
      </c>
      <c r="C383" s="35">
        <v>6227794</v>
      </c>
      <c r="D383" s="36" t="s">
        <v>720</v>
      </c>
      <c r="E383" s="35" t="s">
        <v>38</v>
      </c>
      <c r="F383" s="35" t="s">
        <v>169</v>
      </c>
      <c r="G383" s="35" t="s">
        <v>633</v>
      </c>
      <c r="H383" s="37"/>
      <c r="I383" s="38">
        <v>43163</v>
      </c>
      <c r="J383" s="38"/>
      <c r="K383" s="17"/>
      <c r="L383" s="38">
        <v>32952</v>
      </c>
      <c r="M383" s="35">
        <f ca="1">IF('Row data'!$J383="",DATEDIF('Row data'!$L383,TODAY(),"y"),"0")</f>
        <v>36</v>
      </c>
      <c r="N383" s="35" t="s">
        <v>75</v>
      </c>
      <c r="O383" s="35" t="s">
        <v>553</v>
      </c>
      <c r="P383" s="39" t="s">
        <v>554</v>
      </c>
      <c r="Q383" s="39">
        <v>13568</v>
      </c>
      <c r="R383" s="39">
        <v>13568</v>
      </c>
      <c r="S383" s="39">
        <v>7412</v>
      </c>
      <c r="T383" s="39">
        <v>3706</v>
      </c>
      <c r="U383" s="39">
        <v>750</v>
      </c>
      <c r="V383" s="39">
        <v>450</v>
      </c>
      <c r="W383" s="39">
        <v>0</v>
      </c>
      <c r="X383" s="39">
        <v>0</v>
      </c>
      <c r="Y383" s="39">
        <v>1250</v>
      </c>
      <c r="Z383" s="39">
        <v>450</v>
      </c>
      <c r="AA383" s="39">
        <v>350</v>
      </c>
      <c r="AB383" s="39">
        <v>0</v>
      </c>
      <c r="AC383" s="39">
        <v>0</v>
      </c>
      <c r="AD383" s="39">
        <v>0</v>
      </c>
      <c r="AE383" s="39">
        <v>0</v>
      </c>
      <c r="AF383" s="39">
        <v>0</v>
      </c>
      <c r="AG383" s="39">
        <v>0</v>
      </c>
      <c r="AH383" s="39">
        <v>0</v>
      </c>
      <c r="AI383" s="39">
        <v>0</v>
      </c>
      <c r="AJ383" s="39">
        <f>'Row data'!$S383+'Row data'!$T383+'Row data'!$U383+'Row data'!$W383+'Row data'!$X383+'Row data'!$Y383+'Row data'!$Z383+'Row data'!$AA383+'Row data'!$AB383+'Row data'!$AD383-'Row data'!$AC383-'Row data'!$AE383-'Row data'!$AF383-'Row data'!$AG383-'Row data'!$AH383-'Row data'!$AI383</f>
        <v>13918</v>
      </c>
      <c r="AK383" s="39">
        <v>13918</v>
      </c>
      <c r="AL383" s="39">
        <v>0</v>
      </c>
    </row>
    <row r="384" spans="1:38" x14ac:dyDescent="0.3">
      <c r="A384" s="40">
        <v>383</v>
      </c>
      <c r="B384" s="35" t="s">
        <v>69</v>
      </c>
      <c r="C384" s="35">
        <v>5337770</v>
      </c>
      <c r="D384" s="36" t="s">
        <v>721</v>
      </c>
      <c r="E384" s="35" t="s">
        <v>38</v>
      </c>
      <c r="F384" s="35" t="s">
        <v>169</v>
      </c>
      <c r="G384" s="35" t="s">
        <v>633</v>
      </c>
      <c r="H384" s="37"/>
      <c r="I384" s="38">
        <v>43283</v>
      </c>
      <c r="J384" s="38"/>
      <c r="K384" s="17"/>
      <c r="L384" s="38">
        <v>34408</v>
      </c>
      <c r="M384" s="35">
        <f ca="1">IF('Row data'!$J384="",DATEDIF('Row data'!$L384,TODAY(),"y"),"0")</f>
        <v>32</v>
      </c>
      <c r="N384" s="35" t="s">
        <v>75</v>
      </c>
      <c r="O384" s="35" t="s">
        <v>553</v>
      </c>
      <c r="P384" s="39" t="s">
        <v>554</v>
      </c>
      <c r="Q384" s="39">
        <v>13568</v>
      </c>
      <c r="R384" s="39">
        <v>13568</v>
      </c>
      <c r="S384" s="39">
        <v>7412</v>
      </c>
      <c r="T384" s="39">
        <v>3706</v>
      </c>
      <c r="U384" s="39">
        <v>750</v>
      </c>
      <c r="V384" s="39">
        <v>450</v>
      </c>
      <c r="W384" s="39">
        <v>0</v>
      </c>
      <c r="X384" s="39">
        <v>0</v>
      </c>
      <c r="Y384" s="39">
        <v>1250</v>
      </c>
      <c r="Z384" s="39">
        <v>450</v>
      </c>
      <c r="AA384" s="39">
        <v>350</v>
      </c>
      <c r="AB384" s="39">
        <v>0</v>
      </c>
      <c r="AC384" s="39">
        <v>0</v>
      </c>
      <c r="AD384" s="39">
        <v>0</v>
      </c>
      <c r="AE384" s="39">
        <v>0</v>
      </c>
      <c r="AF384" s="39">
        <v>0</v>
      </c>
      <c r="AG384" s="39">
        <v>0</v>
      </c>
      <c r="AH384" s="39">
        <v>0</v>
      </c>
      <c r="AI384" s="39">
        <v>0</v>
      </c>
      <c r="AJ384" s="39">
        <f>'Row data'!$S384+'Row data'!$T384+'Row data'!$U384+'Row data'!$W384+'Row data'!$X384+'Row data'!$Y384+'Row data'!$Z384+'Row data'!$AA384+'Row data'!$AB384+'Row data'!$AD384-'Row data'!$AC384-'Row data'!$AE384-'Row data'!$AF384-'Row data'!$AG384-'Row data'!$AH384-'Row data'!$AI384</f>
        <v>13918</v>
      </c>
      <c r="AK384" s="39">
        <v>13918</v>
      </c>
      <c r="AL384" s="39">
        <v>0</v>
      </c>
    </row>
    <row r="385" spans="1:38" x14ac:dyDescent="0.3">
      <c r="A385" s="40">
        <v>384</v>
      </c>
      <c r="B385" s="35" t="s">
        <v>69</v>
      </c>
      <c r="C385" s="35">
        <v>7155119</v>
      </c>
      <c r="D385" s="36" t="s">
        <v>722</v>
      </c>
      <c r="E385" s="35" t="s">
        <v>38</v>
      </c>
      <c r="F385" s="35" t="s">
        <v>169</v>
      </c>
      <c r="G385" s="35" t="s">
        <v>633</v>
      </c>
      <c r="H385" s="37"/>
      <c r="I385" s="38">
        <v>43376</v>
      </c>
      <c r="J385" s="38"/>
      <c r="K385" s="17"/>
      <c r="L385" s="38">
        <v>31215</v>
      </c>
      <c r="M385" s="35">
        <f ca="1">IF('Row data'!$J385="",DATEDIF('Row data'!$L385,TODAY(),"y"),"0")</f>
        <v>41</v>
      </c>
      <c r="N385" s="35" t="s">
        <v>75</v>
      </c>
      <c r="O385" s="35" t="s">
        <v>553</v>
      </c>
      <c r="P385" s="39" t="s">
        <v>554</v>
      </c>
      <c r="Q385" s="39">
        <v>13568</v>
      </c>
      <c r="R385" s="39">
        <v>13568</v>
      </c>
      <c r="S385" s="39">
        <v>7412</v>
      </c>
      <c r="T385" s="39">
        <v>3706</v>
      </c>
      <c r="U385" s="39">
        <v>750</v>
      </c>
      <c r="V385" s="39">
        <v>450</v>
      </c>
      <c r="W385" s="39">
        <v>0</v>
      </c>
      <c r="X385" s="39">
        <v>0</v>
      </c>
      <c r="Y385" s="39">
        <v>1250</v>
      </c>
      <c r="Z385" s="39">
        <v>450</v>
      </c>
      <c r="AA385" s="39">
        <v>350</v>
      </c>
      <c r="AB385" s="39">
        <v>0</v>
      </c>
      <c r="AC385" s="39">
        <v>0</v>
      </c>
      <c r="AD385" s="39">
        <v>0</v>
      </c>
      <c r="AE385" s="39">
        <v>0</v>
      </c>
      <c r="AF385" s="39">
        <v>0</v>
      </c>
      <c r="AG385" s="39">
        <v>0</v>
      </c>
      <c r="AH385" s="39">
        <v>0</v>
      </c>
      <c r="AI385" s="39">
        <v>0</v>
      </c>
      <c r="AJ385" s="39">
        <f>'Row data'!$S385+'Row data'!$T385+'Row data'!$U385+'Row data'!$W385+'Row data'!$X385+'Row data'!$Y385+'Row data'!$Z385+'Row data'!$AA385+'Row data'!$AB385+'Row data'!$AD385-'Row data'!$AC385-'Row data'!$AE385-'Row data'!$AF385-'Row data'!$AG385-'Row data'!$AH385-'Row data'!$AI385</f>
        <v>13918</v>
      </c>
      <c r="AK385" s="39">
        <v>13918</v>
      </c>
      <c r="AL385" s="39">
        <v>0</v>
      </c>
    </row>
    <row r="386" spans="1:38" x14ac:dyDescent="0.3">
      <c r="A386" s="40">
        <v>385</v>
      </c>
      <c r="B386" s="35" t="s">
        <v>69</v>
      </c>
      <c r="C386" s="35">
        <v>8168486</v>
      </c>
      <c r="D386" s="36" t="s">
        <v>723</v>
      </c>
      <c r="E386" s="35" t="s">
        <v>38</v>
      </c>
      <c r="F386" s="35" t="s">
        <v>169</v>
      </c>
      <c r="G386" s="35" t="s">
        <v>633</v>
      </c>
      <c r="H386" s="37"/>
      <c r="I386" s="38">
        <v>43374</v>
      </c>
      <c r="J386" s="38">
        <v>44562</v>
      </c>
      <c r="K386" s="17">
        <f>YEAR('Row data'!$J386)</f>
        <v>2022</v>
      </c>
      <c r="L386" s="38">
        <v>29869</v>
      </c>
      <c r="M386" s="35" t="str">
        <f ca="1">IF('Row data'!$J386="",DATEDIF('Row data'!$L386,TODAY(),"y"),"0")</f>
        <v>0</v>
      </c>
      <c r="N386" s="35" t="s">
        <v>75</v>
      </c>
      <c r="O386" s="35" t="s">
        <v>553</v>
      </c>
      <c r="P386" s="39" t="s">
        <v>554</v>
      </c>
      <c r="Q386" s="39">
        <v>13568</v>
      </c>
      <c r="R386" s="39">
        <v>13568</v>
      </c>
      <c r="S386" s="39">
        <v>7412</v>
      </c>
      <c r="T386" s="39">
        <v>3706</v>
      </c>
      <c r="U386" s="39">
        <v>750</v>
      </c>
      <c r="V386" s="39">
        <v>450</v>
      </c>
      <c r="W386" s="39">
        <v>0</v>
      </c>
      <c r="X386" s="39">
        <v>0</v>
      </c>
      <c r="Y386" s="39">
        <v>1250</v>
      </c>
      <c r="Z386" s="39">
        <v>450</v>
      </c>
      <c r="AA386" s="39">
        <v>350</v>
      </c>
      <c r="AB386" s="39">
        <v>0</v>
      </c>
      <c r="AC386" s="39">
        <v>0</v>
      </c>
      <c r="AD386" s="39">
        <v>0</v>
      </c>
      <c r="AE386" s="39">
        <v>0</v>
      </c>
      <c r="AF386" s="39">
        <v>0</v>
      </c>
      <c r="AG386" s="39">
        <v>0</v>
      </c>
      <c r="AH386" s="39">
        <v>0</v>
      </c>
      <c r="AI386" s="39">
        <v>0</v>
      </c>
      <c r="AJ386" s="39">
        <f>'Row data'!$S386+'Row data'!$T386+'Row data'!$U386+'Row data'!$W386+'Row data'!$X386+'Row data'!$Y386+'Row data'!$Z386+'Row data'!$AA386+'Row data'!$AB386+'Row data'!$AD386-'Row data'!$AC386-'Row data'!$AE386-'Row data'!$AF386-'Row data'!$AG386-'Row data'!$AH386-'Row data'!$AI386</f>
        <v>13918</v>
      </c>
      <c r="AK386" s="39">
        <v>13918</v>
      </c>
      <c r="AL386" s="39">
        <v>0</v>
      </c>
    </row>
    <row r="387" spans="1:38" x14ac:dyDescent="0.3">
      <c r="A387" s="40">
        <v>386</v>
      </c>
      <c r="B387" s="35" t="s">
        <v>69</v>
      </c>
      <c r="C387" s="35">
        <v>5122509</v>
      </c>
      <c r="D387" s="36" t="s">
        <v>724</v>
      </c>
      <c r="E387" s="35" t="s">
        <v>38</v>
      </c>
      <c r="F387" s="35" t="s">
        <v>169</v>
      </c>
      <c r="G387" s="35" t="s">
        <v>633</v>
      </c>
      <c r="H387" s="37"/>
      <c r="I387" s="38">
        <v>43351</v>
      </c>
      <c r="J387" s="38"/>
      <c r="K387" s="17"/>
      <c r="L387" s="38">
        <v>30329</v>
      </c>
      <c r="M387" s="35">
        <f ca="1">IF('Row data'!$J387="",DATEDIF('Row data'!$L387,TODAY(),"y"),"0")</f>
        <v>43</v>
      </c>
      <c r="N387" s="35" t="s">
        <v>75</v>
      </c>
      <c r="O387" s="35" t="s">
        <v>553</v>
      </c>
      <c r="P387" s="39" t="s">
        <v>554</v>
      </c>
      <c r="Q387" s="39">
        <v>13568</v>
      </c>
      <c r="R387" s="39">
        <v>13568</v>
      </c>
      <c r="S387" s="39">
        <v>7412</v>
      </c>
      <c r="T387" s="39">
        <v>3706</v>
      </c>
      <c r="U387" s="39">
        <v>750</v>
      </c>
      <c r="V387" s="39">
        <v>450</v>
      </c>
      <c r="W387" s="39">
        <v>0</v>
      </c>
      <c r="X387" s="39">
        <v>0</v>
      </c>
      <c r="Y387" s="39">
        <v>1250</v>
      </c>
      <c r="Z387" s="39">
        <v>450</v>
      </c>
      <c r="AA387" s="39">
        <v>350</v>
      </c>
      <c r="AB387" s="39">
        <v>0</v>
      </c>
      <c r="AC387" s="39">
        <v>0</v>
      </c>
      <c r="AD387" s="39">
        <v>0</v>
      </c>
      <c r="AE387" s="39">
        <v>0</v>
      </c>
      <c r="AF387" s="39">
        <v>0</v>
      </c>
      <c r="AG387" s="39">
        <v>0</v>
      </c>
      <c r="AH387" s="39">
        <v>0</v>
      </c>
      <c r="AI387" s="39">
        <v>0</v>
      </c>
      <c r="AJ387" s="39">
        <f>'Row data'!$S387+'Row data'!$T387+'Row data'!$U387+'Row data'!$W387+'Row data'!$X387+'Row data'!$Y387+'Row data'!$Z387+'Row data'!$AA387+'Row data'!$AB387+'Row data'!$AD387-'Row data'!$AC387-'Row data'!$AE387-'Row data'!$AF387-'Row data'!$AG387-'Row data'!$AH387-'Row data'!$AI387</f>
        <v>13918</v>
      </c>
      <c r="AK387" s="39">
        <v>13918</v>
      </c>
      <c r="AL387" s="39">
        <v>0</v>
      </c>
    </row>
    <row r="388" spans="1:38" x14ac:dyDescent="0.3">
      <c r="A388" s="40">
        <v>387</v>
      </c>
      <c r="B388" s="35" t="s">
        <v>69</v>
      </c>
      <c r="C388" s="35">
        <v>7699004</v>
      </c>
      <c r="D388" s="36" t="s">
        <v>725</v>
      </c>
      <c r="E388" s="35" t="s">
        <v>38</v>
      </c>
      <c r="F388" s="35" t="s">
        <v>169</v>
      </c>
      <c r="G388" s="35" t="s">
        <v>634</v>
      </c>
      <c r="H388" s="37"/>
      <c r="I388" s="38">
        <v>43345</v>
      </c>
      <c r="J388" s="38"/>
      <c r="K388" s="17"/>
      <c r="L388" s="38">
        <v>29356</v>
      </c>
      <c r="M388" s="35">
        <f ca="1">IF('Row data'!$J388="",DATEDIF('Row data'!$L388,TODAY(),"y"),"0")</f>
        <v>46</v>
      </c>
      <c r="N388" s="35" t="s">
        <v>75</v>
      </c>
      <c r="O388" s="35" t="s">
        <v>553</v>
      </c>
      <c r="P388" s="39" t="s">
        <v>554</v>
      </c>
      <c r="Q388" s="39">
        <v>15337</v>
      </c>
      <c r="R388" s="39">
        <v>15337</v>
      </c>
      <c r="S388" s="39">
        <v>8591</v>
      </c>
      <c r="T388" s="39">
        <v>4296</v>
      </c>
      <c r="U388" s="39">
        <v>750</v>
      </c>
      <c r="V388" s="39">
        <v>450</v>
      </c>
      <c r="W388" s="39">
        <v>0</v>
      </c>
      <c r="X388" s="39">
        <v>0</v>
      </c>
      <c r="Y388" s="39">
        <v>1250</v>
      </c>
      <c r="Z388" s="39">
        <v>450</v>
      </c>
      <c r="AA388" s="39">
        <v>350</v>
      </c>
      <c r="AB388" s="39">
        <v>0</v>
      </c>
      <c r="AC388" s="39">
        <v>0</v>
      </c>
      <c r="AD388" s="39">
        <v>0</v>
      </c>
      <c r="AE388" s="39">
        <v>0</v>
      </c>
      <c r="AF388" s="39">
        <v>0</v>
      </c>
      <c r="AG388" s="39">
        <v>0</v>
      </c>
      <c r="AH388" s="39">
        <v>0</v>
      </c>
      <c r="AI388" s="39">
        <v>0</v>
      </c>
      <c r="AJ388" s="39">
        <f>'Row data'!$S388+'Row data'!$T388+'Row data'!$U388+'Row data'!$W388+'Row data'!$X388+'Row data'!$Y388+'Row data'!$Z388+'Row data'!$AA388+'Row data'!$AB388+'Row data'!$AD388-'Row data'!$AC388-'Row data'!$AE388-'Row data'!$AF388-'Row data'!$AG388-'Row data'!$AH388-'Row data'!$AI388</f>
        <v>15687</v>
      </c>
      <c r="AK388" s="39">
        <v>15687</v>
      </c>
      <c r="AL388" s="39">
        <v>0</v>
      </c>
    </row>
    <row r="389" spans="1:38" x14ac:dyDescent="0.3">
      <c r="A389" s="40">
        <v>388</v>
      </c>
      <c r="B389" s="35" t="s">
        <v>69</v>
      </c>
      <c r="C389" s="35">
        <v>5304355</v>
      </c>
      <c r="D389" s="36" t="s">
        <v>726</v>
      </c>
      <c r="E389" s="35" t="s">
        <v>38</v>
      </c>
      <c r="F389" s="35" t="s">
        <v>169</v>
      </c>
      <c r="G389" s="35" t="s">
        <v>633</v>
      </c>
      <c r="H389" s="37"/>
      <c r="I389" s="38">
        <v>40152</v>
      </c>
      <c r="J389" s="38"/>
      <c r="K389" s="17"/>
      <c r="L389" s="38">
        <v>26334</v>
      </c>
      <c r="M389" s="35">
        <f ca="1">IF('Row data'!$J389="",DATEDIF('Row data'!$L389,TODAY(),"y"),"0")</f>
        <v>54</v>
      </c>
      <c r="N389" s="35" t="s">
        <v>75</v>
      </c>
      <c r="O389" s="35" t="s">
        <v>553</v>
      </c>
      <c r="P389" s="39" t="s">
        <v>554</v>
      </c>
      <c r="Q389" s="39">
        <v>16424</v>
      </c>
      <c r="R389" s="39">
        <v>16424</v>
      </c>
      <c r="S389" s="39">
        <v>9316</v>
      </c>
      <c r="T389" s="39">
        <v>4658</v>
      </c>
      <c r="U389" s="39">
        <v>750</v>
      </c>
      <c r="V389" s="39">
        <v>450</v>
      </c>
      <c r="W389" s="39">
        <v>0</v>
      </c>
      <c r="X389" s="39">
        <v>0</v>
      </c>
      <c r="Y389" s="39">
        <v>1250</v>
      </c>
      <c r="Z389" s="39">
        <v>450</v>
      </c>
      <c r="AA389" s="39">
        <v>0</v>
      </c>
      <c r="AB389" s="39">
        <v>0</v>
      </c>
      <c r="AC389" s="39">
        <v>0</v>
      </c>
      <c r="AD389" s="39">
        <v>0</v>
      </c>
      <c r="AE389" s="39">
        <v>0</v>
      </c>
      <c r="AF389" s="39">
        <v>0</v>
      </c>
      <c r="AG389" s="39">
        <v>0</v>
      </c>
      <c r="AH389" s="39">
        <v>0</v>
      </c>
      <c r="AI389" s="39">
        <v>0</v>
      </c>
      <c r="AJ389" s="39">
        <f>'Row data'!$S389+'Row data'!$T389+'Row data'!$U389+'Row data'!$W389+'Row data'!$X389+'Row data'!$Y389+'Row data'!$Z389+'Row data'!$AA389+'Row data'!$AB389+'Row data'!$AD389-'Row data'!$AC389-'Row data'!$AE389-'Row data'!$AF389-'Row data'!$AG389-'Row data'!$AH389-'Row data'!$AI389</f>
        <v>16424</v>
      </c>
      <c r="AK389" s="39">
        <v>16424</v>
      </c>
      <c r="AL389" s="39">
        <v>0</v>
      </c>
    </row>
    <row r="390" spans="1:38" x14ac:dyDescent="0.3">
      <c r="A390" s="40">
        <v>389</v>
      </c>
      <c r="B390" s="35" t="s">
        <v>69</v>
      </c>
      <c r="C390" s="35">
        <v>8624132</v>
      </c>
      <c r="D390" s="36" t="s">
        <v>727</v>
      </c>
      <c r="E390" s="35" t="s">
        <v>38</v>
      </c>
      <c r="F390" s="35" t="s">
        <v>169</v>
      </c>
      <c r="G390" s="35" t="s">
        <v>633</v>
      </c>
      <c r="H390" s="37"/>
      <c r="I390" s="38">
        <v>40229</v>
      </c>
      <c r="J390" s="38">
        <v>43872</v>
      </c>
      <c r="K390" s="17">
        <f>YEAR('Row data'!$J390)</f>
        <v>2020</v>
      </c>
      <c r="L390" s="38">
        <v>32184</v>
      </c>
      <c r="M390" s="35" t="str">
        <f ca="1">IF('Row data'!$J390="",DATEDIF('Row data'!$L390,TODAY(),"y"),"0")</f>
        <v>0</v>
      </c>
      <c r="N390" s="35" t="s">
        <v>75</v>
      </c>
      <c r="O390" s="35" t="s">
        <v>553</v>
      </c>
      <c r="P390" s="39" t="s">
        <v>554</v>
      </c>
      <c r="Q390" s="39">
        <v>15659</v>
      </c>
      <c r="R390" s="39">
        <v>15659</v>
      </c>
      <c r="S390" s="39">
        <v>8806</v>
      </c>
      <c r="T390" s="39">
        <v>4403</v>
      </c>
      <c r="U390" s="39">
        <v>750</v>
      </c>
      <c r="V390" s="39">
        <v>450</v>
      </c>
      <c r="W390" s="39">
        <v>0</v>
      </c>
      <c r="X390" s="39">
        <v>0</v>
      </c>
      <c r="Y390" s="39">
        <v>1250</v>
      </c>
      <c r="Z390" s="39">
        <v>450</v>
      </c>
      <c r="AA390" s="39">
        <v>350</v>
      </c>
      <c r="AB390" s="39">
        <v>0</v>
      </c>
      <c r="AC390" s="39">
        <v>0</v>
      </c>
      <c r="AD390" s="39">
        <v>0</v>
      </c>
      <c r="AE390" s="39">
        <v>0</v>
      </c>
      <c r="AF390" s="39">
        <v>0</v>
      </c>
      <c r="AG390" s="39">
        <v>0</v>
      </c>
      <c r="AH390" s="39">
        <v>0</v>
      </c>
      <c r="AI390" s="39">
        <v>0</v>
      </c>
      <c r="AJ390" s="39">
        <f>'Row data'!$S390+'Row data'!$T390+'Row data'!$U390+'Row data'!$W390+'Row data'!$X390+'Row data'!$Y390+'Row data'!$Z390+'Row data'!$AA390+'Row data'!$AB390+'Row data'!$AD390-'Row data'!$AC390-'Row data'!$AE390-'Row data'!$AF390-'Row data'!$AG390-'Row data'!$AH390-'Row data'!$AI390</f>
        <v>16009</v>
      </c>
      <c r="AK390" s="39">
        <v>16009</v>
      </c>
      <c r="AL390" s="39">
        <v>0</v>
      </c>
    </row>
    <row r="391" spans="1:38" x14ac:dyDescent="0.3">
      <c r="A391" s="40">
        <v>390</v>
      </c>
      <c r="B391" s="35" t="s">
        <v>69</v>
      </c>
      <c r="C391" s="35">
        <v>6353320</v>
      </c>
      <c r="D391" s="36" t="s">
        <v>728</v>
      </c>
      <c r="E391" s="35" t="s">
        <v>38</v>
      </c>
      <c r="F391" s="35" t="s">
        <v>169</v>
      </c>
      <c r="G391" s="35" t="s">
        <v>164</v>
      </c>
      <c r="H391" s="37"/>
      <c r="I391" s="38">
        <v>42110</v>
      </c>
      <c r="J391" s="38">
        <v>44123</v>
      </c>
      <c r="K391" s="17">
        <f>YEAR('Row data'!$J391)</f>
        <v>2020</v>
      </c>
      <c r="L391" s="38">
        <v>32435</v>
      </c>
      <c r="M391" s="35" t="str">
        <f ca="1">IF('Row data'!$J391="",DATEDIF('Row data'!$L391,TODAY(),"y"),"0")</f>
        <v>0</v>
      </c>
      <c r="N391" s="35" t="s">
        <v>75</v>
      </c>
      <c r="O391" s="35" t="s">
        <v>553</v>
      </c>
      <c r="P391" s="39" t="s">
        <v>554</v>
      </c>
      <c r="Q391" s="39">
        <v>15337</v>
      </c>
      <c r="R391" s="39">
        <v>15337</v>
      </c>
      <c r="S391" s="39">
        <v>8591</v>
      </c>
      <c r="T391" s="39">
        <v>4296</v>
      </c>
      <c r="U391" s="39">
        <v>750</v>
      </c>
      <c r="V391" s="39">
        <v>450</v>
      </c>
      <c r="W391" s="39">
        <v>0</v>
      </c>
      <c r="X391" s="39">
        <v>0</v>
      </c>
      <c r="Y391" s="39">
        <v>1250</v>
      </c>
      <c r="Z391" s="39">
        <v>450</v>
      </c>
      <c r="AA391" s="39">
        <v>0</v>
      </c>
      <c r="AB391" s="39">
        <v>0</v>
      </c>
      <c r="AC391" s="39">
        <v>0</v>
      </c>
      <c r="AD391" s="39">
        <v>0</v>
      </c>
      <c r="AE391" s="39">
        <v>0</v>
      </c>
      <c r="AF391" s="39">
        <v>0</v>
      </c>
      <c r="AG391" s="39">
        <v>0</v>
      </c>
      <c r="AH391" s="39">
        <v>0</v>
      </c>
      <c r="AI391" s="39">
        <v>0</v>
      </c>
      <c r="AJ391" s="39">
        <f>'Row data'!$S391+'Row data'!$T391+'Row data'!$U391+'Row data'!$W391+'Row data'!$X391+'Row data'!$Y391+'Row data'!$Z391+'Row data'!$AA391+'Row data'!$AB391+'Row data'!$AD391-'Row data'!$AC391-'Row data'!$AE391-'Row data'!$AF391-'Row data'!$AG391-'Row data'!$AH391-'Row data'!$AI391</f>
        <v>15337</v>
      </c>
      <c r="AK391" s="39">
        <v>15337</v>
      </c>
      <c r="AL391" s="39">
        <v>0</v>
      </c>
    </row>
    <row r="392" spans="1:38" x14ac:dyDescent="0.3">
      <c r="A392" s="40">
        <v>391</v>
      </c>
      <c r="B392" s="35" t="s">
        <v>69</v>
      </c>
      <c r="C392" s="35">
        <v>5689681</v>
      </c>
      <c r="D392" s="36" t="s">
        <v>729</v>
      </c>
      <c r="E392" s="35" t="s">
        <v>38</v>
      </c>
      <c r="F392" s="35" t="s">
        <v>169</v>
      </c>
      <c r="G392" s="35" t="s">
        <v>588</v>
      </c>
      <c r="H392" s="37"/>
      <c r="I392" s="38">
        <v>42319</v>
      </c>
      <c r="J392" s="38"/>
      <c r="K392" s="17"/>
      <c r="L392" s="38">
        <v>30748</v>
      </c>
      <c r="M392" s="35">
        <f ca="1">IF('Row data'!$J392="",DATEDIF('Row data'!$L392,TODAY(),"y"),"0")</f>
        <v>42</v>
      </c>
      <c r="N392" s="35" t="s">
        <v>75</v>
      </c>
      <c r="O392" s="35" t="s">
        <v>553</v>
      </c>
      <c r="P392" s="39" t="s">
        <v>554</v>
      </c>
      <c r="Q392" s="39">
        <v>13949</v>
      </c>
      <c r="R392" s="39">
        <v>13949</v>
      </c>
      <c r="S392" s="39">
        <v>7666</v>
      </c>
      <c r="T392" s="39">
        <v>3833</v>
      </c>
      <c r="U392" s="39">
        <v>750</v>
      </c>
      <c r="V392" s="39">
        <v>450</v>
      </c>
      <c r="W392" s="39">
        <v>0</v>
      </c>
      <c r="X392" s="39">
        <v>0</v>
      </c>
      <c r="Y392" s="39">
        <v>1250</v>
      </c>
      <c r="Z392" s="39">
        <v>450</v>
      </c>
      <c r="AA392" s="39">
        <v>350</v>
      </c>
      <c r="AB392" s="39">
        <v>0</v>
      </c>
      <c r="AC392" s="39">
        <v>0</v>
      </c>
      <c r="AD392" s="39">
        <v>0</v>
      </c>
      <c r="AE392" s="39">
        <v>0</v>
      </c>
      <c r="AF392" s="39">
        <v>0</v>
      </c>
      <c r="AG392" s="39">
        <v>0</v>
      </c>
      <c r="AH392" s="39">
        <v>0</v>
      </c>
      <c r="AI392" s="39">
        <v>0</v>
      </c>
      <c r="AJ392" s="39">
        <f>'Row data'!$S392+'Row data'!$T392+'Row data'!$U392+'Row data'!$W392+'Row data'!$X392+'Row data'!$Y392+'Row data'!$Z392+'Row data'!$AA392+'Row data'!$AB392+'Row data'!$AD392-'Row data'!$AC392-'Row data'!$AE392-'Row data'!$AF392-'Row data'!$AG392-'Row data'!$AH392-'Row data'!$AI392</f>
        <v>14299</v>
      </c>
      <c r="AK392" s="39">
        <v>14299</v>
      </c>
      <c r="AL392" s="39">
        <v>0</v>
      </c>
    </row>
    <row r="393" spans="1:38" x14ac:dyDescent="0.3">
      <c r="A393" s="40">
        <v>392</v>
      </c>
      <c r="B393" s="35" t="s">
        <v>69</v>
      </c>
      <c r="C393" s="35">
        <v>7038834</v>
      </c>
      <c r="D393" s="36" t="s">
        <v>730</v>
      </c>
      <c r="E393" s="35" t="s">
        <v>38</v>
      </c>
      <c r="F393" s="35" t="s">
        <v>169</v>
      </c>
      <c r="G393" s="35" t="s">
        <v>164</v>
      </c>
      <c r="H393" s="37"/>
      <c r="I393" s="38">
        <v>37879</v>
      </c>
      <c r="J393" s="38"/>
      <c r="K393" s="17"/>
      <c r="L393" s="38">
        <v>28987</v>
      </c>
      <c r="M393" s="35">
        <f ca="1">IF('Row data'!$J393="",DATEDIF('Row data'!$L393,TODAY(),"y"),"0")</f>
        <v>47</v>
      </c>
      <c r="N393" s="35" t="s">
        <v>75</v>
      </c>
      <c r="O393" s="35" t="s">
        <v>553</v>
      </c>
      <c r="P393" s="39" t="s">
        <v>554</v>
      </c>
      <c r="Q393" s="39">
        <v>17600</v>
      </c>
      <c r="R393" s="39">
        <v>17600</v>
      </c>
      <c r="S393" s="39">
        <v>10100</v>
      </c>
      <c r="T393" s="39">
        <v>5050</v>
      </c>
      <c r="U393" s="39">
        <v>750</v>
      </c>
      <c r="V393" s="39">
        <v>450</v>
      </c>
      <c r="W393" s="39">
        <v>0</v>
      </c>
      <c r="X393" s="39">
        <v>0</v>
      </c>
      <c r="Y393" s="39">
        <v>1250</v>
      </c>
      <c r="Z393" s="39">
        <v>450</v>
      </c>
      <c r="AA393" s="39">
        <v>350</v>
      </c>
      <c r="AB393" s="39">
        <v>0</v>
      </c>
      <c r="AC393" s="39">
        <v>0</v>
      </c>
      <c r="AD393" s="39">
        <v>0</v>
      </c>
      <c r="AE393" s="39">
        <v>0</v>
      </c>
      <c r="AF393" s="39">
        <v>0</v>
      </c>
      <c r="AG393" s="39">
        <v>0</v>
      </c>
      <c r="AH393" s="39">
        <v>0</v>
      </c>
      <c r="AI393" s="39">
        <v>0</v>
      </c>
      <c r="AJ393" s="39">
        <f>'Row data'!$S393+'Row data'!$T393+'Row data'!$U393+'Row data'!$W393+'Row data'!$X393+'Row data'!$Y393+'Row data'!$Z393+'Row data'!$AA393+'Row data'!$AB393+'Row data'!$AD393-'Row data'!$AC393-'Row data'!$AE393-'Row data'!$AF393-'Row data'!$AG393-'Row data'!$AH393-'Row data'!$AI393</f>
        <v>17950</v>
      </c>
      <c r="AK393" s="39">
        <v>17950</v>
      </c>
      <c r="AL393" s="39">
        <v>0</v>
      </c>
    </row>
    <row r="394" spans="1:38" x14ac:dyDescent="0.3">
      <c r="A394" s="40">
        <v>393</v>
      </c>
      <c r="B394" s="35" t="s">
        <v>69</v>
      </c>
      <c r="C394" s="35">
        <v>7977461</v>
      </c>
      <c r="D394" s="36" t="s">
        <v>731</v>
      </c>
      <c r="E394" s="35" t="s">
        <v>38</v>
      </c>
      <c r="F394" s="35" t="s">
        <v>169</v>
      </c>
      <c r="G394" s="35" t="s">
        <v>588</v>
      </c>
      <c r="H394" s="37"/>
      <c r="I394" s="38">
        <v>43020</v>
      </c>
      <c r="J394" s="38"/>
      <c r="K394" s="17"/>
      <c r="L394" s="38">
        <v>29714</v>
      </c>
      <c r="M394" s="35">
        <f ca="1">IF('Row data'!$J394="",DATEDIF('Row data'!$L394,TODAY(),"y"),"0")</f>
        <v>45</v>
      </c>
      <c r="N394" s="35" t="s">
        <v>75</v>
      </c>
      <c r="O394" s="35" t="s">
        <v>553</v>
      </c>
      <c r="P394" s="39" t="s">
        <v>554</v>
      </c>
      <c r="Q394" s="39">
        <v>13841</v>
      </c>
      <c r="R394" s="39">
        <v>13841</v>
      </c>
      <c r="S394" s="39">
        <v>7594</v>
      </c>
      <c r="T394" s="39">
        <v>3797</v>
      </c>
      <c r="U394" s="39">
        <v>750</v>
      </c>
      <c r="V394" s="39">
        <v>450</v>
      </c>
      <c r="W394" s="39">
        <v>0</v>
      </c>
      <c r="X394" s="39">
        <v>0</v>
      </c>
      <c r="Y394" s="39">
        <v>1250</v>
      </c>
      <c r="Z394" s="39">
        <v>450</v>
      </c>
      <c r="AA394" s="39">
        <v>350</v>
      </c>
      <c r="AB394" s="39">
        <v>0</v>
      </c>
      <c r="AC394" s="39">
        <v>0</v>
      </c>
      <c r="AD394" s="39">
        <v>0</v>
      </c>
      <c r="AE394" s="39">
        <v>0</v>
      </c>
      <c r="AF394" s="39">
        <v>0</v>
      </c>
      <c r="AG394" s="39">
        <v>0</v>
      </c>
      <c r="AH394" s="39">
        <v>0</v>
      </c>
      <c r="AI394" s="39">
        <v>0</v>
      </c>
      <c r="AJ394" s="39">
        <f>'Row data'!$S394+'Row data'!$T394+'Row data'!$U394+'Row data'!$W394+'Row data'!$X394+'Row data'!$Y394+'Row data'!$Z394+'Row data'!$AA394+'Row data'!$AB394+'Row data'!$AD394-'Row data'!$AC394-'Row data'!$AE394-'Row data'!$AF394-'Row data'!$AG394-'Row data'!$AH394-'Row data'!$AI394</f>
        <v>14191</v>
      </c>
      <c r="AK394" s="39">
        <v>14191</v>
      </c>
      <c r="AL394" s="39">
        <v>0</v>
      </c>
    </row>
    <row r="395" spans="1:38" x14ac:dyDescent="0.3">
      <c r="A395" s="40">
        <v>394</v>
      </c>
      <c r="B395" s="35" t="s">
        <v>69</v>
      </c>
      <c r="C395" s="35">
        <v>6327717</v>
      </c>
      <c r="D395" s="36" t="s">
        <v>732</v>
      </c>
      <c r="E395" s="35" t="s">
        <v>38</v>
      </c>
      <c r="F395" s="35" t="s">
        <v>169</v>
      </c>
      <c r="G395" s="35" t="s">
        <v>633</v>
      </c>
      <c r="H395" s="37"/>
      <c r="I395" s="38">
        <v>43165</v>
      </c>
      <c r="J395" s="38"/>
      <c r="K395" s="17"/>
      <c r="L395" s="38">
        <v>29470</v>
      </c>
      <c r="M395" s="35">
        <f ca="1">IF('Row data'!$J395="",DATEDIF('Row data'!$L395,TODAY(),"y"),"0")</f>
        <v>46</v>
      </c>
      <c r="N395" s="35" t="s">
        <v>75</v>
      </c>
      <c r="O395" s="35" t="s">
        <v>553</v>
      </c>
      <c r="P395" s="39" t="s">
        <v>554</v>
      </c>
      <c r="Q395" s="39">
        <v>13568</v>
      </c>
      <c r="R395" s="39">
        <v>13568</v>
      </c>
      <c r="S395" s="39">
        <v>7412</v>
      </c>
      <c r="T395" s="39">
        <v>3706</v>
      </c>
      <c r="U395" s="39">
        <v>750</v>
      </c>
      <c r="V395" s="39">
        <v>450</v>
      </c>
      <c r="W395" s="39">
        <v>0</v>
      </c>
      <c r="X395" s="39">
        <v>0</v>
      </c>
      <c r="Y395" s="39">
        <v>1250</v>
      </c>
      <c r="Z395" s="39">
        <v>450</v>
      </c>
      <c r="AA395" s="39">
        <v>350</v>
      </c>
      <c r="AB395" s="39">
        <v>0</v>
      </c>
      <c r="AC395" s="39">
        <v>0</v>
      </c>
      <c r="AD395" s="39">
        <v>0</v>
      </c>
      <c r="AE395" s="39">
        <v>0</v>
      </c>
      <c r="AF395" s="39">
        <v>0</v>
      </c>
      <c r="AG395" s="39">
        <v>0</v>
      </c>
      <c r="AH395" s="39">
        <v>0</v>
      </c>
      <c r="AI395" s="39">
        <v>0</v>
      </c>
      <c r="AJ395" s="39">
        <f>'Row data'!$S395+'Row data'!$T395+'Row data'!$U395+'Row data'!$W395+'Row data'!$X395+'Row data'!$Y395+'Row data'!$Z395+'Row data'!$AA395+'Row data'!$AB395+'Row data'!$AD395-'Row data'!$AC395-'Row data'!$AE395-'Row data'!$AF395-'Row data'!$AG395-'Row data'!$AH395-'Row data'!$AI395</f>
        <v>13918</v>
      </c>
      <c r="AK395" s="39">
        <v>13918</v>
      </c>
      <c r="AL395" s="39">
        <v>0</v>
      </c>
    </row>
    <row r="396" spans="1:38" x14ac:dyDescent="0.3">
      <c r="A396" s="40">
        <v>395</v>
      </c>
      <c r="B396" s="35" t="s">
        <v>69</v>
      </c>
      <c r="C396" s="35">
        <v>7682163</v>
      </c>
      <c r="D396" s="36" t="s">
        <v>733</v>
      </c>
      <c r="E396" s="35" t="s">
        <v>38</v>
      </c>
      <c r="F396" s="35" t="s">
        <v>169</v>
      </c>
      <c r="G396" s="35" t="s">
        <v>633</v>
      </c>
      <c r="H396" s="37"/>
      <c r="I396" s="38">
        <v>43173</v>
      </c>
      <c r="J396" s="38"/>
      <c r="K396" s="17"/>
      <c r="L396" s="38">
        <v>34370</v>
      </c>
      <c r="M396" s="35">
        <f ca="1">IF('Row data'!$J396="",DATEDIF('Row data'!$L396,TODAY(),"y"),"0")</f>
        <v>32</v>
      </c>
      <c r="N396" s="35" t="s">
        <v>75</v>
      </c>
      <c r="O396" s="35" t="s">
        <v>553</v>
      </c>
      <c r="P396" s="39" t="s">
        <v>554</v>
      </c>
      <c r="Q396" s="39">
        <v>13568</v>
      </c>
      <c r="R396" s="39">
        <v>13568</v>
      </c>
      <c r="S396" s="39">
        <v>7412</v>
      </c>
      <c r="T396" s="39">
        <v>3706</v>
      </c>
      <c r="U396" s="39">
        <v>750</v>
      </c>
      <c r="V396" s="39">
        <v>450</v>
      </c>
      <c r="W396" s="39">
        <v>0</v>
      </c>
      <c r="X396" s="39">
        <v>0</v>
      </c>
      <c r="Y396" s="39">
        <v>1250</v>
      </c>
      <c r="Z396" s="39">
        <v>450</v>
      </c>
      <c r="AA396" s="39">
        <v>350</v>
      </c>
      <c r="AB396" s="39">
        <v>0</v>
      </c>
      <c r="AC396" s="39">
        <v>0</v>
      </c>
      <c r="AD396" s="39">
        <v>0</v>
      </c>
      <c r="AE396" s="39">
        <v>0</v>
      </c>
      <c r="AF396" s="39">
        <v>0</v>
      </c>
      <c r="AG396" s="39">
        <v>0</v>
      </c>
      <c r="AH396" s="39">
        <v>0</v>
      </c>
      <c r="AI396" s="39">
        <v>0</v>
      </c>
      <c r="AJ396" s="39">
        <f>'Row data'!$S396+'Row data'!$T396+'Row data'!$U396+'Row data'!$W396+'Row data'!$X396+'Row data'!$Y396+'Row data'!$Z396+'Row data'!$AA396+'Row data'!$AB396+'Row data'!$AD396-'Row data'!$AC396-'Row data'!$AE396-'Row data'!$AF396-'Row data'!$AG396-'Row data'!$AH396-'Row data'!$AI396</f>
        <v>13918</v>
      </c>
      <c r="AK396" s="39">
        <v>13918</v>
      </c>
      <c r="AL396" s="39">
        <v>0</v>
      </c>
    </row>
    <row r="397" spans="1:38" x14ac:dyDescent="0.3">
      <c r="A397" s="40">
        <v>396</v>
      </c>
      <c r="B397" s="35" t="s">
        <v>69</v>
      </c>
      <c r="C397" s="35">
        <v>7456673</v>
      </c>
      <c r="D397" s="36" t="s">
        <v>734</v>
      </c>
      <c r="E397" s="35" t="s">
        <v>38</v>
      </c>
      <c r="F397" s="35" t="s">
        <v>169</v>
      </c>
      <c r="G397" s="35" t="s">
        <v>170</v>
      </c>
      <c r="H397" s="37"/>
      <c r="I397" s="38">
        <v>40438</v>
      </c>
      <c r="J397" s="38"/>
      <c r="K397" s="17"/>
      <c r="L397" s="38">
        <v>26424</v>
      </c>
      <c r="M397" s="35">
        <f ca="1">IF('Row data'!$J397="",DATEDIF('Row data'!$L397,TODAY(),"y"),"0")</f>
        <v>54</v>
      </c>
      <c r="N397" s="35" t="s">
        <v>75</v>
      </c>
      <c r="O397" s="35" t="s">
        <v>553</v>
      </c>
      <c r="P397" s="39" t="s">
        <v>554</v>
      </c>
      <c r="Q397" s="39">
        <v>15895</v>
      </c>
      <c r="R397" s="39">
        <v>15895</v>
      </c>
      <c r="S397" s="39">
        <v>8963</v>
      </c>
      <c r="T397" s="39">
        <v>4482</v>
      </c>
      <c r="U397" s="39">
        <v>750</v>
      </c>
      <c r="V397" s="39">
        <v>450</v>
      </c>
      <c r="W397" s="39">
        <v>0</v>
      </c>
      <c r="X397" s="39">
        <v>0</v>
      </c>
      <c r="Y397" s="39">
        <v>1250</v>
      </c>
      <c r="Z397" s="39">
        <v>450</v>
      </c>
      <c r="AA397" s="39">
        <v>0</v>
      </c>
      <c r="AB397" s="39">
        <v>0</v>
      </c>
      <c r="AC397" s="39">
        <v>0</v>
      </c>
      <c r="AD397" s="39">
        <v>0</v>
      </c>
      <c r="AE397" s="39">
        <v>0</v>
      </c>
      <c r="AF397" s="39">
        <v>0</v>
      </c>
      <c r="AG397" s="39">
        <v>0</v>
      </c>
      <c r="AH397" s="39">
        <v>0</v>
      </c>
      <c r="AI397" s="39">
        <v>0</v>
      </c>
      <c r="AJ397" s="39">
        <f>'Row data'!$S397+'Row data'!$T397+'Row data'!$U397+'Row data'!$W397+'Row data'!$X397+'Row data'!$Y397+'Row data'!$Z397+'Row data'!$AA397+'Row data'!$AB397+'Row data'!$AD397-'Row data'!$AC397-'Row data'!$AE397-'Row data'!$AF397-'Row data'!$AG397-'Row data'!$AH397-'Row data'!$AI397</f>
        <v>15895</v>
      </c>
      <c r="AK397" s="39">
        <v>15895</v>
      </c>
      <c r="AL397" s="39">
        <v>0</v>
      </c>
    </row>
    <row r="398" spans="1:38" x14ac:dyDescent="0.3">
      <c r="A398" s="40">
        <v>397</v>
      </c>
      <c r="B398" s="35" t="s">
        <v>69</v>
      </c>
      <c r="C398" s="35">
        <v>7735903</v>
      </c>
      <c r="D398" s="36" t="s">
        <v>735</v>
      </c>
      <c r="E398" s="35" t="s">
        <v>38</v>
      </c>
      <c r="F398" s="35" t="s">
        <v>169</v>
      </c>
      <c r="G398" s="35" t="s">
        <v>170</v>
      </c>
      <c r="H398" s="37"/>
      <c r="I398" s="38">
        <v>40710</v>
      </c>
      <c r="J398" s="38"/>
      <c r="K398" s="17"/>
      <c r="L398" s="38">
        <v>29269</v>
      </c>
      <c r="M398" s="35">
        <f ca="1">IF('Row data'!$J398="",DATEDIF('Row data'!$L398,TODAY(),"y"),"0")</f>
        <v>46</v>
      </c>
      <c r="N398" s="35" t="s">
        <v>75</v>
      </c>
      <c r="O398" s="35" t="s">
        <v>553</v>
      </c>
      <c r="P398" s="39" t="s">
        <v>554</v>
      </c>
      <c r="Q398" s="39">
        <v>15188</v>
      </c>
      <c r="R398" s="39">
        <v>15188</v>
      </c>
      <c r="S398" s="39">
        <v>8492</v>
      </c>
      <c r="T398" s="39">
        <v>4246</v>
      </c>
      <c r="U398" s="39">
        <v>750</v>
      </c>
      <c r="V398" s="39">
        <v>450</v>
      </c>
      <c r="W398" s="39">
        <v>0</v>
      </c>
      <c r="X398" s="39">
        <v>0</v>
      </c>
      <c r="Y398" s="39">
        <v>1250</v>
      </c>
      <c r="Z398" s="39">
        <v>450</v>
      </c>
      <c r="AA398" s="39">
        <v>350</v>
      </c>
      <c r="AB398" s="39">
        <v>0</v>
      </c>
      <c r="AC398" s="39">
        <v>0</v>
      </c>
      <c r="AD398" s="39">
        <v>0</v>
      </c>
      <c r="AE398" s="39">
        <v>0</v>
      </c>
      <c r="AF398" s="39">
        <v>0</v>
      </c>
      <c r="AG398" s="39">
        <v>0</v>
      </c>
      <c r="AH398" s="39">
        <v>0</v>
      </c>
      <c r="AI398" s="39">
        <v>0</v>
      </c>
      <c r="AJ398" s="39">
        <f>'Row data'!$S398+'Row data'!$T398+'Row data'!$U398+'Row data'!$W398+'Row data'!$X398+'Row data'!$Y398+'Row data'!$Z398+'Row data'!$AA398+'Row data'!$AB398+'Row data'!$AD398-'Row data'!$AC398-'Row data'!$AE398-'Row data'!$AF398-'Row data'!$AG398-'Row data'!$AH398-'Row data'!$AI398</f>
        <v>15538</v>
      </c>
      <c r="AK398" s="39">
        <v>15538</v>
      </c>
      <c r="AL398" s="39">
        <v>0</v>
      </c>
    </row>
    <row r="399" spans="1:38" x14ac:dyDescent="0.3">
      <c r="A399" s="40">
        <v>398</v>
      </c>
      <c r="B399" s="35" t="s">
        <v>69</v>
      </c>
      <c r="C399" s="35">
        <v>7705886</v>
      </c>
      <c r="D399" s="36" t="s">
        <v>736</v>
      </c>
      <c r="E399" s="35" t="s">
        <v>38</v>
      </c>
      <c r="F399" s="35" t="s">
        <v>169</v>
      </c>
      <c r="G399" s="35" t="s">
        <v>170</v>
      </c>
      <c r="H399" s="37"/>
      <c r="I399" s="38">
        <v>41447</v>
      </c>
      <c r="J399" s="38"/>
      <c r="K399" s="17"/>
      <c r="L399" s="38">
        <v>29511</v>
      </c>
      <c r="M399" s="35">
        <f ca="1">IF('Row data'!$J399="",DATEDIF('Row data'!$L399,TODAY(),"y"),"0")</f>
        <v>45</v>
      </c>
      <c r="N399" s="35" t="s">
        <v>75</v>
      </c>
      <c r="O399" s="35" t="s">
        <v>553</v>
      </c>
      <c r="P399" s="39" t="s">
        <v>554</v>
      </c>
      <c r="Q399" s="39">
        <v>13568</v>
      </c>
      <c r="R399" s="39">
        <v>13568</v>
      </c>
      <c r="S399" s="39">
        <v>7412</v>
      </c>
      <c r="T399" s="39">
        <v>3706</v>
      </c>
      <c r="U399" s="39">
        <v>750</v>
      </c>
      <c r="V399" s="39">
        <v>450</v>
      </c>
      <c r="W399" s="39">
        <v>0</v>
      </c>
      <c r="X399" s="39">
        <v>0</v>
      </c>
      <c r="Y399" s="39">
        <v>1250</v>
      </c>
      <c r="Z399" s="39">
        <v>450</v>
      </c>
      <c r="AA399" s="39">
        <v>350</v>
      </c>
      <c r="AB399" s="39">
        <v>0</v>
      </c>
      <c r="AC399" s="39">
        <v>0</v>
      </c>
      <c r="AD399" s="39">
        <v>0</v>
      </c>
      <c r="AE399" s="39">
        <v>0</v>
      </c>
      <c r="AF399" s="39">
        <v>0</v>
      </c>
      <c r="AG399" s="39">
        <v>0</v>
      </c>
      <c r="AH399" s="39">
        <v>0</v>
      </c>
      <c r="AI399" s="39">
        <v>0</v>
      </c>
      <c r="AJ399" s="39">
        <f>'Row data'!$S399+'Row data'!$T399+'Row data'!$U399+'Row data'!$W399+'Row data'!$X399+'Row data'!$Y399+'Row data'!$Z399+'Row data'!$AA399+'Row data'!$AB399+'Row data'!$AD399-'Row data'!$AC399-'Row data'!$AE399-'Row data'!$AF399-'Row data'!$AG399-'Row data'!$AH399-'Row data'!$AI399</f>
        <v>13918</v>
      </c>
      <c r="AK399" s="39">
        <v>13918</v>
      </c>
      <c r="AL399" s="39">
        <v>0</v>
      </c>
    </row>
    <row r="400" spans="1:38" x14ac:dyDescent="0.3">
      <c r="A400" s="40">
        <v>399</v>
      </c>
      <c r="B400" s="35" t="s">
        <v>69</v>
      </c>
      <c r="C400" s="35">
        <v>6026661</v>
      </c>
      <c r="D400" s="36" t="s">
        <v>737</v>
      </c>
      <c r="E400" s="35" t="s">
        <v>38</v>
      </c>
      <c r="F400" s="35" t="s">
        <v>169</v>
      </c>
      <c r="G400" s="35" t="s">
        <v>170</v>
      </c>
      <c r="H400" s="37"/>
      <c r="I400" s="38">
        <v>40642</v>
      </c>
      <c r="J400" s="38"/>
      <c r="K400" s="17"/>
      <c r="L400" s="38">
        <v>26249</v>
      </c>
      <c r="M400" s="35">
        <f ca="1">IF('Row data'!$J400="",DATEDIF('Row data'!$L400,TODAY(),"y"),"0")</f>
        <v>54</v>
      </c>
      <c r="N400" s="35" t="s">
        <v>75</v>
      </c>
      <c r="O400" s="35" t="s">
        <v>553</v>
      </c>
      <c r="P400" s="39" t="s">
        <v>554</v>
      </c>
      <c r="Q400" s="39">
        <v>14996</v>
      </c>
      <c r="R400" s="39">
        <v>14996</v>
      </c>
      <c r="S400" s="39">
        <v>8364</v>
      </c>
      <c r="T400" s="39">
        <v>4182</v>
      </c>
      <c r="U400" s="39">
        <v>750</v>
      </c>
      <c r="V400" s="39">
        <v>450</v>
      </c>
      <c r="W400" s="39">
        <v>0</v>
      </c>
      <c r="X400" s="39">
        <v>0</v>
      </c>
      <c r="Y400" s="39">
        <v>1250</v>
      </c>
      <c r="Z400" s="39">
        <v>450</v>
      </c>
      <c r="AA400" s="39">
        <v>350</v>
      </c>
      <c r="AB400" s="39">
        <v>0</v>
      </c>
      <c r="AC400" s="39">
        <v>0</v>
      </c>
      <c r="AD400" s="39">
        <v>0</v>
      </c>
      <c r="AE400" s="39">
        <v>0</v>
      </c>
      <c r="AF400" s="39">
        <v>0</v>
      </c>
      <c r="AG400" s="39">
        <v>0</v>
      </c>
      <c r="AH400" s="39">
        <v>0</v>
      </c>
      <c r="AI400" s="39">
        <v>0</v>
      </c>
      <c r="AJ400" s="39">
        <f>'Row data'!$S400+'Row data'!$T400+'Row data'!$U400+'Row data'!$W400+'Row data'!$X400+'Row data'!$Y400+'Row data'!$Z400+'Row data'!$AA400+'Row data'!$AB400+'Row data'!$AD400-'Row data'!$AC400-'Row data'!$AE400-'Row data'!$AF400-'Row data'!$AG400-'Row data'!$AH400-'Row data'!$AI400</f>
        <v>15346</v>
      </c>
      <c r="AK400" s="39">
        <v>15346</v>
      </c>
      <c r="AL400" s="39">
        <v>0</v>
      </c>
    </row>
    <row r="401" spans="1:38" x14ac:dyDescent="0.3">
      <c r="A401" s="40">
        <v>400</v>
      </c>
      <c r="B401" s="35" t="s">
        <v>69</v>
      </c>
      <c r="C401" s="35">
        <v>5763687</v>
      </c>
      <c r="D401" s="36" t="s">
        <v>738</v>
      </c>
      <c r="E401" s="35" t="s">
        <v>38</v>
      </c>
      <c r="F401" s="35" t="s">
        <v>169</v>
      </c>
      <c r="G401" s="35" t="s">
        <v>170</v>
      </c>
      <c r="H401" s="37"/>
      <c r="I401" s="38">
        <v>42927</v>
      </c>
      <c r="J401" s="38">
        <v>43831</v>
      </c>
      <c r="K401" s="17">
        <f>YEAR('Row data'!$J401)</f>
        <v>2020</v>
      </c>
      <c r="L401" s="38">
        <v>28126</v>
      </c>
      <c r="M401" s="35" t="str">
        <f ca="1">IF('Row data'!$J401="",DATEDIF('Row data'!$L401,TODAY(),"y"),"0")</f>
        <v>0</v>
      </c>
      <c r="N401" s="35" t="s">
        <v>75</v>
      </c>
      <c r="O401" s="35" t="s">
        <v>553</v>
      </c>
      <c r="P401" s="39" t="s">
        <v>554</v>
      </c>
      <c r="Q401" s="39">
        <v>13568</v>
      </c>
      <c r="R401" s="39">
        <v>12244</v>
      </c>
      <c r="S401" s="39">
        <v>7412</v>
      </c>
      <c r="T401" s="39">
        <v>3706</v>
      </c>
      <c r="U401" s="39">
        <v>750</v>
      </c>
      <c r="V401" s="39">
        <v>450</v>
      </c>
      <c r="W401" s="39">
        <v>0</v>
      </c>
      <c r="X401" s="39">
        <v>0</v>
      </c>
      <c r="Y401" s="39">
        <v>1250</v>
      </c>
      <c r="Z401" s="39">
        <v>450</v>
      </c>
      <c r="AA401" s="39">
        <v>0</v>
      </c>
      <c r="AB401" s="39">
        <v>0</v>
      </c>
      <c r="AC401" s="39">
        <v>0</v>
      </c>
      <c r="AD401" s="39">
        <v>0</v>
      </c>
      <c r="AE401" s="39">
        <v>1324</v>
      </c>
      <c r="AF401" s="39">
        <v>0</v>
      </c>
      <c r="AG401" s="39">
        <v>0</v>
      </c>
      <c r="AH401" s="39">
        <v>0</v>
      </c>
      <c r="AI401" s="39">
        <v>0</v>
      </c>
      <c r="AJ401" s="39">
        <f>'Row data'!$S401+'Row data'!$T401+'Row data'!$U401+'Row data'!$W401+'Row data'!$X401+'Row data'!$Y401+'Row data'!$Z401+'Row data'!$AA401+'Row data'!$AB401+'Row data'!$AD401-'Row data'!$AC401-'Row data'!$AE401-'Row data'!$AF401-'Row data'!$AG401-'Row data'!$AH401-'Row data'!$AI401</f>
        <v>12244</v>
      </c>
      <c r="AK401" s="39">
        <v>12244</v>
      </c>
      <c r="AL401" s="39">
        <v>0</v>
      </c>
    </row>
    <row r="402" spans="1:38" x14ac:dyDescent="0.3">
      <c r="A402" s="40">
        <v>401</v>
      </c>
      <c r="B402" s="35" t="s">
        <v>69</v>
      </c>
      <c r="C402" s="35">
        <v>8400628</v>
      </c>
      <c r="D402" s="36" t="s">
        <v>739</v>
      </c>
      <c r="E402" s="35" t="s">
        <v>38</v>
      </c>
      <c r="F402" s="35" t="s">
        <v>169</v>
      </c>
      <c r="G402" s="35" t="s">
        <v>170</v>
      </c>
      <c r="H402" s="37"/>
      <c r="I402" s="38">
        <v>41001</v>
      </c>
      <c r="J402" s="38"/>
      <c r="K402" s="17"/>
      <c r="L402" s="38">
        <v>30319</v>
      </c>
      <c r="M402" s="35">
        <f ca="1">IF('Row data'!$J402="",DATEDIF('Row data'!$L402,TODAY(),"y"),"0")</f>
        <v>43</v>
      </c>
      <c r="N402" s="35" t="s">
        <v>75</v>
      </c>
      <c r="O402" s="35" t="s">
        <v>553</v>
      </c>
      <c r="P402" s="39" t="s">
        <v>554</v>
      </c>
      <c r="Q402" s="39">
        <v>14315</v>
      </c>
      <c r="R402" s="39">
        <v>14315</v>
      </c>
      <c r="S402" s="39">
        <v>7910</v>
      </c>
      <c r="T402" s="39">
        <v>3955</v>
      </c>
      <c r="U402" s="39">
        <v>750</v>
      </c>
      <c r="V402" s="39">
        <v>450</v>
      </c>
      <c r="W402" s="39">
        <v>0</v>
      </c>
      <c r="X402" s="39">
        <v>0</v>
      </c>
      <c r="Y402" s="39">
        <v>1250</v>
      </c>
      <c r="Z402" s="39">
        <v>450</v>
      </c>
      <c r="AA402" s="39">
        <v>350</v>
      </c>
      <c r="AB402" s="39">
        <v>0</v>
      </c>
      <c r="AC402" s="39">
        <v>0</v>
      </c>
      <c r="AD402" s="39">
        <v>0</v>
      </c>
      <c r="AE402" s="39">
        <v>0</v>
      </c>
      <c r="AF402" s="39">
        <v>0</v>
      </c>
      <c r="AG402" s="39">
        <v>0</v>
      </c>
      <c r="AH402" s="39">
        <v>0</v>
      </c>
      <c r="AI402" s="39">
        <v>0</v>
      </c>
      <c r="AJ402" s="39">
        <f>'Row data'!$S402+'Row data'!$T402+'Row data'!$U402+'Row data'!$W402+'Row data'!$X402+'Row data'!$Y402+'Row data'!$Z402+'Row data'!$AA402+'Row data'!$AB402+'Row data'!$AD402-'Row data'!$AC402-'Row data'!$AE402-'Row data'!$AF402-'Row data'!$AG402-'Row data'!$AH402-'Row data'!$AI402</f>
        <v>14665</v>
      </c>
      <c r="AK402" s="39">
        <v>14665</v>
      </c>
      <c r="AL402" s="39">
        <v>0</v>
      </c>
    </row>
    <row r="403" spans="1:38" x14ac:dyDescent="0.3">
      <c r="A403" s="40">
        <v>402</v>
      </c>
      <c r="B403" s="35" t="s">
        <v>69</v>
      </c>
      <c r="C403" s="35">
        <v>5344504</v>
      </c>
      <c r="D403" s="36" t="s">
        <v>740</v>
      </c>
      <c r="E403" s="35" t="s">
        <v>38</v>
      </c>
      <c r="F403" s="35" t="s">
        <v>169</v>
      </c>
      <c r="G403" s="35" t="s">
        <v>170</v>
      </c>
      <c r="H403" s="37"/>
      <c r="I403" s="38">
        <v>42954</v>
      </c>
      <c r="J403" s="38"/>
      <c r="K403" s="17"/>
      <c r="L403" s="38">
        <v>30834</v>
      </c>
      <c r="M403" s="35">
        <f ca="1">IF('Row data'!$J403="",DATEDIF('Row data'!$L403,TODAY(),"y"),"0")</f>
        <v>42</v>
      </c>
      <c r="N403" s="35" t="s">
        <v>75</v>
      </c>
      <c r="O403" s="35" t="s">
        <v>553</v>
      </c>
      <c r="P403" s="39" t="s">
        <v>554</v>
      </c>
      <c r="Q403" s="39">
        <v>13568</v>
      </c>
      <c r="R403" s="39">
        <v>13568</v>
      </c>
      <c r="S403" s="39">
        <v>7412</v>
      </c>
      <c r="T403" s="39">
        <v>3706</v>
      </c>
      <c r="U403" s="39">
        <v>750</v>
      </c>
      <c r="V403" s="39">
        <v>450</v>
      </c>
      <c r="W403" s="39">
        <v>0</v>
      </c>
      <c r="X403" s="39">
        <v>0</v>
      </c>
      <c r="Y403" s="39">
        <v>1250</v>
      </c>
      <c r="Z403" s="39">
        <v>450</v>
      </c>
      <c r="AA403" s="39">
        <v>0</v>
      </c>
      <c r="AB403" s="39">
        <v>0</v>
      </c>
      <c r="AC403" s="39">
        <v>0</v>
      </c>
      <c r="AD403" s="39">
        <v>0</v>
      </c>
      <c r="AE403" s="39">
        <v>0</v>
      </c>
      <c r="AF403" s="39">
        <v>0</v>
      </c>
      <c r="AG403" s="39">
        <v>0</v>
      </c>
      <c r="AH403" s="39">
        <v>0</v>
      </c>
      <c r="AI403" s="39">
        <v>0</v>
      </c>
      <c r="AJ403" s="39">
        <f>'Row data'!$S403+'Row data'!$T403+'Row data'!$U403+'Row data'!$W403+'Row data'!$X403+'Row data'!$Y403+'Row data'!$Z403+'Row data'!$AA403+'Row data'!$AB403+'Row data'!$AD403-'Row data'!$AC403-'Row data'!$AE403-'Row data'!$AF403-'Row data'!$AG403-'Row data'!$AH403-'Row data'!$AI403</f>
        <v>13568</v>
      </c>
      <c r="AK403" s="39">
        <v>13568</v>
      </c>
      <c r="AL403" s="39">
        <v>0</v>
      </c>
    </row>
    <row r="404" spans="1:38" x14ac:dyDescent="0.3">
      <c r="A404" s="40">
        <v>403</v>
      </c>
      <c r="B404" s="35" t="s">
        <v>69</v>
      </c>
      <c r="C404" s="35">
        <v>8689992</v>
      </c>
      <c r="D404" s="36" t="s">
        <v>741</v>
      </c>
      <c r="E404" s="35" t="s">
        <v>38</v>
      </c>
      <c r="F404" s="35" t="s">
        <v>169</v>
      </c>
      <c r="G404" s="35" t="s">
        <v>170</v>
      </c>
      <c r="H404" s="37"/>
      <c r="I404" s="38">
        <v>42095</v>
      </c>
      <c r="J404" s="38">
        <v>43952</v>
      </c>
      <c r="K404" s="17">
        <f>YEAR('Row data'!$J404)</f>
        <v>2020</v>
      </c>
      <c r="L404" s="38">
        <v>28246</v>
      </c>
      <c r="M404" s="35" t="str">
        <f ca="1">IF('Row data'!$J404="",DATEDIF('Row data'!$L404,TODAY(),"y"),"0")</f>
        <v>0</v>
      </c>
      <c r="N404" s="35" t="s">
        <v>75</v>
      </c>
      <c r="O404" s="35" t="s">
        <v>553</v>
      </c>
      <c r="P404" s="39" t="s">
        <v>554</v>
      </c>
      <c r="Q404" s="39">
        <v>13568</v>
      </c>
      <c r="R404" s="39">
        <v>13568</v>
      </c>
      <c r="S404" s="39">
        <v>7412</v>
      </c>
      <c r="T404" s="39">
        <v>3706</v>
      </c>
      <c r="U404" s="39">
        <v>750</v>
      </c>
      <c r="V404" s="39">
        <v>450</v>
      </c>
      <c r="W404" s="39">
        <v>0</v>
      </c>
      <c r="X404" s="39">
        <v>0</v>
      </c>
      <c r="Y404" s="39">
        <v>1250</v>
      </c>
      <c r="Z404" s="39">
        <v>450</v>
      </c>
      <c r="AA404" s="39">
        <v>350</v>
      </c>
      <c r="AB404" s="39">
        <v>0</v>
      </c>
      <c r="AC404" s="39">
        <v>0</v>
      </c>
      <c r="AD404" s="39">
        <v>0</v>
      </c>
      <c r="AE404" s="39">
        <v>0</v>
      </c>
      <c r="AF404" s="39">
        <v>0</v>
      </c>
      <c r="AG404" s="39">
        <v>0</v>
      </c>
      <c r="AH404" s="39">
        <v>0</v>
      </c>
      <c r="AI404" s="39">
        <v>0</v>
      </c>
      <c r="AJ404" s="39">
        <f>'Row data'!$S404+'Row data'!$T404+'Row data'!$U404+'Row data'!$W404+'Row data'!$X404+'Row data'!$Y404+'Row data'!$Z404+'Row data'!$AA404+'Row data'!$AB404+'Row data'!$AD404-'Row data'!$AC404-'Row data'!$AE404-'Row data'!$AF404-'Row data'!$AG404-'Row data'!$AH404-'Row data'!$AI404</f>
        <v>13918</v>
      </c>
      <c r="AK404" s="39">
        <v>13918</v>
      </c>
      <c r="AL404" s="39">
        <v>0</v>
      </c>
    </row>
    <row r="405" spans="1:38" x14ac:dyDescent="0.3">
      <c r="A405" s="40">
        <v>404</v>
      </c>
      <c r="B405" s="35" t="s">
        <v>69</v>
      </c>
      <c r="C405" s="35">
        <v>8922938</v>
      </c>
      <c r="D405" s="36" t="s">
        <v>742</v>
      </c>
      <c r="E405" s="35" t="s">
        <v>65</v>
      </c>
      <c r="F405" s="35" t="s">
        <v>66</v>
      </c>
      <c r="G405" s="35" t="s">
        <v>743</v>
      </c>
      <c r="H405" s="37"/>
      <c r="I405" s="38">
        <v>44692</v>
      </c>
      <c r="J405" s="38"/>
      <c r="K405" s="17"/>
      <c r="L405" s="38">
        <v>37014</v>
      </c>
      <c r="M405" s="35">
        <f ca="1">IF('Row data'!$J405="",DATEDIF('Row data'!$L405,TODAY(),"y"),"0")</f>
        <v>25</v>
      </c>
      <c r="N405" s="35" t="s">
        <v>42</v>
      </c>
      <c r="O405" s="35" t="s">
        <v>553</v>
      </c>
      <c r="P405" s="39" t="s">
        <v>554</v>
      </c>
      <c r="Q405" s="39">
        <v>13405</v>
      </c>
      <c r="R405" s="39">
        <v>13405</v>
      </c>
      <c r="S405" s="39">
        <v>7303</v>
      </c>
      <c r="T405" s="39">
        <v>3652</v>
      </c>
      <c r="U405" s="39">
        <v>750</v>
      </c>
      <c r="V405" s="39">
        <v>450</v>
      </c>
      <c r="W405" s="39">
        <v>0</v>
      </c>
      <c r="X405" s="39">
        <v>0</v>
      </c>
      <c r="Y405" s="39">
        <v>1250</v>
      </c>
      <c r="Z405" s="39">
        <v>450</v>
      </c>
      <c r="AA405" s="39">
        <v>250</v>
      </c>
      <c r="AB405" s="39">
        <v>0</v>
      </c>
      <c r="AC405" s="39">
        <v>0</v>
      </c>
      <c r="AD405" s="39">
        <v>0</v>
      </c>
      <c r="AE405" s="39">
        <v>0</v>
      </c>
      <c r="AF405" s="39">
        <v>0</v>
      </c>
      <c r="AG405" s="39">
        <v>0</v>
      </c>
      <c r="AH405" s="39">
        <v>0</v>
      </c>
      <c r="AI405" s="39">
        <v>0</v>
      </c>
      <c r="AJ405" s="39">
        <f>'Row data'!$S405+'Row data'!$T405+'Row data'!$U405+'Row data'!$W405+'Row data'!$X405+'Row data'!$Y405+'Row data'!$Z405+'Row data'!$AA405+'Row data'!$AB405+'Row data'!$AD405-'Row data'!$AC405-'Row data'!$AE405-'Row data'!$AF405-'Row data'!$AG405-'Row data'!$AH405-'Row data'!$AI405</f>
        <v>13655</v>
      </c>
      <c r="AK405" s="39">
        <v>13655</v>
      </c>
      <c r="AL405" s="39">
        <v>0</v>
      </c>
    </row>
    <row r="406" spans="1:38" x14ac:dyDescent="0.3">
      <c r="A406" s="40">
        <v>405</v>
      </c>
      <c r="B406" s="35" t="s">
        <v>237</v>
      </c>
      <c r="C406" s="35">
        <v>8062911</v>
      </c>
      <c r="D406" s="36" t="s">
        <v>744</v>
      </c>
      <c r="E406" s="35" t="s">
        <v>71</v>
      </c>
      <c r="F406" s="35" t="s">
        <v>587</v>
      </c>
      <c r="G406" s="35" t="s">
        <v>745</v>
      </c>
      <c r="H406" s="37" t="s">
        <v>746</v>
      </c>
      <c r="I406" s="38">
        <v>44823</v>
      </c>
      <c r="J406" s="38"/>
      <c r="K406" s="17"/>
      <c r="L406" s="38">
        <v>31413</v>
      </c>
      <c r="M406" s="35">
        <f ca="1">IF('Row data'!$J406="",DATEDIF('Row data'!$L406,TODAY(),"y"),"0")</f>
        <v>40</v>
      </c>
      <c r="N406" s="35" t="s">
        <v>42</v>
      </c>
      <c r="O406" s="35" t="s">
        <v>553</v>
      </c>
      <c r="P406" s="39" t="s">
        <v>554</v>
      </c>
      <c r="Q406" s="39">
        <v>13732</v>
      </c>
      <c r="R406" s="39">
        <v>13463</v>
      </c>
      <c r="S406" s="39">
        <v>7521</v>
      </c>
      <c r="T406" s="39">
        <v>3761</v>
      </c>
      <c r="U406" s="39">
        <v>750</v>
      </c>
      <c r="V406" s="39">
        <v>450</v>
      </c>
      <c r="W406" s="39">
        <v>0</v>
      </c>
      <c r="X406" s="39">
        <v>0</v>
      </c>
      <c r="Y406" s="39">
        <v>1250</v>
      </c>
      <c r="Z406" s="39">
        <v>450</v>
      </c>
      <c r="AA406" s="39">
        <v>0</v>
      </c>
      <c r="AB406" s="39">
        <v>0</v>
      </c>
      <c r="AC406" s="39">
        <v>0</v>
      </c>
      <c r="AD406" s="39">
        <v>0</v>
      </c>
      <c r="AE406" s="39">
        <v>269</v>
      </c>
      <c r="AF406" s="39">
        <v>0</v>
      </c>
      <c r="AG406" s="39">
        <v>1000</v>
      </c>
      <c r="AH406" s="39">
        <v>0</v>
      </c>
      <c r="AI406" s="39">
        <v>0</v>
      </c>
      <c r="AJ406" s="39">
        <f>'Row data'!$S406+'Row data'!$T406+'Row data'!$U406+'Row data'!$W406+'Row data'!$X406+'Row data'!$Y406+'Row data'!$Z406+'Row data'!$AA406+'Row data'!$AB406+'Row data'!$AD406-'Row data'!$AC406-'Row data'!$AE406-'Row data'!$AF406-'Row data'!$AG406-'Row data'!$AH406-'Row data'!$AI406</f>
        <v>12463</v>
      </c>
      <c r="AK406" s="39">
        <v>12463</v>
      </c>
      <c r="AL406" s="39">
        <v>0</v>
      </c>
    </row>
    <row r="407" spans="1:38" x14ac:dyDescent="0.3">
      <c r="A407" s="40">
        <v>406</v>
      </c>
      <c r="B407" s="35" t="s">
        <v>237</v>
      </c>
      <c r="C407" s="35">
        <v>6394799</v>
      </c>
      <c r="D407" s="36" t="s">
        <v>747</v>
      </c>
      <c r="E407" s="35" t="s">
        <v>71</v>
      </c>
      <c r="F407" s="35" t="s">
        <v>587</v>
      </c>
      <c r="G407" s="35" t="s">
        <v>588</v>
      </c>
      <c r="H407" s="37" t="s">
        <v>748</v>
      </c>
      <c r="I407" s="38">
        <v>42736</v>
      </c>
      <c r="J407" s="38"/>
      <c r="K407" s="17"/>
      <c r="L407" s="38">
        <v>29983</v>
      </c>
      <c r="M407" s="35">
        <f ca="1">IF('Row data'!$J407="",DATEDIF('Row data'!$L407,TODAY(),"y"),"0")</f>
        <v>44</v>
      </c>
      <c r="N407" s="35" t="s">
        <v>75</v>
      </c>
      <c r="O407" s="35" t="s">
        <v>553</v>
      </c>
      <c r="P407" s="39" t="s">
        <v>554</v>
      </c>
      <c r="Q407" s="39">
        <v>13841</v>
      </c>
      <c r="R407" s="39">
        <v>13841</v>
      </c>
      <c r="S407" s="39">
        <v>7594</v>
      </c>
      <c r="T407" s="39">
        <v>3797</v>
      </c>
      <c r="U407" s="39">
        <v>750</v>
      </c>
      <c r="V407" s="39">
        <v>450</v>
      </c>
      <c r="W407" s="39">
        <v>0</v>
      </c>
      <c r="X407" s="39">
        <v>0</v>
      </c>
      <c r="Y407" s="39">
        <v>1250</v>
      </c>
      <c r="Z407" s="39">
        <v>450</v>
      </c>
      <c r="AA407" s="39">
        <v>350</v>
      </c>
      <c r="AB407" s="39">
        <v>0</v>
      </c>
      <c r="AC407" s="39">
        <v>0</v>
      </c>
      <c r="AD407" s="39">
        <v>0</v>
      </c>
      <c r="AE407" s="39">
        <v>0</v>
      </c>
      <c r="AF407" s="39">
        <v>0</v>
      </c>
      <c r="AG407" s="39">
        <v>0</v>
      </c>
      <c r="AH407" s="39">
        <v>0</v>
      </c>
      <c r="AI407" s="39">
        <v>0</v>
      </c>
      <c r="AJ407" s="39">
        <f>'Row data'!$S407+'Row data'!$T407+'Row data'!$U407+'Row data'!$W407+'Row data'!$X407+'Row data'!$Y407+'Row data'!$Z407+'Row data'!$AA407+'Row data'!$AB407+'Row data'!$AD407-'Row data'!$AC407-'Row data'!$AE407-'Row data'!$AF407-'Row data'!$AG407-'Row data'!$AH407-'Row data'!$AI407</f>
        <v>14191</v>
      </c>
      <c r="AK407" s="39">
        <v>14191</v>
      </c>
      <c r="AL407" s="39">
        <v>0</v>
      </c>
    </row>
    <row r="408" spans="1:38" x14ac:dyDescent="0.3">
      <c r="A408" s="40">
        <v>407</v>
      </c>
      <c r="B408" s="35" t="s">
        <v>237</v>
      </c>
      <c r="C408" s="35">
        <v>6311360</v>
      </c>
      <c r="D408" s="36" t="s">
        <v>749</v>
      </c>
      <c r="E408" s="35" t="s">
        <v>71</v>
      </c>
      <c r="F408" s="35" t="s">
        <v>587</v>
      </c>
      <c r="G408" s="35" t="s">
        <v>588</v>
      </c>
      <c r="H408" s="37" t="s">
        <v>748</v>
      </c>
      <c r="I408" s="38">
        <v>42828</v>
      </c>
      <c r="J408" s="38"/>
      <c r="K408" s="17"/>
      <c r="L408" s="38">
        <v>26665</v>
      </c>
      <c r="M408" s="35">
        <f ca="1">IF('Row data'!$J408="",DATEDIF('Row data'!$L408,TODAY(),"y"),"0")</f>
        <v>53</v>
      </c>
      <c r="N408" s="35" t="s">
        <v>75</v>
      </c>
      <c r="O408" s="35" t="s">
        <v>553</v>
      </c>
      <c r="P408" s="39" t="s">
        <v>554</v>
      </c>
      <c r="Q408" s="39">
        <v>13841</v>
      </c>
      <c r="R408" s="39">
        <v>13841</v>
      </c>
      <c r="S408" s="39">
        <v>7594</v>
      </c>
      <c r="T408" s="39">
        <v>3797</v>
      </c>
      <c r="U408" s="39">
        <v>750</v>
      </c>
      <c r="V408" s="39">
        <v>450</v>
      </c>
      <c r="W408" s="39">
        <v>0</v>
      </c>
      <c r="X408" s="39">
        <v>0</v>
      </c>
      <c r="Y408" s="39">
        <v>1250</v>
      </c>
      <c r="Z408" s="39">
        <v>450</v>
      </c>
      <c r="AA408" s="39">
        <v>350</v>
      </c>
      <c r="AB408" s="39">
        <v>0</v>
      </c>
      <c r="AC408" s="39">
        <v>0</v>
      </c>
      <c r="AD408" s="39">
        <v>0</v>
      </c>
      <c r="AE408" s="39">
        <v>0</v>
      </c>
      <c r="AF408" s="39">
        <v>0</v>
      </c>
      <c r="AG408" s="39">
        <v>0</v>
      </c>
      <c r="AH408" s="39">
        <v>0</v>
      </c>
      <c r="AI408" s="39">
        <v>0</v>
      </c>
      <c r="AJ408" s="39">
        <f>'Row data'!$S408+'Row data'!$T408+'Row data'!$U408+'Row data'!$W408+'Row data'!$X408+'Row data'!$Y408+'Row data'!$Z408+'Row data'!$AA408+'Row data'!$AB408+'Row data'!$AD408-'Row data'!$AC408-'Row data'!$AE408-'Row data'!$AF408-'Row data'!$AG408-'Row data'!$AH408-'Row data'!$AI408</f>
        <v>14191</v>
      </c>
      <c r="AK408" s="39">
        <v>14191</v>
      </c>
      <c r="AL408" s="39">
        <v>0</v>
      </c>
    </row>
    <row r="409" spans="1:38" x14ac:dyDescent="0.3">
      <c r="A409" s="40">
        <v>408</v>
      </c>
      <c r="B409" s="35" t="s">
        <v>237</v>
      </c>
      <c r="C409" s="35">
        <v>7472776</v>
      </c>
      <c r="D409" s="36" t="s">
        <v>750</v>
      </c>
      <c r="E409" s="35" t="s">
        <v>71</v>
      </c>
      <c r="F409" s="35" t="s">
        <v>587</v>
      </c>
      <c r="G409" s="35" t="s">
        <v>588</v>
      </c>
      <c r="H409" s="37" t="s">
        <v>746</v>
      </c>
      <c r="I409" s="38">
        <v>42736</v>
      </c>
      <c r="J409" s="38"/>
      <c r="K409" s="17"/>
      <c r="L409" s="38">
        <v>27395</v>
      </c>
      <c r="M409" s="35">
        <f ca="1">IF('Row data'!$J409="",DATEDIF('Row data'!$L409,TODAY(),"y"),"0")</f>
        <v>51</v>
      </c>
      <c r="N409" s="35" t="s">
        <v>75</v>
      </c>
      <c r="O409" s="35" t="s">
        <v>553</v>
      </c>
      <c r="P409" s="39" t="s">
        <v>554</v>
      </c>
      <c r="Q409" s="39">
        <v>13841</v>
      </c>
      <c r="R409" s="39">
        <v>13841</v>
      </c>
      <c r="S409" s="39">
        <v>7594</v>
      </c>
      <c r="T409" s="39">
        <v>3797</v>
      </c>
      <c r="U409" s="39">
        <v>750</v>
      </c>
      <c r="V409" s="39">
        <v>450</v>
      </c>
      <c r="W409" s="39">
        <v>0</v>
      </c>
      <c r="X409" s="39">
        <v>0</v>
      </c>
      <c r="Y409" s="39">
        <v>1250</v>
      </c>
      <c r="Z409" s="39">
        <v>450</v>
      </c>
      <c r="AA409" s="39">
        <v>350</v>
      </c>
      <c r="AB409" s="39">
        <v>0</v>
      </c>
      <c r="AC409" s="39">
        <v>0</v>
      </c>
      <c r="AD409" s="39">
        <v>0</v>
      </c>
      <c r="AE409" s="39">
        <v>0</v>
      </c>
      <c r="AF409" s="39">
        <v>0</v>
      </c>
      <c r="AG409" s="39">
        <v>0</v>
      </c>
      <c r="AH409" s="39">
        <v>0</v>
      </c>
      <c r="AI409" s="39">
        <v>0</v>
      </c>
      <c r="AJ409" s="39">
        <f>'Row data'!$S409+'Row data'!$T409+'Row data'!$U409+'Row data'!$W409+'Row data'!$X409+'Row data'!$Y409+'Row data'!$Z409+'Row data'!$AA409+'Row data'!$AB409+'Row data'!$AD409-'Row data'!$AC409-'Row data'!$AE409-'Row data'!$AF409-'Row data'!$AG409-'Row data'!$AH409-'Row data'!$AI409</f>
        <v>14191</v>
      </c>
      <c r="AK409" s="39">
        <v>14191</v>
      </c>
      <c r="AL409" s="39">
        <v>0</v>
      </c>
    </row>
    <row r="410" spans="1:38" x14ac:dyDescent="0.3">
      <c r="A410" s="40">
        <v>409</v>
      </c>
      <c r="B410" s="35" t="s">
        <v>237</v>
      </c>
      <c r="C410" s="35">
        <v>8756095</v>
      </c>
      <c r="D410" s="36" t="s">
        <v>751</v>
      </c>
      <c r="E410" s="35" t="s">
        <v>71</v>
      </c>
      <c r="F410" s="35" t="s">
        <v>587</v>
      </c>
      <c r="G410" s="35" t="s">
        <v>745</v>
      </c>
      <c r="H410" s="37" t="s">
        <v>752</v>
      </c>
      <c r="I410" s="38">
        <v>42737</v>
      </c>
      <c r="J410" s="38"/>
      <c r="K410" s="17"/>
      <c r="L410" s="38">
        <v>30653</v>
      </c>
      <c r="M410" s="35">
        <f ca="1">IF('Row data'!$J410="",DATEDIF('Row data'!$L410,TODAY(),"y"),"0")</f>
        <v>42</v>
      </c>
      <c r="N410" s="35" t="s">
        <v>75</v>
      </c>
      <c r="O410" s="35" t="s">
        <v>553</v>
      </c>
      <c r="P410" s="39" t="s">
        <v>554</v>
      </c>
      <c r="Q410" s="39">
        <v>13841</v>
      </c>
      <c r="R410" s="39">
        <v>13841</v>
      </c>
      <c r="S410" s="39">
        <v>7594</v>
      </c>
      <c r="T410" s="39">
        <v>3797</v>
      </c>
      <c r="U410" s="39">
        <v>750</v>
      </c>
      <c r="V410" s="39">
        <v>450</v>
      </c>
      <c r="W410" s="39">
        <v>0</v>
      </c>
      <c r="X410" s="39">
        <v>0</v>
      </c>
      <c r="Y410" s="39">
        <v>1250</v>
      </c>
      <c r="Z410" s="39">
        <v>450</v>
      </c>
      <c r="AA410" s="39">
        <v>0</v>
      </c>
      <c r="AB410" s="39">
        <v>0</v>
      </c>
      <c r="AC410" s="39">
        <v>0</v>
      </c>
      <c r="AD410" s="39">
        <v>0</v>
      </c>
      <c r="AE410" s="39">
        <v>0</v>
      </c>
      <c r="AF410" s="39">
        <v>0</v>
      </c>
      <c r="AG410" s="39">
        <v>0</v>
      </c>
      <c r="AH410" s="39">
        <v>0</v>
      </c>
      <c r="AI410" s="39">
        <v>0</v>
      </c>
      <c r="AJ410" s="39">
        <f>'Row data'!$S410+'Row data'!$T410+'Row data'!$U410+'Row data'!$W410+'Row data'!$X410+'Row data'!$Y410+'Row data'!$Z410+'Row data'!$AA410+'Row data'!$AB410+'Row data'!$AD410-'Row data'!$AC410-'Row data'!$AE410-'Row data'!$AF410-'Row data'!$AG410-'Row data'!$AH410-'Row data'!$AI410</f>
        <v>13841</v>
      </c>
      <c r="AK410" s="39">
        <v>13841</v>
      </c>
      <c r="AL410" s="39">
        <v>0</v>
      </c>
    </row>
    <row r="411" spans="1:38" x14ac:dyDescent="0.3">
      <c r="A411" s="40">
        <v>410</v>
      </c>
      <c r="B411" s="35" t="s">
        <v>237</v>
      </c>
      <c r="C411" s="35">
        <v>9620493</v>
      </c>
      <c r="D411" s="36" t="s">
        <v>753</v>
      </c>
      <c r="E411" s="35" t="s">
        <v>38</v>
      </c>
      <c r="F411" s="35" t="s">
        <v>291</v>
      </c>
      <c r="G411" s="35" t="s">
        <v>754</v>
      </c>
      <c r="H411" s="37" t="s">
        <v>755</v>
      </c>
      <c r="I411" s="38">
        <v>42736</v>
      </c>
      <c r="J411" s="38"/>
      <c r="K411" s="17"/>
      <c r="L411" s="38">
        <v>29983</v>
      </c>
      <c r="M411" s="35">
        <f ca="1">IF('Row data'!$J411="",DATEDIF('Row data'!$L411,TODAY(),"y"),"0")</f>
        <v>44</v>
      </c>
      <c r="N411" s="35" t="s">
        <v>42</v>
      </c>
      <c r="O411" s="35" t="s">
        <v>553</v>
      </c>
      <c r="P411" s="39" t="s">
        <v>554</v>
      </c>
      <c r="Q411" s="39">
        <v>13622</v>
      </c>
      <c r="R411" s="39">
        <v>13622</v>
      </c>
      <c r="S411" s="39">
        <v>7448</v>
      </c>
      <c r="T411" s="39">
        <v>3724</v>
      </c>
      <c r="U411" s="39">
        <v>750</v>
      </c>
      <c r="V411" s="39">
        <v>450</v>
      </c>
      <c r="W411" s="39">
        <v>0</v>
      </c>
      <c r="X411" s="39">
        <v>0</v>
      </c>
      <c r="Y411" s="39">
        <v>1250</v>
      </c>
      <c r="Z411" s="39">
        <v>450</v>
      </c>
      <c r="AA411" s="39">
        <v>0</v>
      </c>
      <c r="AB411" s="39">
        <v>0</v>
      </c>
      <c r="AC411" s="39">
        <v>0</v>
      </c>
      <c r="AD411" s="39">
        <v>0</v>
      </c>
      <c r="AE411" s="39">
        <v>0</v>
      </c>
      <c r="AF411" s="39">
        <v>0</v>
      </c>
      <c r="AG411" s="39">
        <v>0</v>
      </c>
      <c r="AH411" s="39">
        <v>0</v>
      </c>
      <c r="AI411" s="39">
        <v>0</v>
      </c>
      <c r="AJ411" s="39">
        <f>'Row data'!$S411+'Row data'!$T411+'Row data'!$U411+'Row data'!$W411+'Row data'!$X411+'Row data'!$Y411+'Row data'!$Z411+'Row data'!$AA411+'Row data'!$AB411+'Row data'!$AD411-'Row data'!$AC411-'Row data'!$AE411-'Row data'!$AF411-'Row data'!$AG411-'Row data'!$AH411-'Row data'!$AI411</f>
        <v>13622</v>
      </c>
      <c r="AK411" s="39">
        <v>13622</v>
      </c>
      <c r="AL411" s="39">
        <v>0</v>
      </c>
    </row>
    <row r="412" spans="1:38" x14ac:dyDescent="0.3">
      <c r="A412" s="40">
        <v>411</v>
      </c>
      <c r="B412" s="35" t="s">
        <v>237</v>
      </c>
      <c r="C412" s="35">
        <v>5574072</v>
      </c>
      <c r="D412" s="36" t="s">
        <v>756</v>
      </c>
      <c r="E412" s="35" t="s">
        <v>38</v>
      </c>
      <c r="F412" s="35" t="s">
        <v>291</v>
      </c>
      <c r="G412" s="35" t="s">
        <v>754</v>
      </c>
      <c r="H412" s="37" t="s">
        <v>746</v>
      </c>
      <c r="I412" s="38">
        <v>43142</v>
      </c>
      <c r="J412" s="38">
        <v>43831</v>
      </c>
      <c r="K412" s="17">
        <f>YEAR('Row data'!$J412)</f>
        <v>2020</v>
      </c>
      <c r="L412" s="38">
        <v>24487</v>
      </c>
      <c r="M412" s="35" t="str">
        <f ca="1">IF('Row data'!$J412="",DATEDIF('Row data'!$L412,TODAY(),"y"),"0")</f>
        <v>0</v>
      </c>
      <c r="N412" s="35" t="s">
        <v>42</v>
      </c>
      <c r="O412" s="35" t="s">
        <v>553</v>
      </c>
      <c r="P412" s="39" t="s">
        <v>554</v>
      </c>
      <c r="Q412" s="39">
        <v>13622</v>
      </c>
      <c r="R412" s="39">
        <v>13622</v>
      </c>
      <c r="S412" s="39">
        <v>7448</v>
      </c>
      <c r="T412" s="39">
        <v>3724</v>
      </c>
      <c r="U412" s="39">
        <v>750</v>
      </c>
      <c r="V412" s="39">
        <v>450</v>
      </c>
      <c r="W412" s="39">
        <v>0</v>
      </c>
      <c r="X412" s="39">
        <v>0</v>
      </c>
      <c r="Y412" s="39">
        <v>1250</v>
      </c>
      <c r="Z412" s="39">
        <v>450</v>
      </c>
      <c r="AA412" s="39">
        <v>350</v>
      </c>
      <c r="AB412" s="39">
        <v>0</v>
      </c>
      <c r="AC412" s="39">
        <v>0</v>
      </c>
      <c r="AD412" s="39">
        <v>0</v>
      </c>
      <c r="AE412" s="39">
        <v>0</v>
      </c>
      <c r="AF412" s="39">
        <v>0</v>
      </c>
      <c r="AG412" s="39">
        <v>0</v>
      </c>
      <c r="AH412" s="39">
        <v>0</v>
      </c>
      <c r="AI412" s="39">
        <v>0</v>
      </c>
      <c r="AJ412" s="39">
        <f>'Row data'!$S412+'Row data'!$T412+'Row data'!$U412+'Row data'!$W412+'Row data'!$X412+'Row data'!$Y412+'Row data'!$Z412+'Row data'!$AA412+'Row data'!$AB412+'Row data'!$AD412-'Row data'!$AC412-'Row data'!$AE412-'Row data'!$AF412-'Row data'!$AG412-'Row data'!$AH412-'Row data'!$AI412</f>
        <v>13972</v>
      </c>
      <c r="AK412" s="39">
        <v>13972</v>
      </c>
      <c r="AL412" s="39">
        <v>0</v>
      </c>
    </row>
    <row r="413" spans="1:38" x14ac:dyDescent="0.3">
      <c r="A413" s="40">
        <v>412</v>
      </c>
      <c r="B413" s="35" t="s">
        <v>237</v>
      </c>
      <c r="C413" s="35">
        <v>9901612</v>
      </c>
      <c r="D413" s="36" t="s">
        <v>757</v>
      </c>
      <c r="E413" s="35" t="s">
        <v>38</v>
      </c>
      <c r="F413" s="35" t="s">
        <v>291</v>
      </c>
      <c r="G413" s="35" t="s">
        <v>50</v>
      </c>
      <c r="H413" s="37" t="s">
        <v>758</v>
      </c>
      <c r="I413" s="38">
        <v>44570</v>
      </c>
      <c r="J413" s="38"/>
      <c r="K413" s="17"/>
      <c r="L413" s="38">
        <v>29457</v>
      </c>
      <c r="M413" s="35">
        <f ca="1">IF('Row data'!$J413="",DATEDIF('Row data'!$L413,TODAY(),"y"),"0")</f>
        <v>46</v>
      </c>
      <c r="N413" s="35" t="s">
        <v>42</v>
      </c>
      <c r="O413" s="35" t="s">
        <v>553</v>
      </c>
      <c r="P413" s="39" t="s">
        <v>554</v>
      </c>
      <c r="Q413" s="39">
        <v>13405</v>
      </c>
      <c r="R413" s="39">
        <v>13405</v>
      </c>
      <c r="S413" s="39">
        <v>7303</v>
      </c>
      <c r="T413" s="39">
        <v>3652</v>
      </c>
      <c r="U413" s="39">
        <v>750</v>
      </c>
      <c r="V413" s="39">
        <v>450</v>
      </c>
      <c r="W413" s="39">
        <v>0</v>
      </c>
      <c r="X413" s="39">
        <v>0</v>
      </c>
      <c r="Y413" s="39">
        <v>1250</v>
      </c>
      <c r="Z413" s="39">
        <v>450</v>
      </c>
      <c r="AA413" s="39">
        <v>350</v>
      </c>
      <c r="AB413" s="39">
        <v>0</v>
      </c>
      <c r="AC413" s="39">
        <v>0</v>
      </c>
      <c r="AD413" s="39">
        <v>0</v>
      </c>
      <c r="AE413" s="39">
        <v>0</v>
      </c>
      <c r="AF413" s="39">
        <v>0</v>
      </c>
      <c r="AG413" s="39">
        <v>0</v>
      </c>
      <c r="AH413" s="39">
        <v>0</v>
      </c>
      <c r="AI413" s="39">
        <v>0</v>
      </c>
      <c r="AJ413" s="39">
        <f>'Row data'!$S413+'Row data'!$T413+'Row data'!$U413+'Row data'!$W413+'Row data'!$X413+'Row data'!$Y413+'Row data'!$Z413+'Row data'!$AA413+'Row data'!$AB413+'Row data'!$AD413-'Row data'!$AC413-'Row data'!$AE413-'Row data'!$AF413-'Row data'!$AG413-'Row data'!$AH413-'Row data'!$AI413</f>
        <v>13755</v>
      </c>
      <c r="AK413" s="39">
        <v>13755</v>
      </c>
      <c r="AL413" s="39">
        <v>0</v>
      </c>
    </row>
    <row r="414" spans="1:38" x14ac:dyDescent="0.3">
      <c r="A414" s="40">
        <v>413</v>
      </c>
      <c r="B414" s="35" t="s">
        <v>237</v>
      </c>
      <c r="C414" s="35">
        <v>5413417</v>
      </c>
      <c r="D414" s="36" t="s">
        <v>759</v>
      </c>
      <c r="E414" s="35" t="s">
        <v>38</v>
      </c>
      <c r="F414" s="35" t="s">
        <v>291</v>
      </c>
      <c r="G414" s="35" t="s">
        <v>760</v>
      </c>
      <c r="H414" s="37" t="s">
        <v>746</v>
      </c>
      <c r="I414" s="38">
        <v>40526</v>
      </c>
      <c r="J414" s="38"/>
      <c r="K414" s="17"/>
      <c r="L414" s="38">
        <v>25204</v>
      </c>
      <c r="M414" s="35">
        <f ca="1">IF('Row data'!$J414="",DATEDIF('Row data'!$L414,TODAY(),"y"),"0")</f>
        <v>57</v>
      </c>
      <c r="N414" s="35" t="s">
        <v>42</v>
      </c>
      <c r="O414" s="35" t="s">
        <v>553</v>
      </c>
      <c r="P414" s="39" t="s">
        <v>554</v>
      </c>
      <c r="Q414" s="39">
        <v>16544</v>
      </c>
      <c r="R414" s="39">
        <v>16544</v>
      </c>
      <c r="S414" s="39">
        <v>9396</v>
      </c>
      <c r="T414" s="39">
        <v>4698</v>
      </c>
      <c r="U414" s="39">
        <v>750</v>
      </c>
      <c r="V414" s="39">
        <v>450</v>
      </c>
      <c r="W414" s="39">
        <v>0</v>
      </c>
      <c r="X414" s="39">
        <v>0</v>
      </c>
      <c r="Y414" s="39">
        <v>1250</v>
      </c>
      <c r="Z414" s="39">
        <v>450</v>
      </c>
      <c r="AA414" s="39">
        <v>250</v>
      </c>
      <c r="AB414" s="39">
        <v>0</v>
      </c>
      <c r="AC414" s="39">
        <v>0</v>
      </c>
      <c r="AD414" s="39">
        <v>0</v>
      </c>
      <c r="AE414" s="39">
        <v>0</v>
      </c>
      <c r="AF414" s="39">
        <v>0</v>
      </c>
      <c r="AG414" s="39">
        <v>0</v>
      </c>
      <c r="AH414" s="39">
        <v>0</v>
      </c>
      <c r="AI414" s="39">
        <v>0</v>
      </c>
      <c r="AJ414" s="39">
        <f>'Row data'!$S414+'Row data'!$T414+'Row data'!$U414+'Row data'!$W414+'Row data'!$X414+'Row data'!$Y414+'Row data'!$Z414+'Row data'!$AA414+'Row data'!$AB414+'Row data'!$AD414-'Row data'!$AC414-'Row data'!$AE414-'Row data'!$AF414-'Row data'!$AG414-'Row data'!$AH414-'Row data'!$AI414</f>
        <v>16794</v>
      </c>
      <c r="AK414" s="39">
        <v>16794</v>
      </c>
      <c r="AL414" s="39">
        <v>0</v>
      </c>
    </row>
    <row r="415" spans="1:38" x14ac:dyDescent="0.3">
      <c r="A415" s="40">
        <v>414</v>
      </c>
      <c r="B415" s="35" t="s">
        <v>237</v>
      </c>
      <c r="C415" s="35">
        <v>7839039</v>
      </c>
      <c r="D415" s="36" t="s">
        <v>761</v>
      </c>
      <c r="E415" s="35" t="s">
        <v>38</v>
      </c>
      <c r="F415" s="35" t="s">
        <v>294</v>
      </c>
      <c r="G415" s="35" t="s">
        <v>762</v>
      </c>
      <c r="H415" s="37"/>
      <c r="I415" s="38">
        <v>43344</v>
      </c>
      <c r="J415" s="38">
        <v>43831</v>
      </c>
      <c r="K415" s="17">
        <f>YEAR('Row data'!$J415)</f>
        <v>2020</v>
      </c>
      <c r="L415" s="38">
        <v>31413</v>
      </c>
      <c r="M415" s="35" t="str">
        <f ca="1">IF('Row data'!$J415="",DATEDIF('Row data'!$L415,TODAY(),"y"),"0")</f>
        <v>0</v>
      </c>
      <c r="N415" s="35" t="s">
        <v>42</v>
      </c>
      <c r="O415" s="35" t="s">
        <v>553</v>
      </c>
      <c r="P415" s="39" t="s">
        <v>554</v>
      </c>
      <c r="Q415" s="39">
        <v>13514</v>
      </c>
      <c r="R415" s="39">
        <v>13514</v>
      </c>
      <c r="S415" s="39">
        <v>7376</v>
      </c>
      <c r="T415" s="39">
        <v>3688</v>
      </c>
      <c r="U415" s="39">
        <v>750</v>
      </c>
      <c r="V415" s="39">
        <v>450</v>
      </c>
      <c r="W415" s="39">
        <v>0</v>
      </c>
      <c r="X415" s="39">
        <v>0</v>
      </c>
      <c r="Y415" s="39">
        <v>1250</v>
      </c>
      <c r="Z415" s="39">
        <v>450</v>
      </c>
      <c r="AA415" s="39">
        <v>350</v>
      </c>
      <c r="AB415" s="39">
        <v>0</v>
      </c>
      <c r="AC415" s="39">
        <v>0</v>
      </c>
      <c r="AD415" s="39">
        <v>0</v>
      </c>
      <c r="AE415" s="39">
        <v>0</v>
      </c>
      <c r="AF415" s="39">
        <v>0</v>
      </c>
      <c r="AG415" s="39">
        <v>0</v>
      </c>
      <c r="AH415" s="39">
        <v>0</v>
      </c>
      <c r="AI415" s="39">
        <v>0</v>
      </c>
      <c r="AJ415" s="39">
        <f>'Row data'!$S415+'Row data'!$T415+'Row data'!$U415+'Row data'!$W415+'Row data'!$X415+'Row data'!$Y415+'Row data'!$Z415+'Row data'!$AA415+'Row data'!$AB415+'Row data'!$AD415-'Row data'!$AC415-'Row data'!$AE415-'Row data'!$AF415-'Row data'!$AG415-'Row data'!$AH415-'Row data'!$AI415</f>
        <v>13864</v>
      </c>
      <c r="AK415" s="39">
        <v>13864</v>
      </c>
      <c r="AL415" s="39">
        <v>0</v>
      </c>
    </row>
    <row r="416" spans="1:38" x14ac:dyDescent="0.3">
      <c r="A416" s="40">
        <v>415</v>
      </c>
      <c r="B416" s="35" t="s">
        <v>237</v>
      </c>
      <c r="C416" s="35">
        <v>6905669</v>
      </c>
      <c r="D416" s="36" t="s">
        <v>763</v>
      </c>
      <c r="E416" s="35" t="s">
        <v>38</v>
      </c>
      <c r="F416" s="35" t="s">
        <v>294</v>
      </c>
      <c r="G416" s="35" t="s">
        <v>764</v>
      </c>
      <c r="H416" s="37" t="s">
        <v>752</v>
      </c>
      <c r="I416" s="38">
        <v>40728</v>
      </c>
      <c r="J416" s="38"/>
      <c r="K416" s="17"/>
      <c r="L416" s="38">
        <v>29953</v>
      </c>
      <c r="M416" s="35">
        <f ca="1">IF('Row data'!$J416="",DATEDIF('Row data'!$L416,TODAY(),"y"),"0")</f>
        <v>44</v>
      </c>
      <c r="N416" s="35" t="s">
        <v>42</v>
      </c>
      <c r="O416" s="35" t="s">
        <v>553</v>
      </c>
      <c r="P416" s="39" t="s">
        <v>554</v>
      </c>
      <c r="Q416" s="39">
        <v>17073</v>
      </c>
      <c r="R416" s="39">
        <v>13073</v>
      </c>
      <c r="S416" s="39">
        <v>9749</v>
      </c>
      <c r="T416" s="39">
        <v>4874</v>
      </c>
      <c r="U416" s="39">
        <v>750</v>
      </c>
      <c r="V416" s="39">
        <v>450</v>
      </c>
      <c r="W416" s="39">
        <v>0</v>
      </c>
      <c r="X416" s="39">
        <v>0</v>
      </c>
      <c r="Y416" s="39">
        <v>1250</v>
      </c>
      <c r="Z416" s="39">
        <v>450</v>
      </c>
      <c r="AA416" s="39">
        <v>250</v>
      </c>
      <c r="AB416" s="39">
        <v>0</v>
      </c>
      <c r="AC416" s="39">
        <v>-4000</v>
      </c>
      <c r="AD416" s="39">
        <v>0</v>
      </c>
      <c r="AE416" s="39">
        <v>0</v>
      </c>
      <c r="AF416" s="39">
        <v>0</v>
      </c>
      <c r="AG416" s="39">
        <v>1000</v>
      </c>
      <c r="AH416" s="39">
        <v>0</v>
      </c>
      <c r="AI416" s="39">
        <v>0</v>
      </c>
      <c r="AJ416" s="39">
        <f>'Row data'!$S416+'Row data'!$T416+'Row data'!$U416+'Row data'!$W416+'Row data'!$X416+'Row data'!$Y416+'Row data'!$Z416+'Row data'!$AA416+'Row data'!$AB416+'Row data'!$AD416-'Row data'!$AC416-'Row data'!$AE416-'Row data'!$AF416-'Row data'!$AG416-'Row data'!$AH416-'Row data'!$AI416</f>
        <v>20323</v>
      </c>
      <c r="AK416" s="39">
        <v>12323</v>
      </c>
      <c r="AL416" s="39">
        <v>0</v>
      </c>
    </row>
    <row r="417" spans="1:38" x14ac:dyDescent="0.3">
      <c r="A417" s="40">
        <v>416</v>
      </c>
      <c r="B417" s="35" t="s">
        <v>237</v>
      </c>
      <c r="C417" s="35">
        <v>6811491</v>
      </c>
      <c r="D417" s="36" t="s">
        <v>765</v>
      </c>
      <c r="E417" s="35" t="s">
        <v>38</v>
      </c>
      <c r="F417" s="35" t="s">
        <v>294</v>
      </c>
      <c r="G417" s="35" t="s">
        <v>766</v>
      </c>
      <c r="H417" s="37" t="s">
        <v>767</v>
      </c>
      <c r="I417" s="38">
        <v>42652</v>
      </c>
      <c r="J417" s="38"/>
      <c r="K417" s="17"/>
      <c r="L417" s="38">
        <v>35608</v>
      </c>
      <c r="M417" s="35">
        <f ca="1">IF('Row data'!$J417="",DATEDIF('Row data'!$L417,TODAY(),"y"),"0")</f>
        <v>29</v>
      </c>
      <c r="N417" s="35" t="s">
        <v>42</v>
      </c>
      <c r="O417" s="35" t="s">
        <v>553</v>
      </c>
      <c r="P417" s="39" t="s">
        <v>554</v>
      </c>
      <c r="Q417" s="39">
        <v>13405</v>
      </c>
      <c r="R417" s="39">
        <v>13405</v>
      </c>
      <c r="S417" s="39">
        <v>7303</v>
      </c>
      <c r="T417" s="39">
        <v>3652</v>
      </c>
      <c r="U417" s="39">
        <v>750</v>
      </c>
      <c r="V417" s="39">
        <v>450</v>
      </c>
      <c r="W417" s="39">
        <v>0</v>
      </c>
      <c r="X417" s="39">
        <v>0</v>
      </c>
      <c r="Y417" s="39">
        <v>1250</v>
      </c>
      <c r="Z417" s="39">
        <v>450</v>
      </c>
      <c r="AA417" s="39">
        <v>0</v>
      </c>
      <c r="AB417" s="39">
        <v>0</v>
      </c>
      <c r="AC417" s="39">
        <v>0</v>
      </c>
      <c r="AD417" s="39">
        <v>0</v>
      </c>
      <c r="AE417" s="39">
        <v>0</v>
      </c>
      <c r="AF417" s="39">
        <v>0</v>
      </c>
      <c r="AG417" s="39">
        <v>0</v>
      </c>
      <c r="AH417" s="39">
        <v>0</v>
      </c>
      <c r="AI417" s="39">
        <v>0</v>
      </c>
      <c r="AJ417" s="39">
        <f>'Row data'!$S417+'Row data'!$T417+'Row data'!$U417+'Row data'!$W417+'Row data'!$X417+'Row data'!$Y417+'Row data'!$Z417+'Row data'!$AA417+'Row data'!$AB417+'Row data'!$AD417-'Row data'!$AC417-'Row data'!$AE417-'Row data'!$AF417-'Row data'!$AG417-'Row data'!$AH417-'Row data'!$AI417</f>
        <v>13405</v>
      </c>
      <c r="AK417" s="39">
        <v>13405</v>
      </c>
      <c r="AL417" s="39">
        <v>0</v>
      </c>
    </row>
    <row r="418" spans="1:38" x14ac:dyDescent="0.3">
      <c r="A418" s="40">
        <v>417</v>
      </c>
      <c r="B418" s="35" t="s">
        <v>237</v>
      </c>
      <c r="C418" s="35">
        <v>9426595</v>
      </c>
      <c r="D418" s="36" t="s">
        <v>768</v>
      </c>
      <c r="E418" s="35" t="s">
        <v>38</v>
      </c>
      <c r="F418" s="35" t="s">
        <v>294</v>
      </c>
      <c r="G418" s="35" t="s">
        <v>764</v>
      </c>
      <c r="H418" s="37" t="s">
        <v>746</v>
      </c>
      <c r="I418" s="38">
        <v>42796</v>
      </c>
      <c r="J418" s="38"/>
      <c r="K418" s="17"/>
      <c r="L418" s="38">
        <v>33104</v>
      </c>
      <c r="M418" s="35">
        <f ca="1">IF('Row data'!$J418="",DATEDIF('Row data'!$L418,TODAY(),"y"),"0")</f>
        <v>36</v>
      </c>
      <c r="N418" s="35" t="s">
        <v>42</v>
      </c>
      <c r="O418" s="35" t="s">
        <v>553</v>
      </c>
      <c r="P418" s="39" t="s">
        <v>554</v>
      </c>
      <c r="Q418" s="39">
        <v>15337</v>
      </c>
      <c r="R418" s="39">
        <v>15337</v>
      </c>
      <c r="S418" s="39">
        <v>8591</v>
      </c>
      <c r="T418" s="39">
        <v>4296</v>
      </c>
      <c r="U418" s="39">
        <v>750</v>
      </c>
      <c r="V418" s="39">
        <v>450</v>
      </c>
      <c r="W418" s="39">
        <v>0</v>
      </c>
      <c r="X418" s="39">
        <v>0</v>
      </c>
      <c r="Y418" s="39">
        <v>1250</v>
      </c>
      <c r="Z418" s="39">
        <v>450</v>
      </c>
      <c r="AA418" s="39">
        <v>350</v>
      </c>
      <c r="AB418" s="39">
        <v>0</v>
      </c>
      <c r="AC418" s="39">
        <v>0</v>
      </c>
      <c r="AD418" s="39">
        <v>0</v>
      </c>
      <c r="AE418" s="39">
        <v>0</v>
      </c>
      <c r="AF418" s="39">
        <v>0</v>
      </c>
      <c r="AG418" s="39">
        <v>0</v>
      </c>
      <c r="AH418" s="39">
        <v>0</v>
      </c>
      <c r="AI418" s="39">
        <v>0</v>
      </c>
      <c r="AJ418" s="39">
        <f>'Row data'!$S418+'Row data'!$T418+'Row data'!$U418+'Row data'!$W418+'Row data'!$X418+'Row data'!$Y418+'Row data'!$Z418+'Row data'!$AA418+'Row data'!$AB418+'Row data'!$AD418-'Row data'!$AC418-'Row data'!$AE418-'Row data'!$AF418-'Row data'!$AG418-'Row data'!$AH418-'Row data'!$AI418</f>
        <v>15687</v>
      </c>
      <c r="AK418" s="39">
        <v>15687</v>
      </c>
      <c r="AL418" s="39">
        <v>0</v>
      </c>
    </row>
    <row r="419" spans="1:38" x14ac:dyDescent="0.3">
      <c r="A419" s="40">
        <v>418</v>
      </c>
      <c r="B419" s="35" t="s">
        <v>237</v>
      </c>
      <c r="C419" s="35">
        <v>8724759</v>
      </c>
      <c r="D419" s="36" t="s">
        <v>769</v>
      </c>
      <c r="E419" s="35" t="s">
        <v>38</v>
      </c>
      <c r="F419" s="35" t="s">
        <v>294</v>
      </c>
      <c r="G419" s="35" t="s">
        <v>764</v>
      </c>
      <c r="H419" s="37" t="s">
        <v>746</v>
      </c>
      <c r="I419" s="38">
        <v>42919</v>
      </c>
      <c r="J419" s="38"/>
      <c r="K419" s="17"/>
      <c r="L419" s="38">
        <v>33531</v>
      </c>
      <c r="M419" s="35">
        <f ca="1">IF('Row data'!$J419="",DATEDIF('Row data'!$L419,TODAY(),"y"),"0")</f>
        <v>34</v>
      </c>
      <c r="N419" s="35" t="s">
        <v>42</v>
      </c>
      <c r="O419" s="35" t="s">
        <v>553</v>
      </c>
      <c r="P419" s="39" t="s">
        <v>554</v>
      </c>
      <c r="Q419" s="39">
        <v>15337</v>
      </c>
      <c r="R419" s="39">
        <v>14723</v>
      </c>
      <c r="S419" s="39">
        <v>8591</v>
      </c>
      <c r="T419" s="39">
        <v>4296</v>
      </c>
      <c r="U419" s="39">
        <v>750</v>
      </c>
      <c r="V419" s="39">
        <v>450</v>
      </c>
      <c r="W419" s="39">
        <v>0</v>
      </c>
      <c r="X419" s="39">
        <v>0</v>
      </c>
      <c r="Y419" s="39">
        <v>1250</v>
      </c>
      <c r="Z419" s="39">
        <v>450</v>
      </c>
      <c r="AA419" s="39">
        <v>0</v>
      </c>
      <c r="AB419" s="39">
        <v>0</v>
      </c>
      <c r="AC419" s="39">
        <v>0</v>
      </c>
      <c r="AD419" s="39">
        <v>0</v>
      </c>
      <c r="AE419" s="39">
        <v>614</v>
      </c>
      <c r="AF419" s="39">
        <v>0</v>
      </c>
      <c r="AG419" s="39">
        <v>0</v>
      </c>
      <c r="AH419" s="39">
        <v>0</v>
      </c>
      <c r="AI419" s="39">
        <v>0</v>
      </c>
      <c r="AJ419" s="39">
        <f>'Row data'!$S419+'Row data'!$T419+'Row data'!$U419+'Row data'!$W419+'Row data'!$X419+'Row data'!$Y419+'Row data'!$Z419+'Row data'!$AA419+'Row data'!$AB419+'Row data'!$AD419-'Row data'!$AC419-'Row data'!$AE419-'Row data'!$AF419-'Row data'!$AG419-'Row data'!$AH419-'Row data'!$AI419</f>
        <v>14723</v>
      </c>
      <c r="AK419" s="39">
        <v>14723</v>
      </c>
      <c r="AL419" s="39">
        <v>0</v>
      </c>
    </row>
    <row r="420" spans="1:38" x14ac:dyDescent="0.3">
      <c r="A420" s="40">
        <v>419</v>
      </c>
      <c r="B420" s="35" t="s">
        <v>237</v>
      </c>
      <c r="C420" s="35">
        <v>7458673</v>
      </c>
      <c r="D420" s="36" t="s">
        <v>770</v>
      </c>
      <c r="E420" s="35" t="s">
        <v>38</v>
      </c>
      <c r="F420" s="35" t="s">
        <v>294</v>
      </c>
      <c r="G420" s="35" t="s">
        <v>766</v>
      </c>
      <c r="H420" s="37" t="s">
        <v>771</v>
      </c>
      <c r="I420" s="38">
        <v>43040</v>
      </c>
      <c r="J420" s="38"/>
      <c r="K420" s="17"/>
      <c r="L420" s="38">
        <v>35814</v>
      </c>
      <c r="M420" s="35">
        <f ca="1">IF('Row data'!$J420="",DATEDIF('Row data'!$L420,TODAY(),"y"),"0")</f>
        <v>28</v>
      </c>
      <c r="N420" s="35" t="s">
        <v>42</v>
      </c>
      <c r="O420" s="35" t="s">
        <v>553</v>
      </c>
      <c r="P420" s="39" t="s">
        <v>554</v>
      </c>
      <c r="Q420" s="39">
        <v>13405</v>
      </c>
      <c r="R420" s="39">
        <v>13405</v>
      </c>
      <c r="S420" s="39">
        <v>7303</v>
      </c>
      <c r="T420" s="39">
        <v>3652</v>
      </c>
      <c r="U420" s="39">
        <v>750</v>
      </c>
      <c r="V420" s="39">
        <v>450</v>
      </c>
      <c r="W420" s="39">
        <v>0</v>
      </c>
      <c r="X420" s="39">
        <v>0</v>
      </c>
      <c r="Y420" s="39">
        <v>1250</v>
      </c>
      <c r="Z420" s="39">
        <v>450</v>
      </c>
      <c r="AA420" s="39">
        <v>350</v>
      </c>
      <c r="AB420" s="39">
        <v>0</v>
      </c>
      <c r="AC420" s="39">
        <v>0</v>
      </c>
      <c r="AD420" s="39">
        <v>0</v>
      </c>
      <c r="AE420" s="39">
        <v>0</v>
      </c>
      <c r="AF420" s="39">
        <v>0</v>
      </c>
      <c r="AG420" s="39">
        <v>0</v>
      </c>
      <c r="AH420" s="39">
        <v>0</v>
      </c>
      <c r="AI420" s="39">
        <v>0</v>
      </c>
      <c r="AJ420" s="39">
        <f>'Row data'!$S420+'Row data'!$T420+'Row data'!$U420+'Row data'!$W420+'Row data'!$X420+'Row data'!$Y420+'Row data'!$Z420+'Row data'!$AA420+'Row data'!$AB420+'Row data'!$AD420-'Row data'!$AC420-'Row data'!$AE420-'Row data'!$AF420-'Row data'!$AG420-'Row data'!$AH420-'Row data'!$AI420</f>
        <v>13755</v>
      </c>
      <c r="AK420" s="39">
        <v>13755</v>
      </c>
      <c r="AL420" s="39">
        <v>0</v>
      </c>
    </row>
    <row r="421" spans="1:38" x14ac:dyDescent="0.3">
      <c r="A421" s="40">
        <v>420</v>
      </c>
      <c r="B421" s="35" t="s">
        <v>237</v>
      </c>
      <c r="C421" s="35">
        <v>6009110</v>
      </c>
      <c r="D421" s="36" t="s">
        <v>772</v>
      </c>
      <c r="E421" s="35" t="s">
        <v>38</v>
      </c>
      <c r="F421" s="35" t="s">
        <v>300</v>
      </c>
      <c r="G421" s="35" t="s">
        <v>50</v>
      </c>
      <c r="H421" s="37"/>
      <c r="I421" s="38">
        <v>44842</v>
      </c>
      <c r="J421" s="38">
        <v>43831</v>
      </c>
      <c r="K421" s="17">
        <f>YEAR('Row data'!$J421)</f>
        <v>2020</v>
      </c>
      <c r="L421" s="38">
        <v>1</v>
      </c>
      <c r="M421" s="35" t="str">
        <f ca="1">IF('Row data'!$J421="",DATEDIF('Row data'!$L421,TODAY(),"y"),"0")</f>
        <v>0</v>
      </c>
      <c r="N421" s="35" t="s">
        <v>42</v>
      </c>
      <c r="O421" s="35" t="s">
        <v>553</v>
      </c>
      <c r="P421" s="39" t="s">
        <v>554</v>
      </c>
      <c r="Q421" s="39">
        <v>13405</v>
      </c>
      <c r="R421" s="39">
        <v>13405</v>
      </c>
      <c r="S421" s="39">
        <v>7303</v>
      </c>
      <c r="T421" s="39">
        <v>3652</v>
      </c>
      <c r="U421" s="39">
        <v>750</v>
      </c>
      <c r="V421" s="39">
        <v>450</v>
      </c>
      <c r="W421" s="39">
        <v>0</v>
      </c>
      <c r="X421" s="39">
        <v>0</v>
      </c>
      <c r="Y421" s="39">
        <v>1250</v>
      </c>
      <c r="Z421" s="39">
        <v>450</v>
      </c>
      <c r="AA421" s="39">
        <v>350</v>
      </c>
      <c r="AB421" s="39">
        <v>0</v>
      </c>
      <c r="AC421" s="39">
        <v>0</v>
      </c>
      <c r="AD421" s="39">
        <v>0</v>
      </c>
      <c r="AE421" s="39">
        <v>0</v>
      </c>
      <c r="AF421" s="39">
        <v>0</v>
      </c>
      <c r="AG421" s="39">
        <v>0</v>
      </c>
      <c r="AH421" s="39">
        <v>0</v>
      </c>
      <c r="AI421" s="39">
        <v>0</v>
      </c>
      <c r="AJ421" s="39">
        <f>'Row data'!$S421+'Row data'!$T421+'Row data'!$U421+'Row data'!$W421+'Row data'!$X421+'Row data'!$Y421+'Row data'!$Z421+'Row data'!$AA421+'Row data'!$AB421+'Row data'!$AD421-'Row data'!$AC421-'Row data'!$AE421-'Row data'!$AF421-'Row data'!$AG421-'Row data'!$AH421-'Row data'!$AI421</f>
        <v>13755</v>
      </c>
      <c r="AK421" s="39">
        <v>13755</v>
      </c>
      <c r="AL421" s="39">
        <v>0</v>
      </c>
    </row>
    <row r="422" spans="1:38" x14ac:dyDescent="0.3">
      <c r="A422" s="40">
        <v>421</v>
      </c>
      <c r="B422" s="35" t="s">
        <v>237</v>
      </c>
      <c r="C422" s="35">
        <v>7119772</v>
      </c>
      <c r="D422" s="36" t="s">
        <v>773</v>
      </c>
      <c r="E422" s="35" t="s">
        <v>38</v>
      </c>
      <c r="F422" s="35" t="s">
        <v>300</v>
      </c>
      <c r="G422" s="35" t="s">
        <v>170</v>
      </c>
      <c r="H422" s="37" t="s">
        <v>774</v>
      </c>
      <c r="I422" s="38">
        <v>44236</v>
      </c>
      <c r="J422" s="38"/>
      <c r="K422" s="17"/>
      <c r="L422" s="38">
        <v>37288</v>
      </c>
      <c r="M422" s="35">
        <f ca="1">IF('Row data'!$J422="",DATEDIF('Row data'!$L422,TODAY(),"y"),"0")</f>
        <v>24</v>
      </c>
      <c r="N422" s="35" t="s">
        <v>42</v>
      </c>
      <c r="O422" s="35" t="s">
        <v>553</v>
      </c>
      <c r="P422" s="39" t="s">
        <v>554</v>
      </c>
      <c r="Q422" s="39">
        <v>13405</v>
      </c>
      <c r="R422" s="39">
        <v>13405</v>
      </c>
      <c r="S422" s="39">
        <v>7303</v>
      </c>
      <c r="T422" s="39">
        <v>3652</v>
      </c>
      <c r="U422" s="39">
        <v>750</v>
      </c>
      <c r="V422" s="39">
        <v>450</v>
      </c>
      <c r="W422" s="39">
        <v>0</v>
      </c>
      <c r="X422" s="39">
        <v>0</v>
      </c>
      <c r="Y422" s="39">
        <v>1250</v>
      </c>
      <c r="Z422" s="39">
        <v>450</v>
      </c>
      <c r="AA422" s="39">
        <v>350</v>
      </c>
      <c r="AB422" s="39">
        <v>0</v>
      </c>
      <c r="AC422" s="39">
        <v>0</v>
      </c>
      <c r="AD422" s="39">
        <v>0</v>
      </c>
      <c r="AE422" s="39">
        <v>0</v>
      </c>
      <c r="AF422" s="39">
        <v>0</v>
      </c>
      <c r="AG422" s="39">
        <v>0</v>
      </c>
      <c r="AH422" s="39">
        <v>0</v>
      </c>
      <c r="AI422" s="39">
        <v>0</v>
      </c>
      <c r="AJ422" s="39">
        <f>'Row data'!$S422+'Row data'!$T422+'Row data'!$U422+'Row data'!$W422+'Row data'!$X422+'Row data'!$Y422+'Row data'!$Z422+'Row data'!$AA422+'Row data'!$AB422+'Row data'!$AD422-'Row data'!$AC422-'Row data'!$AE422-'Row data'!$AF422-'Row data'!$AG422-'Row data'!$AH422-'Row data'!$AI422</f>
        <v>13755</v>
      </c>
      <c r="AK422" s="39">
        <v>13755</v>
      </c>
      <c r="AL422" s="39">
        <v>0</v>
      </c>
    </row>
    <row r="423" spans="1:38" x14ac:dyDescent="0.3">
      <c r="A423" s="40">
        <v>422</v>
      </c>
      <c r="B423" s="35" t="s">
        <v>237</v>
      </c>
      <c r="C423" s="35">
        <v>7690989</v>
      </c>
      <c r="D423" s="36" t="s">
        <v>775</v>
      </c>
      <c r="E423" s="35" t="s">
        <v>38</v>
      </c>
      <c r="F423" s="35" t="s">
        <v>300</v>
      </c>
      <c r="G423" s="35" t="s">
        <v>170</v>
      </c>
      <c r="H423" s="37" t="s">
        <v>776</v>
      </c>
      <c r="I423" s="38">
        <v>44240</v>
      </c>
      <c r="J423" s="38"/>
      <c r="K423" s="17"/>
      <c r="L423" s="38">
        <v>35353</v>
      </c>
      <c r="M423" s="35">
        <f ca="1">IF('Row data'!$J423="",DATEDIF('Row data'!$L423,TODAY(),"y"),"0")</f>
        <v>29</v>
      </c>
      <c r="N423" s="35" t="s">
        <v>42</v>
      </c>
      <c r="O423" s="35" t="s">
        <v>553</v>
      </c>
      <c r="P423" s="39" t="s">
        <v>554</v>
      </c>
      <c r="Q423" s="39">
        <v>13405</v>
      </c>
      <c r="R423" s="39">
        <v>13405</v>
      </c>
      <c r="S423" s="39">
        <v>7303</v>
      </c>
      <c r="T423" s="39">
        <v>3652</v>
      </c>
      <c r="U423" s="39">
        <v>750</v>
      </c>
      <c r="V423" s="39">
        <v>450</v>
      </c>
      <c r="W423" s="39">
        <v>0</v>
      </c>
      <c r="X423" s="39">
        <v>0</v>
      </c>
      <c r="Y423" s="39">
        <v>1250</v>
      </c>
      <c r="Z423" s="39">
        <v>450</v>
      </c>
      <c r="AA423" s="39">
        <v>0</v>
      </c>
      <c r="AB423" s="39">
        <v>0</v>
      </c>
      <c r="AC423" s="39">
        <v>0</v>
      </c>
      <c r="AD423" s="39">
        <v>0</v>
      </c>
      <c r="AE423" s="39">
        <v>0</v>
      </c>
      <c r="AF423" s="39">
        <v>0</v>
      </c>
      <c r="AG423" s="39">
        <v>0</v>
      </c>
      <c r="AH423" s="39">
        <v>0</v>
      </c>
      <c r="AI423" s="39">
        <v>0</v>
      </c>
      <c r="AJ423" s="39">
        <f>'Row data'!$S423+'Row data'!$T423+'Row data'!$U423+'Row data'!$W423+'Row data'!$X423+'Row data'!$Y423+'Row data'!$Z423+'Row data'!$AA423+'Row data'!$AB423+'Row data'!$AD423-'Row data'!$AC423-'Row data'!$AE423-'Row data'!$AF423-'Row data'!$AG423-'Row data'!$AH423-'Row data'!$AI423</f>
        <v>13405</v>
      </c>
      <c r="AK423" s="39">
        <v>13405</v>
      </c>
      <c r="AL423" s="39">
        <v>0</v>
      </c>
    </row>
    <row r="424" spans="1:38" x14ac:dyDescent="0.3">
      <c r="A424" s="40">
        <v>423</v>
      </c>
      <c r="B424" s="35" t="s">
        <v>237</v>
      </c>
      <c r="C424" s="35">
        <v>7258858</v>
      </c>
      <c r="D424" s="36" t="s">
        <v>777</v>
      </c>
      <c r="E424" s="35" t="s">
        <v>38</v>
      </c>
      <c r="F424" s="35" t="s">
        <v>300</v>
      </c>
      <c r="G424" s="35" t="s">
        <v>170</v>
      </c>
      <c r="H424" s="37" t="s">
        <v>778</v>
      </c>
      <c r="I424" s="38">
        <v>44262</v>
      </c>
      <c r="J424" s="38"/>
      <c r="K424" s="17"/>
      <c r="L424" s="38">
        <v>34820</v>
      </c>
      <c r="M424" s="35">
        <f ca="1">IF('Row data'!$J424="",DATEDIF('Row data'!$L424,TODAY(),"y"),"0")</f>
        <v>31</v>
      </c>
      <c r="N424" s="35" t="s">
        <v>42</v>
      </c>
      <c r="O424" s="35" t="s">
        <v>553</v>
      </c>
      <c r="P424" s="39" t="s">
        <v>554</v>
      </c>
      <c r="Q424" s="39">
        <v>13405</v>
      </c>
      <c r="R424" s="39">
        <v>13144</v>
      </c>
      <c r="S424" s="39">
        <v>7303</v>
      </c>
      <c r="T424" s="39">
        <v>3652</v>
      </c>
      <c r="U424" s="39">
        <v>750</v>
      </c>
      <c r="V424" s="39">
        <v>450</v>
      </c>
      <c r="W424" s="39">
        <v>0</v>
      </c>
      <c r="X424" s="39">
        <v>0</v>
      </c>
      <c r="Y424" s="39">
        <v>1250</v>
      </c>
      <c r="Z424" s="39">
        <v>450</v>
      </c>
      <c r="AA424" s="39">
        <v>0</v>
      </c>
      <c r="AB424" s="39">
        <v>0</v>
      </c>
      <c r="AC424" s="39">
        <v>0</v>
      </c>
      <c r="AD424" s="39">
        <v>0</v>
      </c>
      <c r="AE424" s="39">
        <v>261</v>
      </c>
      <c r="AF424" s="39">
        <v>0</v>
      </c>
      <c r="AG424" s="39">
        <v>0</v>
      </c>
      <c r="AH424" s="39">
        <v>0</v>
      </c>
      <c r="AI424" s="39">
        <v>0</v>
      </c>
      <c r="AJ424" s="39">
        <f>'Row data'!$S424+'Row data'!$T424+'Row data'!$U424+'Row data'!$W424+'Row data'!$X424+'Row data'!$Y424+'Row data'!$Z424+'Row data'!$AA424+'Row data'!$AB424+'Row data'!$AD424-'Row data'!$AC424-'Row data'!$AE424-'Row data'!$AF424-'Row data'!$AG424-'Row data'!$AH424-'Row data'!$AI424</f>
        <v>13144</v>
      </c>
      <c r="AK424" s="39">
        <v>13144</v>
      </c>
      <c r="AL424" s="39">
        <v>0</v>
      </c>
    </row>
    <row r="425" spans="1:38" x14ac:dyDescent="0.3">
      <c r="A425" s="40">
        <v>424</v>
      </c>
      <c r="B425" s="35" t="s">
        <v>237</v>
      </c>
      <c r="C425" s="35">
        <v>6647371</v>
      </c>
      <c r="D425" s="36" t="s">
        <v>779</v>
      </c>
      <c r="E425" s="35" t="s">
        <v>38</v>
      </c>
      <c r="F425" s="35" t="s">
        <v>300</v>
      </c>
      <c r="G425" s="35" t="s">
        <v>170</v>
      </c>
      <c r="H425" s="37" t="s">
        <v>780</v>
      </c>
      <c r="I425" s="38">
        <v>44256</v>
      </c>
      <c r="J425" s="38"/>
      <c r="K425" s="17"/>
      <c r="L425" s="38">
        <v>35571</v>
      </c>
      <c r="M425" s="35">
        <f ca="1">IF('Row data'!$J425="",DATEDIF('Row data'!$L425,TODAY(),"y"),"0")</f>
        <v>29</v>
      </c>
      <c r="N425" s="35" t="s">
        <v>42</v>
      </c>
      <c r="O425" s="35" t="s">
        <v>553</v>
      </c>
      <c r="P425" s="39" t="s">
        <v>554</v>
      </c>
      <c r="Q425" s="39">
        <v>13405</v>
      </c>
      <c r="R425" s="39">
        <v>13144</v>
      </c>
      <c r="S425" s="39">
        <v>7303</v>
      </c>
      <c r="T425" s="39">
        <v>3652</v>
      </c>
      <c r="U425" s="39">
        <v>750</v>
      </c>
      <c r="V425" s="39">
        <v>450</v>
      </c>
      <c r="W425" s="39">
        <v>0</v>
      </c>
      <c r="X425" s="39">
        <v>0</v>
      </c>
      <c r="Y425" s="39">
        <v>1250</v>
      </c>
      <c r="Z425" s="39">
        <v>450</v>
      </c>
      <c r="AA425" s="39">
        <v>0</v>
      </c>
      <c r="AB425" s="39">
        <v>0</v>
      </c>
      <c r="AC425" s="39">
        <v>0</v>
      </c>
      <c r="AD425" s="39">
        <v>0</v>
      </c>
      <c r="AE425" s="39">
        <v>261</v>
      </c>
      <c r="AF425" s="39">
        <v>0</v>
      </c>
      <c r="AG425" s="39">
        <v>0</v>
      </c>
      <c r="AH425" s="39">
        <v>0</v>
      </c>
      <c r="AI425" s="39">
        <v>0</v>
      </c>
      <c r="AJ425" s="39">
        <f>'Row data'!$S425+'Row data'!$T425+'Row data'!$U425+'Row data'!$W425+'Row data'!$X425+'Row data'!$Y425+'Row data'!$Z425+'Row data'!$AA425+'Row data'!$AB425+'Row data'!$AD425-'Row data'!$AC425-'Row data'!$AE425-'Row data'!$AF425-'Row data'!$AG425-'Row data'!$AH425-'Row data'!$AI425</f>
        <v>13144</v>
      </c>
      <c r="AK425" s="39">
        <v>13144</v>
      </c>
      <c r="AL425" s="39">
        <v>0</v>
      </c>
    </row>
    <row r="426" spans="1:38" x14ac:dyDescent="0.3">
      <c r="A426" s="40">
        <v>425</v>
      </c>
      <c r="B426" s="35" t="s">
        <v>237</v>
      </c>
      <c r="C426" s="35">
        <v>5114610</v>
      </c>
      <c r="D426" s="36" t="s">
        <v>781</v>
      </c>
      <c r="E426" s="35" t="s">
        <v>38</v>
      </c>
      <c r="F426" s="35" t="s">
        <v>300</v>
      </c>
      <c r="G426" s="35" t="s">
        <v>595</v>
      </c>
      <c r="H426" s="37" t="s">
        <v>782</v>
      </c>
      <c r="I426" s="38">
        <v>41396</v>
      </c>
      <c r="J426" s="38"/>
      <c r="K426" s="17"/>
      <c r="L426" s="38">
        <v>26334</v>
      </c>
      <c r="M426" s="35">
        <f ca="1">IF('Row data'!$J426="",DATEDIF('Row data'!$L426,TODAY(),"y"),"0")</f>
        <v>54</v>
      </c>
      <c r="N426" s="35" t="s">
        <v>42</v>
      </c>
      <c r="O426" s="35" t="s">
        <v>553</v>
      </c>
      <c r="P426" s="39" t="s">
        <v>554</v>
      </c>
      <c r="Q426" s="39">
        <v>15368</v>
      </c>
      <c r="R426" s="39">
        <v>15368</v>
      </c>
      <c r="S426" s="39">
        <v>8612</v>
      </c>
      <c r="T426" s="39">
        <v>4306</v>
      </c>
      <c r="U426" s="39">
        <v>750</v>
      </c>
      <c r="V426" s="39">
        <v>450</v>
      </c>
      <c r="W426" s="39">
        <v>0</v>
      </c>
      <c r="X426" s="39">
        <v>0</v>
      </c>
      <c r="Y426" s="39">
        <v>1250</v>
      </c>
      <c r="Z426" s="39">
        <v>450</v>
      </c>
      <c r="AA426" s="39">
        <v>350</v>
      </c>
      <c r="AB426" s="39">
        <v>0</v>
      </c>
      <c r="AC426" s="39">
        <v>0</v>
      </c>
      <c r="AD426" s="39">
        <v>0</v>
      </c>
      <c r="AE426" s="39">
        <v>0</v>
      </c>
      <c r="AF426" s="39">
        <v>0</v>
      </c>
      <c r="AG426" s="39">
        <v>0</v>
      </c>
      <c r="AH426" s="39">
        <v>0</v>
      </c>
      <c r="AI426" s="39">
        <v>0</v>
      </c>
      <c r="AJ426" s="39">
        <f>'Row data'!$S426+'Row data'!$T426+'Row data'!$U426+'Row data'!$W426+'Row data'!$X426+'Row data'!$Y426+'Row data'!$Z426+'Row data'!$AA426+'Row data'!$AB426+'Row data'!$AD426-'Row data'!$AC426-'Row data'!$AE426-'Row data'!$AF426-'Row data'!$AG426-'Row data'!$AH426-'Row data'!$AI426</f>
        <v>15718</v>
      </c>
      <c r="AK426" s="39">
        <v>15718</v>
      </c>
      <c r="AL426" s="39">
        <v>0</v>
      </c>
    </row>
    <row r="427" spans="1:38" x14ac:dyDescent="0.3">
      <c r="A427" s="40">
        <v>426</v>
      </c>
      <c r="B427" s="35" t="s">
        <v>237</v>
      </c>
      <c r="C427" s="35">
        <v>6754826</v>
      </c>
      <c r="D427" s="36" t="s">
        <v>783</v>
      </c>
      <c r="E427" s="35" t="s">
        <v>38</v>
      </c>
      <c r="F427" s="35" t="s">
        <v>300</v>
      </c>
      <c r="G427" s="35" t="s">
        <v>784</v>
      </c>
      <c r="H427" s="37" t="s">
        <v>776</v>
      </c>
      <c r="I427" s="38">
        <v>43010</v>
      </c>
      <c r="J427" s="38"/>
      <c r="K427" s="17"/>
      <c r="L427" s="38">
        <v>30766</v>
      </c>
      <c r="M427" s="35">
        <f ca="1">IF('Row data'!$J427="",DATEDIF('Row data'!$L427,TODAY(),"y"),"0")</f>
        <v>42</v>
      </c>
      <c r="N427" s="35" t="s">
        <v>42</v>
      </c>
      <c r="O427" s="35" t="s">
        <v>553</v>
      </c>
      <c r="P427" s="39" t="s">
        <v>554</v>
      </c>
      <c r="Q427" s="39">
        <v>13458</v>
      </c>
      <c r="R427" s="39">
        <v>13196</v>
      </c>
      <c r="S427" s="39">
        <v>7339</v>
      </c>
      <c r="T427" s="39">
        <v>3669</v>
      </c>
      <c r="U427" s="39">
        <v>750</v>
      </c>
      <c r="V427" s="39">
        <v>450</v>
      </c>
      <c r="W427" s="39">
        <v>0</v>
      </c>
      <c r="X427" s="39">
        <v>0</v>
      </c>
      <c r="Y427" s="39">
        <v>1250</v>
      </c>
      <c r="Z427" s="39">
        <v>450</v>
      </c>
      <c r="AA427" s="39">
        <v>0</v>
      </c>
      <c r="AB427" s="39">
        <v>0</v>
      </c>
      <c r="AC427" s="39">
        <v>0</v>
      </c>
      <c r="AD427" s="39">
        <v>0</v>
      </c>
      <c r="AE427" s="39">
        <v>262</v>
      </c>
      <c r="AF427" s="39">
        <v>0</v>
      </c>
      <c r="AG427" s="39">
        <v>0</v>
      </c>
      <c r="AH427" s="39">
        <v>0</v>
      </c>
      <c r="AI427" s="39">
        <v>0</v>
      </c>
      <c r="AJ427" s="39">
        <f>'Row data'!$S427+'Row data'!$T427+'Row data'!$U427+'Row data'!$W427+'Row data'!$X427+'Row data'!$Y427+'Row data'!$Z427+'Row data'!$AA427+'Row data'!$AB427+'Row data'!$AD427-'Row data'!$AC427-'Row data'!$AE427-'Row data'!$AF427-'Row data'!$AG427-'Row data'!$AH427-'Row data'!$AI427</f>
        <v>13196</v>
      </c>
      <c r="AK427" s="39">
        <v>13196</v>
      </c>
      <c r="AL427" s="39">
        <v>0</v>
      </c>
    </row>
    <row r="428" spans="1:38" x14ac:dyDescent="0.3">
      <c r="A428" s="40">
        <v>427</v>
      </c>
      <c r="B428" s="35" t="s">
        <v>237</v>
      </c>
      <c r="C428" s="35">
        <v>6128556</v>
      </c>
      <c r="D428" s="36" t="s">
        <v>785</v>
      </c>
      <c r="E428" s="35" t="s">
        <v>38</v>
      </c>
      <c r="F428" s="35" t="s">
        <v>300</v>
      </c>
      <c r="G428" s="35" t="s">
        <v>784</v>
      </c>
      <c r="H428" s="37" t="s">
        <v>786</v>
      </c>
      <c r="I428" s="38">
        <v>41710</v>
      </c>
      <c r="J428" s="38"/>
      <c r="K428" s="17"/>
      <c r="L428" s="38">
        <v>29727</v>
      </c>
      <c r="M428" s="35">
        <f ca="1">IF('Row data'!$J428="",DATEDIF('Row data'!$L428,TODAY(),"y"),"0")</f>
        <v>45</v>
      </c>
      <c r="N428" s="35" t="s">
        <v>42</v>
      </c>
      <c r="O428" s="35" t="s">
        <v>553</v>
      </c>
      <c r="P428" s="39" t="s">
        <v>554</v>
      </c>
      <c r="Q428" s="39">
        <v>14315</v>
      </c>
      <c r="R428" s="39">
        <v>14315</v>
      </c>
      <c r="S428" s="39">
        <v>7910</v>
      </c>
      <c r="T428" s="39">
        <v>3955</v>
      </c>
      <c r="U428" s="39">
        <v>750</v>
      </c>
      <c r="V428" s="39">
        <v>450</v>
      </c>
      <c r="W428" s="39">
        <v>0</v>
      </c>
      <c r="X428" s="39">
        <v>0</v>
      </c>
      <c r="Y428" s="39">
        <v>1250</v>
      </c>
      <c r="Z428" s="39">
        <v>450</v>
      </c>
      <c r="AA428" s="39">
        <v>0</v>
      </c>
      <c r="AB428" s="39">
        <v>0</v>
      </c>
      <c r="AC428" s="39">
        <v>0</v>
      </c>
      <c r="AD428" s="39">
        <v>0</v>
      </c>
      <c r="AE428" s="39">
        <v>0</v>
      </c>
      <c r="AF428" s="39">
        <v>0</v>
      </c>
      <c r="AG428" s="39">
        <v>0</v>
      </c>
      <c r="AH428" s="39">
        <v>0</v>
      </c>
      <c r="AI428" s="39">
        <v>0</v>
      </c>
      <c r="AJ428" s="39">
        <f>'Row data'!$S428+'Row data'!$T428+'Row data'!$U428+'Row data'!$W428+'Row data'!$X428+'Row data'!$Y428+'Row data'!$Z428+'Row data'!$AA428+'Row data'!$AB428+'Row data'!$AD428-'Row data'!$AC428-'Row data'!$AE428-'Row data'!$AF428-'Row data'!$AG428-'Row data'!$AH428-'Row data'!$AI428</f>
        <v>14315</v>
      </c>
      <c r="AK428" s="39">
        <v>14315</v>
      </c>
      <c r="AL428" s="39">
        <v>0</v>
      </c>
    </row>
    <row r="429" spans="1:38" x14ac:dyDescent="0.3">
      <c r="A429" s="40">
        <v>428</v>
      </c>
      <c r="B429" s="35" t="s">
        <v>237</v>
      </c>
      <c r="C429" s="35">
        <v>9206362</v>
      </c>
      <c r="D429" s="36" t="s">
        <v>787</v>
      </c>
      <c r="E429" s="35" t="s">
        <v>38</v>
      </c>
      <c r="F429" s="35" t="s">
        <v>300</v>
      </c>
      <c r="G429" s="35" t="s">
        <v>170</v>
      </c>
      <c r="H429" s="37" t="s">
        <v>778</v>
      </c>
      <c r="I429" s="38">
        <v>42995</v>
      </c>
      <c r="J429" s="38">
        <v>44806</v>
      </c>
      <c r="K429" s="17">
        <f>YEAR('Row data'!$J429)</f>
        <v>2022</v>
      </c>
      <c r="L429" s="38">
        <v>32388</v>
      </c>
      <c r="M429" s="35" t="str">
        <f ca="1">IF('Row data'!$J429="",DATEDIF('Row data'!$L429,TODAY(),"y"),"0")</f>
        <v>0</v>
      </c>
      <c r="N429" s="35" t="s">
        <v>42</v>
      </c>
      <c r="O429" s="35" t="s">
        <v>553</v>
      </c>
      <c r="P429" s="39" t="s">
        <v>554</v>
      </c>
      <c r="Q429" s="39">
        <v>13458</v>
      </c>
      <c r="R429" s="39">
        <v>13458</v>
      </c>
      <c r="S429" s="39">
        <v>7339</v>
      </c>
      <c r="T429" s="39">
        <v>3669</v>
      </c>
      <c r="U429" s="39">
        <v>750</v>
      </c>
      <c r="V429" s="39">
        <v>450</v>
      </c>
      <c r="W429" s="39">
        <v>0</v>
      </c>
      <c r="X429" s="39">
        <v>0</v>
      </c>
      <c r="Y429" s="39">
        <v>1250</v>
      </c>
      <c r="Z429" s="39">
        <v>450</v>
      </c>
      <c r="AA429" s="39">
        <v>0</v>
      </c>
      <c r="AB429" s="39">
        <v>0</v>
      </c>
      <c r="AC429" s="39">
        <v>0</v>
      </c>
      <c r="AD429" s="39">
        <v>0</v>
      </c>
      <c r="AE429" s="39">
        <v>0</v>
      </c>
      <c r="AF429" s="39">
        <v>0</v>
      </c>
      <c r="AG429" s="39">
        <v>0</v>
      </c>
      <c r="AH429" s="39">
        <v>0</v>
      </c>
      <c r="AI429" s="39">
        <v>0</v>
      </c>
      <c r="AJ429" s="39">
        <f>'Row data'!$S429+'Row data'!$T429+'Row data'!$U429+'Row data'!$W429+'Row data'!$X429+'Row data'!$Y429+'Row data'!$Z429+'Row data'!$AA429+'Row data'!$AB429+'Row data'!$AD429-'Row data'!$AC429-'Row data'!$AE429-'Row data'!$AF429-'Row data'!$AG429-'Row data'!$AH429-'Row data'!$AI429</f>
        <v>13458</v>
      </c>
      <c r="AK429" s="39">
        <v>13458</v>
      </c>
      <c r="AL429" s="39">
        <v>0</v>
      </c>
    </row>
    <row r="430" spans="1:38" x14ac:dyDescent="0.3">
      <c r="A430" s="40">
        <v>429</v>
      </c>
      <c r="B430" s="35" t="s">
        <v>237</v>
      </c>
      <c r="C430" s="35">
        <v>9585481</v>
      </c>
      <c r="D430" s="36" t="s">
        <v>788</v>
      </c>
      <c r="E430" s="35" t="s">
        <v>38</v>
      </c>
      <c r="F430" s="35" t="s">
        <v>300</v>
      </c>
      <c r="G430" s="35" t="s">
        <v>595</v>
      </c>
      <c r="H430" s="37" t="s">
        <v>789</v>
      </c>
      <c r="I430" s="38">
        <v>42770</v>
      </c>
      <c r="J430" s="38"/>
      <c r="K430" s="17"/>
      <c r="L430" s="38">
        <v>35065</v>
      </c>
      <c r="M430" s="35">
        <f ca="1">IF('Row data'!$J430="",DATEDIF('Row data'!$L430,TODAY(),"y"),"0")</f>
        <v>30</v>
      </c>
      <c r="N430" s="35" t="s">
        <v>42</v>
      </c>
      <c r="O430" s="35" t="s">
        <v>553</v>
      </c>
      <c r="P430" s="39" t="s">
        <v>554</v>
      </c>
      <c r="Q430" s="39">
        <v>13458</v>
      </c>
      <c r="R430" s="39">
        <v>13458</v>
      </c>
      <c r="S430" s="39">
        <v>7339</v>
      </c>
      <c r="T430" s="39">
        <v>3669</v>
      </c>
      <c r="U430" s="39">
        <v>750</v>
      </c>
      <c r="V430" s="39">
        <v>450</v>
      </c>
      <c r="W430" s="39">
        <v>0</v>
      </c>
      <c r="X430" s="39">
        <v>0</v>
      </c>
      <c r="Y430" s="39">
        <v>1250</v>
      </c>
      <c r="Z430" s="39">
        <v>450</v>
      </c>
      <c r="AA430" s="39">
        <v>0</v>
      </c>
      <c r="AB430" s="39">
        <v>0</v>
      </c>
      <c r="AC430" s="39">
        <v>0</v>
      </c>
      <c r="AD430" s="39">
        <v>0</v>
      </c>
      <c r="AE430" s="39">
        <v>0</v>
      </c>
      <c r="AF430" s="39">
        <v>0</v>
      </c>
      <c r="AG430" s="39">
        <v>0</v>
      </c>
      <c r="AH430" s="39">
        <v>0</v>
      </c>
      <c r="AI430" s="39">
        <v>0</v>
      </c>
      <c r="AJ430" s="39">
        <f>'Row data'!$S430+'Row data'!$T430+'Row data'!$U430+'Row data'!$W430+'Row data'!$X430+'Row data'!$Y430+'Row data'!$Z430+'Row data'!$AA430+'Row data'!$AB430+'Row data'!$AD430-'Row data'!$AC430-'Row data'!$AE430-'Row data'!$AF430-'Row data'!$AG430-'Row data'!$AH430-'Row data'!$AI430</f>
        <v>13458</v>
      </c>
      <c r="AK430" s="39">
        <v>13458</v>
      </c>
      <c r="AL430" s="39">
        <v>0</v>
      </c>
    </row>
    <row r="431" spans="1:38" x14ac:dyDescent="0.3">
      <c r="A431" s="40">
        <v>430</v>
      </c>
      <c r="B431" s="35" t="s">
        <v>237</v>
      </c>
      <c r="C431" s="35">
        <v>7115901</v>
      </c>
      <c r="D431" s="36" t="s">
        <v>790</v>
      </c>
      <c r="E431" s="35" t="s">
        <v>38</v>
      </c>
      <c r="F431" s="35" t="s">
        <v>300</v>
      </c>
      <c r="G431" s="35" t="s">
        <v>791</v>
      </c>
      <c r="H431" s="37" t="s">
        <v>778</v>
      </c>
      <c r="I431" s="38">
        <v>41700</v>
      </c>
      <c r="J431" s="38"/>
      <c r="K431" s="17"/>
      <c r="L431" s="38">
        <v>33314</v>
      </c>
      <c r="M431" s="35">
        <f ca="1">IF('Row data'!$J431="",DATEDIF('Row data'!$L431,TODAY(),"y"),"0")</f>
        <v>35</v>
      </c>
      <c r="N431" s="35" t="s">
        <v>42</v>
      </c>
      <c r="O431" s="35" t="s">
        <v>553</v>
      </c>
      <c r="P431" s="39" t="s">
        <v>554</v>
      </c>
      <c r="Q431" s="39">
        <v>15337</v>
      </c>
      <c r="R431" s="39">
        <v>15337</v>
      </c>
      <c r="S431" s="39">
        <v>8591</v>
      </c>
      <c r="T431" s="39">
        <v>4296</v>
      </c>
      <c r="U431" s="39">
        <v>750</v>
      </c>
      <c r="V431" s="39">
        <v>450</v>
      </c>
      <c r="W431" s="39">
        <v>0</v>
      </c>
      <c r="X431" s="39">
        <v>0</v>
      </c>
      <c r="Y431" s="39">
        <v>1250</v>
      </c>
      <c r="Z431" s="39">
        <v>450</v>
      </c>
      <c r="AA431" s="39">
        <v>350</v>
      </c>
      <c r="AB431" s="39">
        <v>0</v>
      </c>
      <c r="AC431" s="39">
        <v>0</v>
      </c>
      <c r="AD431" s="39">
        <v>0</v>
      </c>
      <c r="AE431" s="39">
        <v>0</v>
      </c>
      <c r="AF431" s="39">
        <v>0</v>
      </c>
      <c r="AG431" s="39">
        <v>0</v>
      </c>
      <c r="AH431" s="39">
        <v>0</v>
      </c>
      <c r="AI431" s="39">
        <v>0</v>
      </c>
      <c r="AJ431" s="39">
        <f>'Row data'!$S431+'Row data'!$T431+'Row data'!$U431+'Row data'!$W431+'Row data'!$X431+'Row data'!$Y431+'Row data'!$Z431+'Row data'!$AA431+'Row data'!$AB431+'Row data'!$AD431-'Row data'!$AC431-'Row data'!$AE431-'Row data'!$AF431-'Row data'!$AG431-'Row data'!$AH431-'Row data'!$AI431</f>
        <v>15687</v>
      </c>
      <c r="AK431" s="39">
        <v>15687</v>
      </c>
      <c r="AL431" s="39">
        <v>0</v>
      </c>
    </row>
    <row r="432" spans="1:38" x14ac:dyDescent="0.3">
      <c r="A432" s="40">
        <v>431</v>
      </c>
      <c r="B432" s="35" t="s">
        <v>237</v>
      </c>
      <c r="C432" s="35">
        <v>8343136</v>
      </c>
      <c r="D432" s="36" t="s">
        <v>792</v>
      </c>
      <c r="E432" s="35" t="s">
        <v>38</v>
      </c>
      <c r="F432" s="35" t="s">
        <v>300</v>
      </c>
      <c r="G432" s="35" t="s">
        <v>784</v>
      </c>
      <c r="H432" s="37" t="s">
        <v>793</v>
      </c>
      <c r="I432" s="38">
        <v>41220</v>
      </c>
      <c r="J432" s="38"/>
      <c r="K432" s="17"/>
      <c r="L432" s="38">
        <v>26978</v>
      </c>
      <c r="M432" s="35">
        <f ca="1">IF('Row data'!$J432="",DATEDIF('Row data'!$L432,TODAY(),"y"),"0")</f>
        <v>52</v>
      </c>
      <c r="N432" s="35" t="s">
        <v>42</v>
      </c>
      <c r="O432" s="35" t="s">
        <v>553</v>
      </c>
      <c r="P432" s="39" t="s">
        <v>554</v>
      </c>
      <c r="Q432" s="39">
        <v>15368</v>
      </c>
      <c r="R432" s="39">
        <v>15368</v>
      </c>
      <c r="S432" s="39">
        <v>8612</v>
      </c>
      <c r="T432" s="39">
        <v>4306</v>
      </c>
      <c r="U432" s="39">
        <v>750</v>
      </c>
      <c r="V432" s="39">
        <v>450</v>
      </c>
      <c r="W432" s="39">
        <v>0</v>
      </c>
      <c r="X432" s="39">
        <v>0</v>
      </c>
      <c r="Y432" s="39">
        <v>1250</v>
      </c>
      <c r="Z432" s="39">
        <v>450</v>
      </c>
      <c r="AA432" s="39">
        <v>250</v>
      </c>
      <c r="AB432" s="39">
        <v>0</v>
      </c>
      <c r="AC432" s="39">
        <v>0</v>
      </c>
      <c r="AD432" s="39">
        <v>0</v>
      </c>
      <c r="AE432" s="39">
        <v>0</v>
      </c>
      <c r="AF432" s="39">
        <v>0</v>
      </c>
      <c r="AG432" s="39">
        <v>0</v>
      </c>
      <c r="AH432" s="39">
        <v>0</v>
      </c>
      <c r="AI432" s="39">
        <v>0</v>
      </c>
      <c r="AJ432" s="39">
        <f>'Row data'!$S432+'Row data'!$T432+'Row data'!$U432+'Row data'!$W432+'Row data'!$X432+'Row data'!$Y432+'Row data'!$Z432+'Row data'!$AA432+'Row data'!$AB432+'Row data'!$AD432-'Row data'!$AC432-'Row data'!$AE432-'Row data'!$AF432-'Row data'!$AG432-'Row data'!$AH432-'Row data'!$AI432</f>
        <v>15618</v>
      </c>
      <c r="AK432" s="39">
        <v>15618</v>
      </c>
      <c r="AL432" s="39">
        <v>0</v>
      </c>
    </row>
    <row r="433" spans="1:38" x14ac:dyDescent="0.3">
      <c r="A433" s="40">
        <v>432</v>
      </c>
      <c r="B433" s="35" t="s">
        <v>237</v>
      </c>
      <c r="C433" s="35">
        <v>5455674</v>
      </c>
      <c r="D433" s="36" t="s">
        <v>794</v>
      </c>
      <c r="E433" s="35" t="s">
        <v>38</v>
      </c>
      <c r="F433" s="35" t="s">
        <v>300</v>
      </c>
      <c r="G433" s="35" t="s">
        <v>485</v>
      </c>
      <c r="H433" s="37" t="s">
        <v>778</v>
      </c>
      <c r="I433" s="38">
        <v>40225</v>
      </c>
      <c r="J433" s="38"/>
      <c r="K433" s="17"/>
      <c r="L433" s="38">
        <v>31424</v>
      </c>
      <c r="M433" s="35">
        <f ca="1">IF('Row data'!$J433="",DATEDIF('Row data'!$L433,TODAY(),"y"),"0")</f>
        <v>40</v>
      </c>
      <c r="N433" s="35" t="s">
        <v>42</v>
      </c>
      <c r="O433" s="35" t="s">
        <v>553</v>
      </c>
      <c r="P433" s="39" t="s">
        <v>554</v>
      </c>
      <c r="Q433" s="39">
        <v>16642</v>
      </c>
      <c r="R433" s="39">
        <v>16642</v>
      </c>
      <c r="S433" s="39">
        <v>9461</v>
      </c>
      <c r="T433" s="39">
        <v>4731</v>
      </c>
      <c r="U433" s="39">
        <v>750</v>
      </c>
      <c r="V433" s="39">
        <v>450</v>
      </c>
      <c r="W433" s="39">
        <v>0</v>
      </c>
      <c r="X433" s="39">
        <v>0</v>
      </c>
      <c r="Y433" s="39">
        <v>1250</v>
      </c>
      <c r="Z433" s="39">
        <v>450</v>
      </c>
      <c r="AA433" s="39">
        <v>0</v>
      </c>
      <c r="AB433" s="39">
        <v>0</v>
      </c>
      <c r="AC433" s="39">
        <v>0</v>
      </c>
      <c r="AD433" s="39">
        <v>0</v>
      </c>
      <c r="AE433" s="39">
        <v>0</v>
      </c>
      <c r="AF433" s="39">
        <v>0</v>
      </c>
      <c r="AG433" s="39">
        <v>0</v>
      </c>
      <c r="AH433" s="39">
        <v>0</v>
      </c>
      <c r="AI433" s="39">
        <v>0</v>
      </c>
      <c r="AJ433" s="39">
        <f>'Row data'!$S433+'Row data'!$T433+'Row data'!$U433+'Row data'!$W433+'Row data'!$X433+'Row data'!$Y433+'Row data'!$Z433+'Row data'!$AA433+'Row data'!$AB433+'Row data'!$AD433-'Row data'!$AC433-'Row data'!$AE433-'Row data'!$AF433-'Row data'!$AG433-'Row data'!$AH433-'Row data'!$AI433</f>
        <v>16642</v>
      </c>
      <c r="AK433" s="39">
        <v>16642</v>
      </c>
      <c r="AL433" s="39">
        <v>0</v>
      </c>
    </row>
    <row r="434" spans="1:38" x14ac:dyDescent="0.3">
      <c r="A434" s="40">
        <v>433</v>
      </c>
      <c r="B434" s="35" t="s">
        <v>237</v>
      </c>
      <c r="C434" s="35">
        <v>6973269</v>
      </c>
      <c r="D434" s="36" t="s">
        <v>795</v>
      </c>
      <c r="E434" s="35" t="s">
        <v>38</v>
      </c>
      <c r="F434" s="35" t="s">
        <v>300</v>
      </c>
      <c r="G434" s="35" t="s">
        <v>304</v>
      </c>
      <c r="H434" s="37" t="s">
        <v>755</v>
      </c>
      <c r="I434" s="38">
        <v>39250</v>
      </c>
      <c r="J434" s="38"/>
      <c r="K434" s="17"/>
      <c r="L434" s="38">
        <v>26336</v>
      </c>
      <c r="M434" s="35">
        <f ca="1">IF('Row data'!$J434="",DATEDIF('Row data'!$L434,TODAY(),"y"),"0")</f>
        <v>54</v>
      </c>
      <c r="N434" s="35" t="s">
        <v>42</v>
      </c>
      <c r="O434" s="35" t="s">
        <v>553</v>
      </c>
      <c r="P434" s="39" t="s">
        <v>554</v>
      </c>
      <c r="Q434" s="39">
        <v>17711</v>
      </c>
      <c r="R434" s="39">
        <v>17711</v>
      </c>
      <c r="S434" s="39">
        <v>10174</v>
      </c>
      <c r="T434" s="39">
        <v>5087</v>
      </c>
      <c r="U434" s="39">
        <v>750</v>
      </c>
      <c r="V434" s="39">
        <v>450</v>
      </c>
      <c r="W434" s="39">
        <v>0</v>
      </c>
      <c r="X434" s="39">
        <v>0</v>
      </c>
      <c r="Y434" s="39">
        <v>1250</v>
      </c>
      <c r="Z434" s="39">
        <v>450</v>
      </c>
      <c r="AA434" s="39">
        <v>350</v>
      </c>
      <c r="AB434" s="39">
        <v>0</v>
      </c>
      <c r="AC434" s="39">
        <v>0</v>
      </c>
      <c r="AD434" s="39">
        <v>0</v>
      </c>
      <c r="AE434" s="39">
        <v>0</v>
      </c>
      <c r="AF434" s="39">
        <v>0</v>
      </c>
      <c r="AG434" s="39">
        <v>0</v>
      </c>
      <c r="AH434" s="39">
        <v>0</v>
      </c>
      <c r="AI434" s="39">
        <v>0</v>
      </c>
      <c r="AJ434" s="39">
        <f>'Row data'!$S434+'Row data'!$T434+'Row data'!$U434+'Row data'!$W434+'Row data'!$X434+'Row data'!$Y434+'Row data'!$Z434+'Row data'!$AA434+'Row data'!$AB434+'Row data'!$AD434-'Row data'!$AC434-'Row data'!$AE434-'Row data'!$AF434-'Row data'!$AG434-'Row data'!$AH434-'Row data'!$AI434</f>
        <v>18061</v>
      </c>
      <c r="AK434" s="39">
        <v>18061</v>
      </c>
      <c r="AL434" s="39">
        <v>0</v>
      </c>
    </row>
    <row r="435" spans="1:38" x14ac:dyDescent="0.3">
      <c r="A435" s="40">
        <v>434</v>
      </c>
      <c r="B435" s="35" t="s">
        <v>237</v>
      </c>
      <c r="C435" s="35">
        <v>5608758</v>
      </c>
      <c r="D435" s="36" t="s">
        <v>796</v>
      </c>
      <c r="E435" s="35" t="s">
        <v>38</v>
      </c>
      <c r="F435" s="35" t="s">
        <v>300</v>
      </c>
      <c r="G435" s="35" t="s">
        <v>797</v>
      </c>
      <c r="H435" s="37" t="s">
        <v>789</v>
      </c>
      <c r="I435" s="38">
        <v>39266</v>
      </c>
      <c r="J435" s="38">
        <v>44562</v>
      </c>
      <c r="K435" s="17">
        <f>YEAR('Row data'!$J435)</f>
        <v>2022</v>
      </c>
      <c r="L435" s="38">
        <v>24686</v>
      </c>
      <c r="M435" s="35" t="str">
        <f ca="1">IF('Row data'!$J435="",DATEDIF('Row data'!$L435,TODAY(),"y"),"0")</f>
        <v>0</v>
      </c>
      <c r="N435" s="35" t="s">
        <v>42</v>
      </c>
      <c r="O435" s="35" t="s">
        <v>553</v>
      </c>
      <c r="P435" s="39" t="s">
        <v>554</v>
      </c>
      <c r="Q435" s="39">
        <v>16697</v>
      </c>
      <c r="R435" s="39">
        <v>16697</v>
      </c>
      <c r="S435" s="39">
        <v>9498</v>
      </c>
      <c r="T435" s="39">
        <v>4749</v>
      </c>
      <c r="U435" s="39">
        <v>750</v>
      </c>
      <c r="V435" s="39">
        <v>450</v>
      </c>
      <c r="W435" s="39">
        <v>0</v>
      </c>
      <c r="X435" s="39">
        <v>0</v>
      </c>
      <c r="Y435" s="39">
        <v>1250</v>
      </c>
      <c r="Z435" s="39">
        <v>450</v>
      </c>
      <c r="AA435" s="39">
        <v>0</v>
      </c>
      <c r="AB435" s="39">
        <v>0</v>
      </c>
      <c r="AC435" s="39">
        <v>0</v>
      </c>
      <c r="AD435" s="39">
        <v>0</v>
      </c>
      <c r="AE435" s="39">
        <v>0</v>
      </c>
      <c r="AF435" s="39">
        <v>0</v>
      </c>
      <c r="AG435" s="39">
        <v>0</v>
      </c>
      <c r="AH435" s="39">
        <v>0</v>
      </c>
      <c r="AI435" s="39">
        <v>0</v>
      </c>
      <c r="AJ435" s="39">
        <f>'Row data'!$S435+'Row data'!$T435+'Row data'!$U435+'Row data'!$W435+'Row data'!$X435+'Row data'!$Y435+'Row data'!$Z435+'Row data'!$AA435+'Row data'!$AB435+'Row data'!$AD435-'Row data'!$AC435-'Row data'!$AE435-'Row data'!$AF435-'Row data'!$AG435-'Row data'!$AH435-'Row data'!$AI435</f>
        <v>16697</v>
      </c>
      <c r="AK435" s="39">
        <v>16697</v>
      </c>
      <c r="AL435" s="39">
        <v>0</v>
      </c>
    </row>
    <row r="436" spans="1:38" x14ac:dyDescent="0.3">
      <c r="A436" s="40">
        <v>435</v>
      </c>
      <c r="B436" s="35" t="s">
        <v>237</v>
      </c>
      <c r="C436" s="35">
        <v>7692783</v>
      </c>
      <c r="D436" s="36" t="s">
        <v>798</v>
      </c>
      <c r="E436" s="35" t="s">
        <v>38</v>
      </c>
      <c r="F436" s="35" t="s">
        <v>300</v>
      </c>
      <c r="G436" s="35" t="s">
        <v>791</v>
      </c>
      <c r="H436" s="37" t="s">
        <v>774</v>
      </c>
      <c r="I436" s="38">
        <v>42374</v>
      </c>
      <c r="J436" s="38"/>
      <c r="K436" s="17"/>
      <c r="L436" s="38">
        <v>29713</v>
      </c>
      <c r="M436" s="35">
        <f ca="1">IF('Row data'!$J436="",DATEDIF('Row data'!$L436,TODAY(),"y"),"0")</f>
        <v>45</v>
      </c>
      <c r="N436" s="35" t="s">
        <v>42</v>
      </c>
      <c r="O436" s="35" t="s">
        <v>553</v>
      </c>
      <c r="P436" s="39" t="s">
        <v>554</v>
      </c>
      <c r="Q436" s="39">
        <v>15337</v>
      </c>
      <c r="R436" s="39">
        <v>15337</v>
      </c>
      <c r="S436" s="39">
        <v>8591</v>
      </c>
      <c r="T436" s="39">
        <v>4296</v>
      </c>
      <c r="U436" s="39">
        <v>750</v>
      </c>
      <c r="V436" s="39">
        <v>450</v>
      </c>
      <c r="W436" s="39">
        <v>0</v>
      </c>
      <c r="X436" s="39">
        <v>0</v>
      </c>
      <c r="Y436" s="39">
        <v>1250</v>
      </c>
      <c r="Z436" s="39">
        <v>450</v>
      </c>
      <c r="AA436" s="39">
        <v>250</v>
      </c>
      <c r="AB436" s="39">
        <v>0</v>
      </c>
      <c r="AC436" s="39">
        <v>0</v>
      </c>
      <c r="AD436" s="39">
        <v>0</v>
      </c>
      <c r="AE436" s="39">
        <v>0</v>
      </c>
      <c r="AF436" s="39">
        <v>0</v>
      </c>
      <c r="AG436" s="39">
        <v>0</v>
      </c>
      <c r="AH436" s="39">
        <v>0</v>
      </c>
      <c r="AI436" s="39">
        <v>0</v>
      </c>
      <c r="AJ436" s="39">
        <f>'Row data'!$S436+'Row data'!$T436+'Row data'!$U436+'Row data'!$W436+'Row data'!$X436+'Row data'!$Y436+'Row data'!$Z436+'Row data'!$AA436+'Row data'!$AB436+'Row data'!$AD436-'Row data'!$AC436-'Row data'!$AE436-'Row data'!$AF436-'Row data'!$AG436-'Row data'!$AH436-'Row data'!$AI436</f>
        <v>15587</v>
      </c>
      <c r="AK436" s="39">
        <v>15587</v>
      </c>
      <c r="AL436" s="39">
        <v>0</v>
      </c>
    </row>
    <row r="437" spans="1:38" x14ac:dyDescent="0.3">
      <c r="A437" s="40">
        <v>436</v>
      </c>
      <c r="B437" s="35" t="s">
        <v>237</v>
      </c>
      <c r="C437" s="35">
        <v>6361142</v>
      </c>
      <c r="D437" s="36" t="s">
        <v>799</v>
      </c>
      <c r="E437" s="35" t="s">
        <v>38</v>
      </c>
      <c r="F437" s="35" t="s">
        <v>300</v>
      </c>
      <c r="G437" s="35" t="s">
        <v>800</v>
      </c>
      <c r="H437" s="37" t="s">
        <v>776</v>
      </c>
      <c r="I437" s="38">
        <v>40696</v>
      </c>
      <c r="J437" s="38"/>
      <c r="K437" s="17"/>
      <c r="L437" s="38">
        <v>27485</v>
      </c>
      <c r="M437" s="35">
        <f ca="1">IF('Row data'!$J437="",DATEDIF('Row data'!$L437,TODAY(),"y"),"0")</f>
        <v>51</v>
      </c>
      <c r="N437" s="35" t="s">
        <v>42</v>
      </c>
      <c r="O437" s="35" t="s">
        <v>553</v>
      </c>
      <c r="P437" s="39" t="s">
        <v>554</v>
      </c>
      <c r="Q437" s="39">
        <v>15726</v>
      </c>
      <c r="R437" s="39">
        <v>15726</v>
      </c>
      <c r="S437" s="39">
        <v>8851</v>
      </c>
      <c r="T437" s="39">
        <v>4425</v>
      </c>
      <c r="U437" s="39">
        <v>750</v>
      </c>
      <c r="V437" s="39">
        <v>450</v>
      </c>
      <c r="W437" s="39">
        <v>0</v>
      </c>
      <c r="X437" s="39">
        <v>0</v>
      </c>
      <c r="Y437" s="39">
        <v>1250</v>
      </c>
      <c r="Z437" s="39">
        <v>450</v>
      </c>
      <c r="AA437" s="39">
        <v>350</v>
      </c>
      <c r="AB437" s="39">
        <v>0</v>
      </c>
      <c r="AC437" s="39">
        <v>0</v>
      </c>
      <c r="AD437" s="39">
        <v>0</v>
      </c>
      <c r="AE437" s="39">
        <v>0</v>
      </c>
      <c r="AF437" s="39">
        <v>0</v>
      </c>
      <c r="AG437" s="39">
        <v>0</v>
      </c>
      <c r="AH437" s="39">
        <v>0</v>
      </c>
      <c r="AI437" s="39">
        <v>0</v>
      </c>
      <c r="AJ437" s="39">
        <f>'Row data'!$S437+'Row data'!$T437+'Row data'!$U437+'Row data'!$W437+'Row data'!$X437+'Row data'!$Y437+'Row data'!$Z437+'Row data'!$AA437+'Row data'!$AB437+'Row data'!$AD437-'Row data'!$AC437-'Row data'!$AE437-'Row data'!$AF437-'Row data'!$AG437-'Row data'!$AH437-'Row data'!$AI437</f>
        <v>16076</v>
      </c>
      <c r="AK437" s="39">
        <v>16076</v>
      </c>
      <c r="AL437" s="39">
        <v>0</v>
      </c>
    </row>
    <row r="438" spans="1:38" x14ac:dyDescent="0.3">
      <c r="A438" s="40">
        <v>437</v>
      </c>
      <c r="B438" s="35" t="s">
        <v>237</v>
      </c>
      <c r="C438" s="35">
        <v>7699550</v>
      </c>
      <c r="D438" s="36" t="s">
        <v>801</v>
      </c>
      <c r="E438" s="35" t="s">
        <v>38</v>
      </c>
      <c r="F438" s="35" t="s">
        <v>300</v>
      </c>
      <c r="G438" s="35" t="s">
        <v>784</v>
      </c>
      <c r="H438" s="37" t="s">
        <v>776</v>
      </c>
      <c r="I438" s="38">
        <v>41183</v>
      </c>
      <c r="J438" s="38"/>
      <c r="K438" s="17"/>
      <c r="L438" s="38">
        <v>26582</v>
      </c>
      <c r="M438" s="35">
        <f ca="1">IF('Row data'!$J438="",DATEDIF('Row data'!$L438,TODAY(),"y"),"0")</f>
        <v>53</v>
      </c>
      <c r="N438" s="35" t="s">
        <v>42</v>
      </c>
      <c r="O438" s="35" t="s">
        <v>553</v>
      </c>
      <c r="P438" s="39" t="s">
        <v>554</v>
      </c>
      <c r="Q438" s="39">
        <v>15368</v>
      </c>
      <c r="R438" s="39">
        <v>15368</v>
      </c>
      <c r="S438" s="39">
        <v>8612</v>
      </c>
      <c r="T438" s="39">
        <v>4306</v>
      </c>
      <c r="U438" s="39">
        <v>750</v>
      </c>
      <c r="V438" s="39">
        <v>450</v>
      </c>
      <c r="W438" s="39">
        <v>0</v>
      </c>
      <c r="X438" s="39">
        <v>0</v>
      </c>
      <c r="Y438" s="39">
        <v>1250</v>
      </c>
      <c r="Z438" s="39">
        <v>450</v>
      </c>
      <c r="AA438" s="39">
        <v>0</v>
      </c>
      <c r="AB438" s="39">
        <v>0</v>
      </c>
      <c r="AC438" s="39">
        <v>0</v>
      </c>
      <c r="AD438" s="39">
        <v>0</v>
      </c>
      <c r="AE438" s="39">
        <v>0</v>
      </c>
      <c r="AF438" s="39">
        <v>0</v>
      </c>
      <c r="AG438" s="39">
        <v>0</v>
      </c>
      <c r="AH438" s="39">
        <v>0</v>
      </c>
      <c r="AI438" s="39">
        <v>0</v>
      </c>
      <c r="AJ438" s="39">
        <f>'Row data'!$S438+'Row data'!$T438+'Row data'!$U438+'Row data'!$W438+'Row data'!$X438+'Row data'!$Y438+'Row data'!$Z438+'Row data'!$AA438+'Row data'!$AB438+'Row data'!$AD438-'Row data'!$AC438-'Row data'!$AE438-'Row data'!$AF438-'Row data'!$AG438-'Row data'!$AH438-'Row data'!$AI438</f>
        <v>15368</v>
      </c>
      <c r="AK438" s="39">
        <v>15368</v>
      </c>
      <c r="AL438" s="39">
        <v>0</v>
      </c>
    </row>
    <row r="439" spans="1:38" x14ac:dyDescent="0.3">
      <c r="A439" s="40">
        <v>438</v>
      </c>
      <c r="B439" s="35" t="s">
        <v>237</v>
      </c>
      <c r="C439" s="35">
        <v>9096747</v>
      </c>
      <c r="D439" s="36" t="s">
        <v>802</v>
      </c>
      <c r="E439" s="35" t="s">
        <v>38</v>
      </c>
      <c r="F439" s="35" t="s">
        <v>300</v>
      </c>
      <c r="G439" s="35" t="s">
        <v>304</v>
      </c>
      <c r="H439" s="37" t="s">
        <v>782</v>
      </c>
      <c r="I439" s="38">
        <v>41654</v>
      </c>
      <c r="J439" s="38"/>
      <c r="K439" s="17"/>
      <c r="L439" s="38">
        <v>32995</v>
      </c>
      <c r="M439" s="35">
        <f ca="1">IF('Row data'!$J439="",DATEDIF('Row data'!$L439,TODAY(),"y"),"0")</f>
        <v>36</v>
      </c>
      <c r="N439" s="35" t="s">
        <v>42</v>
      </c>
      <c r="O439" s="35" t="s">
        <v>553</v>
      </c>
      <c r="P439" s="39" t="s">
        <v>554</v>
      </c>
      <c r="Q439" s="39">
        <v>15337</v>
      </c>
      <c r="R439" s="39">
        <v>15337</v>
      </c>
      <c r="S439" s="39">
        <v>8591</v>
      </c>
      <c r="T439" s="39">
        <v>4296</v>
      </c>
      <c r="U439" s="39">
        <v>750</v>
      </c>
      <c r="V439" s="39">
        <v>450</v>
      </c>
      <c r="W439" s="39">
        <v>0</v>
      </c>
      <c r="X439" s="39">
        <v>0</v>
      </c>
      <c r="Y439" s="39">
        <v>1250</v>
      </c>
      <c r="Z439" s="39">
        <v>450</v>
      </c>
      <c r="AA439" s="39">
        <v>0</v>
      </c>
      <c r="AB439" s="39">
        <v>0</v>
      </c>
      <c r="AC439" s="39">
        <v>0</v>
      </c>
      <c r="AD439" s="39">
        <v>0</v>
      </c>
      <c r="AE439" s="39">
        <v>0</v>
      </c>
      <c r="AF439" s="39">
        <v>0</v>
      </c>
      <c r="AG439" s="39">
        <v>0</v>
      </c>
      <c r="AH439" s="39">
        <v>0</v>
      </c>
      <c r="AI439" s="39">
        <v>0</v>
      </c>
      <c r="AJ439" s="39">
        <f>'Row data'!$S439+'Row data'!$T439+'Row data'!$U439+'Row data'!$W439+'Row data'!$X439+'Row data'!$Y439+'Row data'!$Z439+'Row data'!$AA439+'Row data'!$AB439+'Row data'!$AD439-'Row data'!$AC439-'Row data'!$AE439-'Row data'!$AF439-'Row data'!$AG439-'Row data'!$AH439-'Row data'!$AI439</f>
        <v>15337</v>
      </c>
      <c r="AK439" s="39">
        <v>15337</v>
      </c>
      <c r="AL439" s="39">
        <v>0</v>
      </c>
    </row>
    <row r="440" spans="1:38" x14ac:dyDescent="0.3">
      <c r="A440" s="40">
        <v>439</v>
      </c>
      <c r="B440" s="35" t="s">
        <v>237</v>
      </c>
      <c r="C440" s="35">
        <v>9541432</v>
      </c>
      <c r="D440" s="36" t="s">
        <v>803</v>
      </c>
      <c r="E440" s="35" t="s">
        <v>38</v>
      </c>
      <c r="F440" s="35" t="s">
        <v>300</v>
      </c>
      <c r="G440" s="35" t="s">
        <v>170</v>
      </c>
      <c r="H440" s="37" t="s">
        <v>774</v>
      </c>
      <c r="I440" s="38">
        <v>41986</v>
      </c>
      <c r="J440" s="38">
        <v>44666</v>
      </c>
      <c r="K440" s="17">
        <f>YEAR('Row data'!$J440)</f>
        <v>2022</v>
      </c>
      <c r="L440" s="38">
        <v>32248</v>
      </c>
      <c r="M440" s="35" t="str">
        <f ca="1">IF('Row data'!$J440="",DATEDIF('Row data'!$L440,TODAY(),"y"),"0")</f>
        <v>0</v>
      </c>
      <c r="N440" s="35" t="s">
        <v>42</v>
      </c>
      <c r="O440" s="35" t="s">
        <v>553</v>
      </c>
      <c r="P440" s="39" t="s">
        <v>554</v>
      </c>
      <c r="Q440" s="39">
        <v>13514</v>
      </c>
      <c r="R440" s="39">
        <v>13514</v>
      </c>
      <c r="S440" s="39">
        <v>7376</v>
      </c>
      <c r="T440" s="39">
        <v>3688</v>
      </c>
      <c r="U440" s="39">
        <v>750</v>
      </c>
      <c r="V440" s="39">
        <v>450</v>
      </c>
      <c r="W440" s="39">
        <v>0</v>
      </c>
      <c r="X440" s="39">
        <v>0</v>
      </c>
      <c r="Y440" s="39">
        <v>1250</v>
      </c>
      <c r="Z440" s="39">
        <v>450</v>
      </c>
      <c r="AA440" s="39">
        <v>0</v>
      </c>
      <c r="AB440" s="39">
        <v>0</v>
      </c>
      <c r="AC440" s="39">
        <v>0</v>
      </c>
      <c r="AD440" s="39">
        <v>0</v>
      </c>
      <c r="AE440" s="39">
        <v>0</v>
      </c>
      <c r="AF440" s="39">
        <v>0</v>
      </c>
      <c r="AG440" s="39">
        <v>0</v>
      </c>
      <c r="AH440" s="39">
        <v>0</v>
      </c>
      <c r="AI440" s="39">
        <v>0</v>
      </c>
      <c r="AJ440" s="39">
        <f>'Row data'!$S440+'Row data'!$T440+'Row data'!$U440+'Row data'!$W440+'Row data'!$X440+'Row data'!$Y440+'Row data'!$Z440+'Row data'!$AA440+'Row data'!$AB440+'Row data'!$AD440-'Row data'!$AC440-'Row data'!$AE440-'Row data'!$AF440-'Row data'!$AG440-'Row data'!$AH440-'Row data'!$AI440</f>
        <v>13514</v>
      </c>
      <c r="AK440" s="39">
        <v>13514</v>
      </c>
      <c r="AL440" s="39">
        <v>0</v>
      </c>
    </row>
    <row r="441" spans="1:38" x14ac:dyDescent="0.3">
      <c r="A441" s="40">
        <v>440</v>
      </c>
      <c r="B441" s="35" t="s">
        <v>237</v>
      </c>
      <c r="C441" s="35">
        <v>6923976</v>
      </c>
      <c r="D441" s="36" t="s">
        <v>804</v>
      </c>
      <c r="E441" s="35" t="s">
        <v>38</v>
      </c>
      <c r="F441" s="35" t="s">
        <v>300</v>
      </c>
      <c r="G441" s="35" t="s">
        <v>791</v>
      </c>
      <c r="H441" s="37" t="s">
        <v>778</v>
      </c>
      <c r="I441" s="38">
        <v>41986</v>
      </c>
      <c r="J441" s="38"/>
      <c r="K441" s="17"/>
      <c r="L441" s="38">
        <v>28492</v>
      </c>
      <c r="M441" s="35">
        <f ca="1">IF('Row data'!$J441="",DATEDIF('Row data'!$L441,TODAY(),"y"),"0")</f>
        <v>48</v>
      </c>
      <c r="N441" s="35" t="s">
        <v>42</v>
      </c>
      <c r="O441" s="35" t="s">
        <v>553</v>
      </c>
      <c r="P441" s="39" t="s">
        <v>554</v>
      </c>
      <c r="Q441" s="39">
        <v>15337</v>
      </c>
      <c r="R441" s="39">
        <v>15337</v>
      </c>
      <c r="S441" s="39">
        <v>8591</v>
      </c>
      <c r="T441" s="39">
        <v>4296</v>
      </c>
      <c r="U441" s="39">
        <v>750</v>
      </c>
      <c r="V441" s="39">
        <v>450</v>
      </c>
      <c r="W441" s="39">
        <v>0</v>
      </c>
      <c r="X441" s="39">
        <v>0</v>
      </c>
      <c r="Y441" s="39">
        <v>1250</v>
      </c>
      <c r="Z441" s="39">
        <v>450</v>
      </c>
      <c r="AA441" s="39">
        <v>350</v>
      </c>
      <c r="AB441" s="39">
        <v>0</v>
      </c>
      <c r="AC441" s="39">
        <v>0</v>
      </c>
      <c r="AD441" s="39">
        <v>0</v>
      </c>
      <c r="AE441" s="39">
        <v>0</v>
      </c>
      <c r="AF441" s="39">
        <v>0</v>
      </c>
      <c r="AG441" s="39">
        <v>0</v>
      </c>
      <c r="AH441" s="39">
        <v>0</v>
      </c>
      <c r="AI441" s="39">
        <v>0</v>
      </c>
      <c r="AJ441" s="39">
        <f>'Row data'!$S441+'Row data'!$T441+'Row data'!$U441+'Row data'!$W441+'Row data'!$X441+'Row data'!$Y441+'Row data'!$Z441+'Row data'!$AA441+'Row data'!$AB441+'Row data'!$AD441-'Row data'!$AC441-'Row data'!$AE441-'Row data'!$AF441-'Row data'!$AG441-'Row data'!$AH441-'Row data'!$AI441</f>
        <v>15687</v>
      </c>
      <c r="AK441" s="39">
        <v>15687</v>
      </c>
      <c r="AL441" s="39">
        <v>0</v>
      </c>
    </row>
    <row r="442" spans="1:38" x14ac:dyDescent="0.3">
      <c r="A442" s="40">
        <v>441</v>
      </c>
      <c r="B442" s="35" t="s">
        <v>237</v>
      </c>
      <c r="C442" s="35">
        <v>8061217</v>
      </c>
      <c r="D442" s="36" t="s">
        <v>805</v>
      </c>
      <c r="E442" s="35" t="s">
        <v>38</v>
      </c>
      <c r="F442" s="35" t="s">
        <v>300</v>
      </c>
      <c r="G442" s="35" t="s">
        <v>170</v>
      </c>
      <c r="H442" s="37" t="s">
        <v>752</v>
      </c>
      <c r="I442" s="38">
        <v>43807</v>
      </c>
      <c r="J442" s="38"/>
      <c r="K442" s="17"/>
      <c r="L442" s="38">
        <v>31542</v>
      </c>
      <c r="M442" s="35">
        <f ca="1">IF('Row data'!$J442="",DATEDIF('Row data'!$L442,TODAY(),"y"),"0")</f>
        <v>40</v>
      </c>
      <c r="N442" s="35" t="s">
        <v>42</v>
      </c>
      <c r="O442" s="35" t="s">
        <v>553</v>
      </c>
      <c r="P442" s="39" t="s">
        <v>554</v>
      </c>
      <c r="Q442" s="39">
        <v>13405</v>
      </c>
      <c r="R442" s="39">
        <v>13405</v>
      </c>
      <c r="S442" s="39">
        <v>7303</v>
      </c>
      <c r="T442" s="39">
        <v>3652</v>
      </c>
      <c r="U442" s="39">
        <v>750</v>
      </c>
      <c r="V442" s="39">
        <v>450</v>
      </c>
      <c r="W442" s="39">
        <v>0</v>
      </c>
      <c r="X442" s="39">
        <v>0</v>
      </c>
      <c r="Y442" s="39">
        <v>1250</v>
      </c>
      <c r="Z442" s="39">
        <v>450</v>
      </c>
      <c r="AA442" s="39">
        <v>0</v>
      </c>
      <c r="AB442" s="39">
        <v>0</v>
      </c>
      <c r="AC442" s="39">
        <v>0</v>
      </c>
      <c r="AD442" s="39">
        <v>0</v>
      </c>
      <c r="AE442" s="39">
        <v>0</v>
      </c>
      <c r="AF442" s="39">
        <v>0</v>
      </c>
      <c r="AG442" s="39">
        <v>0</v>
      </c>
      <c r="AH442" s="39">
        <v>0</v>
      </c>
      <c r="AI442" s="39">
        <v>0</v>
      </c>
      <c r="AJ442" s="39">
        <f>'Row data'!$S442+'Row data'!$T442+'Row data'!$U442+'Row data'!$W442+'Row data'!$X442+'Row data'!$Y442+'Row data'!$Z442+'Row data'!$AA442+'Row data'!$AB442+'Row data'!$AD442-'Row data'!$AC442-'Row data'!$AE442-'Row data'!$AF442-'Row data'!$AG442-'Row data'!$AH442-'Row data'!$AI442</f>
        <v>13405</v>
      </c>
      <c r="AK442" s="39">
        <v>13405</v>
      </c>
      <c r="AL442" s="39">
        <v>0</v>
      </c>
    </row>
    <row r="443" spans="1:38" x14ac:dyDescent="0.3">
      <c r="A443" s="40">
        <v>442</v>
      </c>
      <c r="B443" s="35" t="s">
        <v>237</v>
      </c>
      <c r="C443" s="35">
        <v>9337921</v>
      </c>
      <c r="D443" s="36" t="s">
        <v>806</v>
      </c>
      <c r="E443" s="35" t="s">
        <v>38</v>
      </c>
      <c r="F443" s="35" t="s">
        <v>300</v>
      </c>
      <c r="G443" s="35" t="s">
        <v>50</v>
      </c>
      <c r="H443" s="37" t="s">
        <v>793</v>
      </c>
      <c r="I443" s="38">
        <v>44791</v>
      </c>
      <c r="J443" s="38"/>
      <c r="K443" s="17"/>
      <c r="L443" s="38">
        <v>37806</v>
      </c>
      <c r="M443" s="35">
        <f ca="1">IF('Row data'!$J443="",DATEDIF('Row data'!$L443,TODAY(),"y"),"0")</f>
        <v>23</v>
      </c>
      <c r="N443" s="35" t="s">
        <v>42</v>
      </c>
      <c r="O443" s="35" t="s">
        <v>553</v>
      </c>
      <c r="P443" s="39" t="s">
        <v>554</v>
      </c>
      <c r="Q443" s="39">
        <v>13405</v>
      </c>
      <c r="R443" s="39">
        <v>13405</v>
      </c>
      <c r="S443" s="39">
        <v>7303</v>
      </c>
      <c r="T443" s="39">
        <v>3652</v>
      </c>
      <c r="U443" s="39">
        <v>750</v>
      </c>
      <c r="V443" s="39">
        <v>450</v>
      </c>
      <c r="W443" s="39">
        <v>0</v>
      </c>
      <c r="X443" s="39">
        <v>0</v>
      </c>
      <c r="Y443" s="39">
        <v>1250</v>
      </c>
      <c r="Z443" s="39">
        <v>450</v>
      </c>
      <c r="AA443" s="39">
        <v>0</v>
      </c>
      <c r="AB443" s="39">
        <v>0</v>
      </c>
      <c r="AC443" s="39">
        <v>0</v>
      </c>
      <c r="AD443" s="39">
        <v>0</v>
      </c>
      <c r="AE443" s="39">
        <v>0</v>
      </c>
      <c r="AF443" s="39">
        <v>0</v>
      </c>
      <c r="AG443" s="39">
        <v>0</v>
      </c>
      <c r="AH443" s="39">
        <v>0</v>
      </c>
      <c r="AI443" s="39">
        <v>0</v>
      </c>
      <c r="AJ443" s="39">
        <f>'Row data'!$S443+'Row data'!$T443+'Row data'!$U443+'Row data'!$W443+'Row data'!$X443+'Row data'!$Y443+'Row data'!$Z443+'Row data'!$AA443+'Row data'!$AB443+'Row data'!$AD443-'Row data'!$AC443-'Row data'!$AE443-'Row data'!$AF443-'Row data'!$AG443-'Row data'!$AH443-'Row data'!$AI443</f>
        <v>13405</v>
      </c>
      <c r="AK443" s="39">
        <v>13405</v>
      </c>
      <c r="AL443" s="39">
        <v>0</v>
      </c>
    </row>
    <row r="444" spans="1:38" x14ac:dyDescent="0.3">
      <c r="A444" s="40">
        <v>443</v>
      </c>
      <c r="B444" s="35" t="s">
        <v>237</v>
      </c>
      <c r="C444" s="35">
        <v>9433202</v>
      </c>
      <c r="D444" s="36" t="s">
        <v>807</v>
      </c>
      <c r="E444" s="35" t="s">
        <v>38</v>
      </c>
      <c r="F444" s="35" t="s">
        <v>300</v>
      </c>
      <c r="G444" s="35" t="s">
        <v>50</v>
      </c>
      <c r="H444" s="37" t="s">
        <v>776</v>
      </c>
      <c r="I444" s="38">
        <v>44766</v>
      </c>
      <c r="J444" s="38"/>
      <c r="K444" s="17"/>
      <c r="L444" s="38">
        <v>37966</v>
      </c>
      <c r="M444" s="35">
        <f ca="1">IF('Row data'!$J444="",DATEDIF('Row data'!$L444,TODAY(),"y"),"0")</f>
        <v>22</v>
      </c>
      <c r="N444" s="35" t="s">
        <v>42</v>
      </c>
      <c r="O444" s="35" t="s">
        <v>553</v>
      </c>
      <c r="P444" s="39" t="s">
        <v>554</v>
      </c>
      <c r="Q444" s="39">
        <v>13405</v>
      </c>
      <c r="R444" s="39">
        <v>13405</v>
      </c>
      <c r="S444" s="39">
        <v>7303</v>
      </c>
      <c r="T444" s="39">
        <v>3652</v>
      </c>
      <c r="U444" s="39">
        <v>750</v>
      </c>
      <c r="V444" s="39">
        <v>450</v>
      </c>
      <c r="W444" s="39">
        <v>0</v>
      </c>
      <c r="X444" s="39">
        <v>0</v>
      </c>
      <c r="Y444" s="39">
        <v>1250</v>
      </c>
      <c r="Z444" s="39">
        <v>450</v>
      </c>
      <c r="AA444" s="39">
        <v>0</v>
      </c>
      <c r="AB444" s="39">
        <v>0</v>
      </c>
      <c r="AC444" s="39">
        <v>0</v>
      </c>
      <c r="AD444" s="39">
        <v>0</v>
      </c>
      <c r="AE444" s="39">
        <v>0</v>
      </c>
      <c r="AF444" s="39">
        <v>0</v>
      </c>
      <c r="AG444" s="39">
        <v>0</v>
      </c>
      <c r="AH444" s="39">
        <v>0</v>
      </c>
      <c r="AI444" s="39">
        <v>0</v>
      </c>
      <c r="AJ444" s="39">
        <f>'Row data'!$S444+'Row data'!$T444+'Row data'!$U444+'Row data'!$W444+'Row data'!$X444+'Row data'!$Y444+'Row data'!$Z444+'Row data'!$AA444+'Row data'!$AB444+'Row data'!$AD444-'Row data'!$AC444-'Row data'!$AE444-'Row data'!$AF444-'Row data'!$AG444-'Row data'!$AH444-'Row data'!$AI444</f>
        <v>13405</v>
      </c>
      <c r="AK444" s="39">
        <v>13405</v>
      </c>
      <c r="AL444" s="39">
        <v>0</v>
      </c>
    </row>
    <row r="445" spans="1:38" x14ac:dyDescent="0.3">
      <c r="A445" s="40">
        <v>444</v>
      </c>
      <c r="B445" s="35" t="s">
        <v>237</v>
      </c>
      <c r="C445" s="35">
        <v>8559500</v>
      </c>
      <c r="D445" s="36" t="s">
        <v>808</v>
      </c>
      <c r="E445" s="35" t="s">
        <v>38</v>
      </c>
      <c r="F445" s="35" t="s">
        <v>300</v>
      </c>
      <c r="G445" s="35" t="s">
        <v>50</v>
      </c>
      <c r="H445" s="37" t="s">
        <v>771</v>
      </c>
      <c r="I445" s="38">
        <v>44628</v>
      </c>
      <c r="J445" s="38"/>
      <c r="K445" s="17"/>
      <c r="L445" s="38">
        <v>36271</v>
      </c>
      <c r="M445" s="35">
        <f ca="1">IF('Row data'!$J445="",DATEDIF('Row data'!$L445,TODAY(),"y"),"0")</f>
        <v>27</v>
      </c>
      <c r="N445" s="35" t="s">
        <v>42</v>
      </c>
      <c r="O445" s="35" t="s">
        <v>553</v>
      </c>
      <c r="P445" s="39" t="s">
        <v>554</v>
      </c>
      <c r="Q445" s="39">
        <v>13405</v>
      </c>
      <c r="R445" s="39">
        <v>12362</v>
      </c>
      <c r="S445" s="39">
        <v>7303</v>
      </c>
      <c r="T445" s="39">
        <v>3652</v>
      </c>
      <c r="U445" s="39">
        <v>750</v>
      </c>
      <c r="V445" s="39">
        <v>450</v>
      </c>
      <c r="W445" s="39">
        <v>0</v>
      </c>
      <c r="X445" s="39">
        <v>0</v>
      </c>
      <c r="Y445" s="39">
        <v>1250</v>
      </c>
      <c r="Z445" s="39">
        <v>450</v>
      </c>
      <c r="AA445" s="39">
        <v>0</v>
      </c>
      <c r="AB445" s="39">
        <v>0</v>
      </c>
      <c r="AC445" s="39">
        <v>0</v>
      </c>
      <c r="AD445" s="39">
        <v>0</v>
      </c>
      <c r="AE445" s="39">
        <v>782</v>
      </c>
      <c r="AF445" s="39">
        <v>261</v>
      </c>
      <c r="AG445" s="39">
        <v>0</v>
      </c>
      <c r="AH445" s="39">
        <v>0</v>
      </c>
      <c r="AI445" s="39">
        <v>0</v>
      </c>
      <c r="AJ445" s="39">
        <f>'Row data'!$S445+'Row data'!$T445+'Row data'!$U445+'Row data'!$W445+'Row data'!$X445+'Row data'!$Y445+'Row data'!$Z445+'Row data'!$AA445+'Row data'!$AB445+'Row data'!$AD445-'Row data'!$AC445-'Row data'!$AE445-'Row data'!$AF445-'Row data'!$AG445-'Row data'!$AH445-'Row data'!$AI445</f>
        <v>12362</v>
      </c>
      <c r="AK445" s="39">
        <v>12362</v>
      </c>
      <c r="AL445" s="39">
        <v>0</v>
      </c>
    </row>
    <row r="446" spans="1:38" x14ac:dyDescent="0.3">
      <c r="A446" s="40">
        <v>445</v>
      </c>
      <c r="B446" s="35" t="s">
        <v>237</v>
      </c>
      <c r="C446" s="35">
        <v>7805354</v>
      </c>
      <c r="D446" s="36" t="s">
        <v>809</v>
      </c>
      <c r="E446" s="35" t="s">
        <v>38</v>
      </c>
      <c r="F446" s="35" t="s">
        <v>300</v>
      </c>
      <c r="G446" s="35" t="s">
        <v>50</v>
      </c>
      <c r="H446" s="37" t="s">
        <v>810</v>
      </c>
      <c r="I446" s="38">
        <v>45237</v>
      </c>
      <c r="J446" s="38">
        <v>44562</v>
      </c>
      <c r="K446" s="17">
        <f>YEAR('Row data'!$J446)</f>
        <v>2022</v>
      </c>
      <c r="L446" s="38">
        <v>36811</v>
      </c>
      <c r="M446" s="35" t="str">
        <f ca="1">IF('Row data'!$J446="",DATEDIF('Row data'!$L446,TODAY(),"y"),"0")</f>
        <v>0</v>
      </c>
      <c r="N446" s="35" t="s">
        <v>42</v>
      </c>
      <c r="O446" s="35" t="s">
        <v>553</v>
      </c>
      <c r="P446" s="39" t="s">
        <v>554</v>
      </c>
      <c r="Q446" s="39">
        <v>13405</v>
      </c>
      <c r="R446" s="39">
        <v>13405</v>
      </c>
      <c r="S446" s="39">
        <v>7303</v>
      </c>
      <c r="T446" s="39">
        <v>3652</v>
      </c>
      <c r="U446" s="39">
        <v>750</v>
      </c>
      <c r="V446" s="39">
        <v>450</v>
      </c>
      <c r="W446" s="39">
        <v>0</v>
      </c>
      <c r="X446" s="39">
        <v>0</v>
      </c>
      <c r="Y446" s="39">
        <v>1250</v>
      </c>
      <c r="Z446" s="39">
        <v>450</v>
      </c>
      <c r="AA446" s="39">
        <v>0</v>
      </c>
      <c r="AB446" s="39">
        <v>0</v>
      </c>
      <c r="AC446" s="39">
        <v>0</v>
      </c>
      <c r="AD446" s="39">
        <v>0</v>
      </c>
      <c r="AE446" s="39">
        <v>0</v>
      </c>
      <c r="AF446" s="39">
        <v>0</v>
      </c>
      <c r="AG446" s="39">
        <v>0</v>
      </c>
      <c r="AH446" s="39">
        <v>0</v>
      </c>
      <c r="AI446" s="39">
        <v>0</v>
      </c>
      <c r="AJ446" s="39">
        <f>'Row data'!$S446+'Row data'!$T446+'Row data'!$U446+'Row data'!$W446+'Row data'!$X446+'Row data'!$Y446+'Row data'!$Z446+'Row data'!$AA446+'Row data'!$AB446+'Row data'!$AD446-'Row data'!$AC446-'Row data'!$AE446-'Row data'!$AF446-'Row data'!$AG446-'Row data'!$AH446-'Row data'!$AI446</f>
        <v>13405</v>
      </c>
      <c r="AK446" s="39">
        <v>13405</v>
      </c>
      <c r="AL446" s="39">
        <v>0</v>
      </c>
    </row>
    <row r="447" spans="1:38" x14ac:dyDescent="0.3">
      <c r="A447" s="40">
        <v>446</v>
      </c>
      <c r="B447" s="35" t="s">
        <v>237</v>
      </c>
      <c r="C447" s="35">
        <v>9977181</v>
      </c>
      <c r="D447" s="36" t="s">
        <v>811</v>
      </c>
      <c r="E447" s="35" t="s">
        <v>38</v>
      </c>
      <c r="F447" s="35" t="s">
        <v>300</v>
      </c>
      <c r="G447" s="35" t="s">
        <v>50</v>
      </c>
      <c r="H447" s="37" t="s">
        <v>810</v>
      </c>
      <c r="I447" s="38">
        <v>45231</v>
      </c>
      <c r="J447" s="38">
        <v>44562</v>
      </c>
      <c r="K447" s="17">
        <f>YEAR('Row data'!$J447)</f>
        <v>2022</v>
      </c>
      <c r="L447" s="38">
        <v>37110</v>
      </c>
      <c r="M447" s="35" t="str">
        <f ca="1">IF('Row data'!$J447="",DATEDIF('Row data'!$L447,TODAY(),"y"),"0")</f>
        <v>0</v>
      </c>
      <c r="N447" s="35" t="s">
        <v>42</v>
      </c>
      <c r="O447" s="35" t="s">
        <v>553</v>
      </c>
      <c r="P447" s="39" t="s">
        <v>554</v>
      </c>
      <c r="Q447" s="39">
        <v>13405</v>
      </c>
      <c r="R447" s="39">
        <v>13405</v>
      </c>
      <c r="S447" s="39">
        <v>7303</v>
      </c>
      <c r="T447" s="39">
        <v>3652</v>
      </c>
      <c r="U447" s="39">
        <v>750</v>
      </c>
      <c r="V447" s="39">
        <v>450</v>
      </c>
      <c r="W447" s="39">
        <v>0</v>
      </c>
      <c r="X447" s="39">
        <v>0</v>
      </c>
      <c r="Y447" s="39">
        <v>1250</v>
      </c>
      <c r="Z447" s="39">
        <v>450</v>
      </c>
      <c r="AA447" s="39">
        <v>350</v>
      </c>
      <c r="AB447" s="39">
        <v>0</v>
      </c>
      <c r="AC447" s="39">
        <v>0</v>
      </c>
      <c r="AD447" s="39">
        <v>0</v>
      </c>
      <c r="AE447" s="39">
        <v>0</v>
      </c>
      <c r="AF447" s="39">
        <v>0</v>
      </c>
      <c r="AG447" s="39">
        <v>0</v>
      </c>
      <c r="AH447" s="39">
        <v>0</v>
      </c>
      <c r="AI447" s="39">
        <v>0</v>
      </c>
      <c r="AJ447" s="39">
        <f>'Row data'!$S447+'Row data'!$T447+'Row data'!$U447+'Row data'!$W447+'Row data'!$X447+'Row data'!$Y447+'Row data'!$Z447+'Row data'!$AA447+'Row data'!$AB447+'Row data'!$AD447-'Row data'!$AC447-'Row data'!$AE447-'Row data'!$AF447-'Row data'!$AG447-'Row data'!$AH447-'Row data'!$AI447</f>
        <v>13755</v>
      </c>
      <c r="AK447" s="39">
        <v>13755</v>
      </c>
      <c r="AL447" s="39">
        <v>0</v>
      </c>
    </row>
    <row r="448" spans="1:38" x14ac:dyDescent="0.3">
      <c r="A448" s="40">
        <v>447</v>
      </c>
      <c r="B448" s="35" t="s">
        <v>237</v>
      </c>
      <c r="C448" s="35">
        <v>7851871</v>
      </c>
      <c r="D448" s="36" t="s">
        <v>812</v>
      </c>
      <c r="E448" s="35" t="s">
        <v>38</v>
      </c>
      <c r="F448" s="35" t="s">
        <v>300</v>
      </c>
      <c r="G448" s="35" t="s">
        <v>50</v>
      </c>
      <c r="H448" s="37" t="s">
        <v>810</v>
      </c>
      <c r="I448" s="38">
        <v>45204</v>
      </c>
      <c r="J448" s="38">
        <v>44562</v>
      </c>
      <c r="K448" s="17">
        <f>YEAR('Row data'!$J448)</f>
        <v>2022</v>
      </c>
      <c r="L448" s="38">
        <v>35796</v>
      </c>
      <c r="M448" s="35" t="str">
        <f ca="1">IF('Row data'!$J448="",DATEDIF('Row data'!$L448,TODAY(),"y"),"0")</f>
        <v>0</v>
      </c>
      <c r="N448" s="35" t="s">
        <v>42</v>
      </c>
      <c r="O448" s="35" t="s">
        <v>553</v>
      </c>
      <c r="P448" s="39" t="s">
        <v>554</v>
      </c>
      <c r="Q448" s="39">
        <v>13405</v>
      </c>
      <c r="R448" s="39">
        <v>13405</v>
      </c>
      <c r="S448" s="39">
        <v>7303</v>
      </c>
      <c r="T448" s="39">
        <v>3652</v>
      </c>
      <c r="U448" s="39">
        <v>750</v>
      </c>
      <c r="V448" s="39">
        <v>450</v>
      </c>
      <c r="W448" s="39">
        <v>0</v>
      </c>
      <c r="X448" s="39">
        <v>0</v>
      </c>
      <c r="Y448" s="39">
        <v>1250</v>
      </c>
      <c r="Z448" s="39">
        <v>450</v>
      </c>
      <c r="AA448" s="39">
        <v>250</v>
      </c>
      <c r="AB448" s="39">
        <v>0</v>
      </c>
      <c r="AC448" s="39">
        <v>0</v>
      </c>
      <c r="AD448" s="39">
        <v>0</v>
      </c>
      <c r="AE448" s="39">
        <v>0</v>
      </c>
      <c r="AF448" s="39">
        <v>0</v>
      </c>
      <c r="AG448" s="39">
        <v>0</v>
      </c>
      <c r="AH448" s="39">
        <v>0</v>
      </c>
      <c r="AI448" s="39">
        <v>0</v>
      </c>
      <c r="AJ448" s="39">
        <f>'Row data'!$S448+'Row data'!$T448+'Row data'!$U448+'Row data'!$W448+'Row data'!$X448+'Row data'!$Y448+'Row data'!$Z448+'Row data'!$AA448+'Row data'!$AB448+'Row data'!$AD448-'Row data'!$AC448-'Row data'!$AE448-'Row data'!$AF448-'Row data'!$AG448-'Row data'!$AH448-'Row data'!$AI448</f>
        <v>13655</v>
      </c>
      <c r="AK448" s="39">
        <v>13655</v>
      </c>
      <c r="AL448" s="39">
        <v>0</v>
      </c>
    </row>
    <row r="449" spans="1:38" x14ac:dyDescent="0.3">
      <c r="A449" s="40">
        <v>448</v>
      </c>
      <c r="B449" s="35" t="s">
        <v>237</v>
      </c>
      <c r="C449" s="35">
        <v>9096938</v>
      </c>
      <c r="D449" s="36" t="s">
        <v>813</v>
      </c>
      <c r="E449" s="35" t="s">
        <v>38</v>
      </c>
      <c r="F449" s="35" t="s">
        <v>300</v>
      </c>
      <c r="G449" s="35" t="s">
        <v>50</v>
      </c>
      <c r="H449" s="37" t="s">
        <v>810</v>
      </c>
      <c r="I449" s="38">
        <v>45202</v>
      </c>
      <c r="J449" s="38">
        <v>44562</v>
      </c>
      <c r="K449" s="17">
        <f>YEAR('Row data'!$J449)</f>
        <v>2022</v>
      </c>
      <c r="L449" s="38">
        <v>36257</v>
      </c>
      <c r="M449" s="35" t="str">
        <f ca="1">IF('Row data'!$J449="",DATEDIF('Row data'!$L449,TODAY(),"y"),"0")</f>
        <v>0</v>
      </c>
      <c r="N449" s="35" t="s">
        <v>42</v>
      </c>
      <c r="O449" s="35" t="s">
        <v>553</v>
      </c>
      <c r="P449" s="39" t="s">
        <v>554</v>
      </c>
      <c r="Q449" s="39">
        <v>13405</v>
      </c>
      <c r="R449" s="39">
        <v>12623</v>
      </c>
      <c r="S449" s="39">
        <v>7303</v>
      </c>
      <c r="T449" s="39">
        <v>3652</v>
      </c>
      <c r="U449" s="39">
        <v>750</v>
      </c>
      <c r="V449" s="39">
        <v>450</v>
      </c>
      <c r="W449" s="39">
        <v>0</v>
      </c>
      <c r="X449" s="39">
        <v>0</v>
      </c>
      <c r="Y449" s="39">
        <v>1250</v>
      </c>
      <c r="Z449" s="39">
        <v>450</v>
      </c>
      <c r="AA449" s="39">
        <v>0</v>
      </c>
      <c r="AB449" s="39">
        <v>0</v>
      </c>
      <c r="AC449" s="39">
        <v>0</v>
      </c>
      <c r="AD449" s="39">
        <v>0</v>
      </c>
      <c r="AE449" s="39">
        <v>782</v>
      </c>
      <c r="AF449" s="39">
        <v>0</v>
      </c>
      <c r="AG449" s="39">
        <v>0</v>
      </c>
      <c r="AH449" s="39">
        <v>0</v>
      </c>
      <c r="AI449" s="39">
        <v>0</v>
      </c>
      <c r="AJ449" s="39">
        <f>'Row data'!$S449+'Row data'!$T449+'Row data'!$U449+'Row data'!$W449+'Row data'!$X449+'Row data'!$Y449+'Row data'!$Z449+'Row data'!$AA449+'Row data'!$AB449+'Row data'!$AD449-'Row data'!$AC449-'Row data'!$AE449-'Row data'!$AF449-'Row data'!$AG449-'Row data'!$AH449-'Row data'!$AI449</f>
        <v>12623</v>
      </c>
      <c r="AK449" s="39">
        <v>12623</v>
      </c>
      <c r="AL449" s="39">
        <v>0</v>
      </c>
    </row>
    <row r="450" spans="1:38" x14ac:dyDescent="0.3">
      <c r="A450" s="40">
        <v>449</v>
      </c>
      <c r="B450" s="35" t="s">
        <v>237</v>
      </c>
      <c r="C450" s="35">
        <v>7311242</v>
      </c>
      <c r="D450" s="36" t="s">
        <v>814</v>
      </c>
      <c r="E450" s="35" t="s">
        <v>38</v>
      </c>
      <c r="F450" s="35" t="s">
        <v>300</v>
      </c>
      <c r="G450" s="35" t="s">
        <v>50</v>
      </c>
      <c r="H450" s="37"/>
      <c r="I450" s="38">
        <v>44961</v>
      </c>
      <c r="J450" s="38">
        <v>44562</v>
      </c>
      <c r="K450" s="17">
        <f>YEAR('Row data'!$J450)</f>
        <v>2022</v>
      </c>
      <c r="L450" s="38">
        <v>36526</v>
      </c>
      <c r="M450" s="35" t="str">
        <f ca="1">IF('Row data'!$J450="",DATEDIF('Row data'!$L450,TODAY(),"y"),"0")</f>
        <v>0</v>
      </c>
      <c r="N450" s="35" t="s">
        <v>42</v>
      </c>
      <c r="O450" s="35" t="s">
        <v>553</v>
      </c>
      <c r="P450" s="39" t="s">
        <v>554</v>
      </c>
      <c r="Q450" s="39">
        <v>13405</v>
      </c>
      <c r="R450" s="39">
        <v>13405</v>
      </c>
      <c r="S450" s="39">
        <v>7303</v>
      </c>
      <c r="T450" s="39">
        <v>3652</v>
      </c>
      <c r="U450" s="39">
        <v>750</v>
      </c>
      <c r="V450" s="39">
        <v>450</v>
      </c>
      <c r="W450" s="39">
        <v>0</v>
      </c>
      <c r="X450" s="39">
        <v>0</v>
      </c>
      <c r="Y450" s="39">
        <v>1250</v>
      </c>
      <c r="Z450" s="39">
        <v>450</v>
      </c>
      <c r="AA450" s="39">
        <v>0</v>
      </c>
      <c r="AB450" s="39">
        <v>0</v>
      </c>
      <c r="AC450" s="39">
        <v>0</v>
      </c>
      <c r="AD450" s="39">
        <v>0</v>
      </c>
      <c r="AE450" s="39">
        <v>0</v>
      </c>
      <c r="AF450" s="39">
        <v>0</v>
      </c>
      <c r="AG450" s="39">
        <v>0</v>
      </c>
      <c r="AH450" s="39">
        <v>0</v>
      </c>
      <c r="AI450" s="39">
        <v>0</v>
      </c>
      <c r="AJ450" s="39">
        <f>'Row data'!$S450+'Row data'!$T450+'Row data'!$U450+'Row data'!$W450+'Row data'!$X450+'Row data'!$Y450+'Row data'!$Z450+'Row data'!$AA450+'Row data'!$AB450+'Row data'!$AD450-'Row data'!$AC450-'Row data'!$AE450-'Row data'!$AF450-'Row data'!$AG450-'Row data'!$AH450-'Row data'!$AI450</f>
        <v>13405</v>
      </c>
      <c r="AK450" s="39">
        <v>13405</v>
      </c>
      <c r="AL450" s="39">
        <v>0</v>
      </c>
    </row>
    <row r="451" spans="1:38" x14ac:dyDescent="0.3">
      <c r="A451" s="40">
        <v>450</v>
      </c>
      <c r="B451" s="35" t="s">
        <v>237</v>
      </c>
      <c r="C451" s="35">
        <v>5353632</v>
      </c>
      <c r="D451" s="36" t="s">
        <v>815</v>
      </c>
      <c r="E451" s="35" t="s">
        <v>38</v>
      </c>
      <c r="F451" s="35" t="s">
        <v>345</v>
      </c>
      <c r="G451" s="35" t="s">
        <v>170</v>
      </c>
      <c r="H451" s="37" t="s">
        <v>774</v>
      </c>
      <c r="I451" s="38">
        <v>41445</v>
      </c>
      <c r="J451" s="38"/>
      <c r="K451" s="17"/>
      <c r="L451" s="38">
        <v>29768</v>
      </c>
      <c r="M451" s="35">
        <f ca="1">IF('Row data'!$J451="",DATEDIF('Row data'!$L451,TODAY(),"y"),"0")</f>
        <v>45</v>
      </c>
      <c r="N451" s="35" t="s">
        <v>75</v>
      </c>
      <c r="O451" s="35" t="s">
        <v>553</v>
      </c>
      <c r="P451" s="39" t="s">
        <v>554</v>
      </c>
      <c r="Q451" s="39">
        <v>15368</v>
      </c>
      <c r="R451" s="39">
        <v>15368</v>
      </c>
      <c r="S451" s="39">
        <v>8612</v>
      </c>
      <c r="T451" s="39">
        <v>4306</v>
      </c>
      <c r="U451" s="39">
        <v>750</v>
      </c>
      <c r="V451" s="39">
        <v>450</v>
      </c>
      <c r="W451" s="39">
        <v>0</v>
      </c>
      <c r="X451" s="39">
        <v>0</v>
      </c>
      <c r="Y451" s="39">
        <v>1250</v>
      </c>
      <c r="Z451" s="39">
        <v>450</v>
      </c>
      <c r="AA451" s="39">
        <v>0</v>
      </c>
      <c r="AB451" s="39">
        <v>0</v>
      </c>
      <c r="AC451" s="39">
        <v>0</v>
      </c>
      <c r="AD451" s="39">
        <v>0</v>
      </c>
      <c r="AE451" s="39">
        <v>0</v>
      </c>
      <c r="AF451" s="39">
        <v>0</v>
      </c>
      <c r="AG451" s="39">
        <v>0</v>
      </c>
      <c r="AH451" s="39">
        <v>0</v>
      </c>
      <c r="AI451" s="39">
        <v>0</v>
      </c>
      <c r="AJ451" s="39">
        <f>'Row data'!$S451+'Row data'!$T451+'Row data'!$U451+'Row data'!$W451+'Row data'!$X451+'Row data'!$Y451+'Row data'!$Z451+'Row data'!$AA451+'Row data'!$AB451+'Row data'!$AD451-'Row data'!$AC451-'Row data'!$AE451-'Row data'!$AF451-'Row data'!$AG451-'Row data'!$AH451-'Row data'!$AI451</f>
        <v>15368</v>
      </c>
      <c r="AK451" s="39">
        <v>15368</v>
      </c>
      <c r="AL451" s="39">
        <v>0</v>
      </c>
    </row>
    <row r="452" spans="1:38" x14ac:dyDescent="0.3">
      <c r="A452" s="40">
        <v>451</v>
      </c>
      <c r="B452" s="35" t="s">
        <v>237</v>
      </c>
      <c r="C452" s="35">
        <v>6188011</v>
      </c>
      <c r="D452" s="36" t="s">
        <v>816</v>
      </c>
      <c r="E452" s="35" t="s">
        <v>38</v>
      </c>
      <c r="F452" s="35" t="s">
        <v>345</v>
      </c>
      <c r="G452" s="35" t="s">
        <v>817</v>
      </c>
      <c r="H452" s="37" t="s">
        <v>778</v>
      </c>
      <c r="I452" s="38">
        <v>42920</v>
      </c>
      <c r="J452" s="38">
        <v>44562</v>
      </c>
      <c r="K452" s="17">
        <f>YEAR('Row data'!$J452)</f>
        <v>2022</v>
      </c>
      <c r="L452" s="38">
        <v>32326</v>
      </c>
      <c r="M452" s="35" t="str">
        <f ca="1">IF('Row data'!$J452="",DATEDIF('Row data'!$L452,TODAY(),"y"),"0")</f>
        <v>0</v>
      </c>
      <c r="N452" s="35" t="s">
        <v>42</v>
      </c>
      <c r="O452" s="35" t="s">
        <v>553</v>
      </c>
      <c r="P452" s="39" t="s">
        <v>554</v>
      </c>
      <c r="Q452" s="39">
        <v>13405</v>
      </c>
      <c r="R452" s="39">
        <v>13144</v>
      </c>
      <c r="S452" s="39">
        <v>7303</v>
      </c>
      <c r="T452" s="39">
        <v>3652</v>
      </c>
      <c r="U452" s="39">
        <v>750</v>
      </c>
      <c r="V452" s="39">
        <v>450</v>
      </c>
      <c r="W452" s="39">
        <v>0</v>
      </c>
      <c r="X452" s="39">
        <v>0</v>
      </c>
      <c r="Y452" s="39">
        <v>1250</v>
      </c>
      <c r="Z452" s="39">
        <v>450</v>
      </c>
      <c r="AA452" s="39">
        <v>0</v>
      </c>
      <c r="AB452" s="39">
        <v>0</v>
      </c>
      <c r="AC452" s="39">
        <v>0</v>
      </c>
      <c r="AD452" s="39">
        <v>0</v>
      </c>
      <c r="AE452" s="39">
        <v>261</v>
      </c>
      <c r="AF452" s="39">
        <v>0</v>
      </c>
      <c r="AG452" s="39">
        <v>0</v>
      </c>
      <c r="AH452" s="39">
        <v>0</v>
      </c>
      <c r="AI452" s="39">
        <v>0</v>
      </c>
      <c r="AJ452" s="39">
        <f>'Row data'!$S452+'Row data'!$T452+'Row data'!$U452+'Row data'!$W452+'Row data'!$X452+'Row data'!$Y452+'Row data'!$Z452+'Row data'!$AA452+'Row data'!$AB452+'Row data'!$AD452-'Row data'!$AC452-'Row data'!$AE452-'Row data'!$AF452-'Row data'!$AG452-'Row data'!$AH452-'Row data'!$AI452</f>
        <v>13144</v>
      </c>
      <c r="AK452" s="39">
        <v>13144</v>
      </c>
      <c r="AL452" s="39">
        <v>0</v>
      </c>
    </row>
    <row r="453" spans="1:38" x14ac:dyDescent="0.3">
      <c r="A453" s="40">
        <v>452</v>
      </c>
      <c r="B453" s="35" t="s">
        <v>237</v>
      </c>
      <c r="C453" s="35">
        <v>8899187</v>
      </c>
      <c r="D453" s="36" t="s">
        <v>818</v>
      </c>
      <c r="E453" s="35" t="s">
        <v>38</v>
      </c>
      <c r="F453" s="35" t="s">
        <v>345</v>
      </c>
      <c r="G453" s="35" t="s">
        <v>170</v>
      </c>
      <c r="H453" s="37" t="s">
        <v>789</v>
      </c>
      <c r="I453" s="38">
        <v>40347</v>
      </c>
      <c r="J453" s="38"/>
      <c r="K453" s="17"/>
      <c r="L453" s="38">
        <v>29952</v>
      </c>
      <c r="M453" s="35">
        <f ca="1">IF('Row data'!$J453="",DATEDIF('Row data'!$L453,TODAY(),"y"),"0")</f>
        <v>44</v>
      </c>
      <c r="N453" s="35" t="s">
        <v>75</v>
      </c>
      <c r="O453" s="35" t="s">
        <v>553</v>
      </c>
      <c r="P453" s="39" t="s">
        <v>554</v>
      </c>
      <c r="Q453" s="39">
        <v>15313</v>
      </c>
      <c r="R453" s="39">
        <v>15313</v>
      </c>
      <c r="S453" s="39">
        <v>8575</v>
      </c>
      <c r="T453" s="39">
        <v>4288</v>
      </c>
      <c r="U453" s="39">
        <v>750</v>
      </c>
      <c r="V453" s="39">
        <v>450</v>
      </c>
      <c r="W453" s="39">
        <v>0</v>
      </c>
      <c r="X453" s="39">
        <v>0</v>
      </c>
      <c r="Y453" s="39">
        <v>1250</v>
      </c>
      <c r="Z453" s="39">
        <v>450</v>
      </c>
      <c r="AA453" s="39">
        <v>350</v>
      </c>
      <c r="AB453" s="39">
        <v>0</v>
      </c>
      <c r="AC453" s="39">
        <v>0</v>
      </c>
      <c r="AD453" s="39">
        <v>0</v>
      </c>
      <c r="AE453" s="39">
        <v>0</v>
      </c>
      <c r="AF453" s="39">
        <v>0</v>
      </c>
      <c r="AG453" s="39">
        <v>0</v>
      </c>
      <c r="AH453" s="39">
        <v>0</v>
      </c>
      <c r="AI453" s="39">
        <v>0</v>
      </c>
      <c r="AJ453" s="39">
        <f>'Row data'!$S453+'Row data'!$T453+'Row data'!$U453+'Row data'!$W453+'Row data'!$X453+'Row data'!$Y453+'Row data'!$Z453+'Row data'!$AA453+'Row data'!$AB453+'Row data'!$AD453-'Row data'!$AC453-'Row data'!$AE453-'Row data'!$AF453-'Row data'!$AG453-'Row data'!$AH453-'Row data'!$AI453</f>
        <v>15663</v>
      </c>
      <c r="AK453" s="39">
        <v>15663</v>
      </c>
      <c r="AL453" s="39">
        <v>0</v>
      </c>
    </row>
    <row r="454" spans="1:38" x14ac:dyDescent="0.3">
      <c r="A454" s="40">
        <v>453</v>
      </c>
      <c r="B454" s="35" t="s">
        <v>237</v>
      </c>
      <c r="C454" s="35">
        <v>8924732</v>
      </c>
      <c r="D454" s="36" t="s">
        <v>819</v>
      </c>
      <c r="E454" s="35" t="s">
        <v>38</v>
      </c>
      <c r="F454" s="35" t="s">
        <v>345</v>
      </c>
      <c r="G454" s="35" t="s">
        <v>649</v>
      </c>
      <c r="H454" s="37" t="s">
        <v>755</v>
      </c>
      <c r="I454" s="38">
        <v>42929</v>
      </c>
      <c r="J454" s="38"/>
      <c r="K454" s="17"/>
      <c r="L454" s="38">
        <v>31413</v>
      </c>
      <c r="M454" s="35">
        <f ca="1">IF('Row data'!$J454="",DATEDIF('Row data'!$L454,TODAY(),"y"),"0")</f>
        <v>40</v>
      </c>
      <c r="N454" s="35" t="s">
        <v>75</v>
      </c>
      <c r="O454" s="35" t="s">
        <v>553</v>
      </c>
      <c r="P454" s="39" t="s">
        <v>554</v>
      </c>
      <c r="Q454" s="39">
        <v>14549</v>
      </c>
      <c r="R454" s="39">
        <v>14549</v>
      </c>
      <c r="S454" s="39">
        <v>8066</v>
      </c>
      <c r="T454" s="39">
        <v>4033</v>
      </c>
      <c r="U454" s="39">
        <v>750</v>
      </c>
      <c r="V454" s="39">
        <v>450</v>
      </c>
      <c r="W454" s="39">
        <v>0</v>
      </c>
      <c r="X454" s="39">
        <v>0</v>
      </c>
      <c r="Y454" s="39">
        <v>1250</v>
      </c>
      <c r="Z454" s="39">
        <v>450</v>
      </c>
      <c r="AA454" s="39">
        <v>250</v>
      </c>
      <c r="AB454" s="39">
        <v>0</v>
      </c>
      <c r="AC454" s="39">
        <v>0</v>
      </c>
      <c r="AD454" s="39">
        <v>0</v>
      </c>
      <c r="AE454" s="39">
        <v>0</v>
      </c>
      <c r="AF454" s="39">
        <v>0</v>
      </c>
      <c r="AG454" s="39">
        <v>0</v>
      </c>
      <c r="AH454" s="39">
        <v>0</v>
      </c>
      <c r="AI454" s="39">
        <v>0</v>
      </c>
      <c r="AJ454" s="39">
        <f>'Row data'!$S454+'Row data'!$T454+'Row data'!$U454+'Row data'!$W454+'Row data'!$X454+'Row data'!$Y454+'Row data'!$Z454+'Row data'!$AA454+'Row data'!$AB454+'Row data'!$AD454-'Row data'!$AC454-'Row data'!$AE454-'Row data'!$AF454-'Row data'!$AG454-'Row data'!$AH454-'Row data'!$AI454</f>
        <v>14799</v>
      </c>
      <c r="AK454" s="39">
        <v>14799</v>
      </c>
      <c r="AL454" s="39">
        <v>0</v>
      </c>
    </row>
    <row r="455" spans="1:38" x14ac:dyDescent="0.3">
      <c r="A455" s="40">
        <v>454</v>
      </c>
      <c r="B455" s="35" t="s">
        <v>237</v>
      </c>
      <c r="C455" s="35">
        <v>9182183</v>
      </c>
      <c r="D455" s="36" t="s">
        <v>820</v>
      </c>
      <c r="E455" s="35" t="s">
        <v>38</v>
      </c>
      <c r="F455" s="35" t="s">
        <v>345</v>
      </c>
      <c r="G455" s="35" t="s">
        <v>164</v>
      </c>
      <c r="H455" s="37" t="s">
        <v>755</v>
      </c>
      <c r="I455" s="38">
        <v>43010</v>
      </c>
      <c r="J455" s="38"/>
      <c r="K455" s="17"/>
      <c r="L455" s="38">
        <v>30632</v>
      </c>
      <c r="M455" s="35">
        <f ca="1">IF('Row data'!$J455="",DATEDIF('Row data'!$L455,TODAY(),"y"),"0")</f>
        <v>42</v>
      </c>
      <c r="N455" s="35" t="s">
        <v>75</v>
      </c>
      <c r="O455" s="35" t="s">
        <v>553</v>
      </c>
      <c r="P455" s="39" t="s">
        <v>554</v>
      </c>
      <c r="Q455" s="39">
        <v>15337</v>
      </c>
      <c r="R455" s="39">
        <v>15337</v>
      </c>
      <c r="S455" s="39">
        <v>8591</v>
      </c>
      <c r="T455" s="39">
        <v>4296</v>
      </c>
      <c r="U455" s="39">
        <v>750</v>
      </c>
      <c r="V455" s="39">
        <v>450</v>
      </c>
      <c r="W455" s="39">
        <v>0</v>
      </c>
      <c r="X455" s="39">
        <v>0</v>
      </c>
      <c r="Y455" s="39">
        <v>1250</v>
      </c>
      <c r="Z455" s="39">
        <v>450</v>
      </c>
      <c r="AA455" s="39">
        <v>350</v>
      </c>
      <c r="AB455" s="39">
        <v>0</v>
      </c>
      <c r="AC455" s="39">
        <v>0</v>
      </c>
      <c r="AD455" s="39">
        <v>0</v>
      </c>
      <c r="AE455" s="39">
        <v>0</v>
      </c>
      <c r="AF455" s="39">
        <v>0</v>
      </c>
      <c r="AG455" s="39">
        <v>0</v>
      </c>
      <c r="AH455" s="39">
        <v>0</v>
      </c>
      <c r="AI455" s="39">
        <v>0</v>
      </c>
      <c r="AJ455" s="39">
        <f>'Row data'!$S455+'Row data'!$T455+'Row data'!$U455+'Row data'!$W455+'Row data'!$X455+'Row data'!$Y455+'Row data'!$Z455+'Row data'!$AA455+'Row data'!$AB455+'Row data'!$AD455-'Row data'!$AC455-'Row data'!$AE455-'Row data'!$AF455-'Row data'!$AG455-'Row data'!$AH455-'Row data'!$AI455</f>
        <v>15687</v>
      </c>
      <c r="AK455" s="39">
        <v>15687</v>
      </c>
      <c r="AL455" s="39">
        <v>0</v>
      </c>
    </row>
    <row r="456" spans="1:38" x14ac:dyDescent="0.3">
      <c r="A456" s="40">
        <v>455</v>
      </c>
      <c r="B456" s="35" t="s">
        <v>237</v>
      </c>
      <c r="C456" s="35">
        <v>5204787</v>
      </c>
      <c r="D456" s="36" t="s">
        <v>821</v>
      </c>
      <c r="E456" s="35" t="s">
        <v>38</v>
      </c>
      <c r="F456" s="35" t="s">
        <v>345</v>
      </c>
      <c r="G456" s="35" t="s">
        <v>164</v>
      </c>
      <c r="H456" s="37" t="s">
        <v>789</v>
      </c>
      <c r="I456" s="38">
        <v>40666</v>
      </c>
      <c r="J456" s="38"/>
      <c r="K456" s="17"/>
      <c r="L456" s="38">
        <v>30082</v>
      </c>
      <c r="M456" s="35">
        <f ca="1">IF('Row data'!$J456="",DATEDIF('Row data'!$L456,TODAY(),"y"),"0")</f>
        <v>44</v>
      </c>
      <c r="N456" s="35" t="s">
        <v>75</v>
      </c>
      <c r="O456" s="35" t="s">
        <v>553</v>
      </c>
      <c r="P456" s="39" t="s">
        <v>554</v>
      </c>
      <c r="Q456" s="39">
        <v>15337</v>
      </c>
      <c r="R456" s="39">
        <v>15337</v>
      </c>
      <c r="S456" s="39">
        <v>8591</v>
      </c>
      <c r="T456" s="39">
        <v>4296</v>
      </c>
      <c r="U456" s="39">
        <v>750</v>
      </c>
      <c r="V456" s="39">
        <v>450</v>
      </c>
      <c r="W456" s="39">
        <v>0</v>
      </c>
      <c r="X456" s="39">
        <v>0</v>
      </c>
      <c r="Y456" s="39">
        <v>1250</v>
      </c>
      <c r="Z456" s="39">
        <v>450</v>
      </c>
      <c r="AA456" s="39">
        <v>350</v>
      </c>
      <c r="AB456" s="39">
        <v>0</v>
      </c>
      <c r="AC456" s="39">
        <v>0</v>
      </c>
      <c r="AD456" s="39">
        <v>0</v>
      </c>
      <c r="AE456" s="39">
        <v>0</v>
      </c>
      <c r="AF456" s="39">
        <v>0</v>
      </c>
      <c r="AG456" s="39">
        <v>0</v>
      </c>
      <c r="AH456" s="39">
        <v>0</v>
      </c>
      <c r="AI456" s="39">
        <v>0</v>
      </c>
      <c r="AJ456" s="39">
        <f>'Row data'!$S456+'Row data'!$T456+'Row data'!$U456+'Row data'!$W456+'Row data'!$X456+'Row data'!$Y456+'Row data'!$Z456+'Row data'!$AA456+'Row data'!$AB456+'Row data'!$AD456-'Row data'!$AC456-'Row data'!$AE456-'Row data'!$AF456-'Row data'!$AG456-'Row data'!$AH456-'Row data'!$AI456</f>
        <v>15687</v>
      </c>
      <c r="AK456" s="39">
        <v>15687</v>
      </c>
      <c r="AL456" s="39">
        <v>0</v>
      </c>
    </row>
    <row r="457" spans="1:38" x14ac:dyDescent="0.3">
      <c r="A457" s="40">
        <v>456</v>
      </c>
      <c r="B457" s="35" t="s">
        <v>237</v>
      </c>
      <c r="C457" s="35">
        <v>6930134</v>
      </c>
      <c r="D457" s="36" t="s">
        <v>822</v>
      </c>
      <c r="E457" s="35" t="s">
        <v>38</v>
      </c>
      <c r="F457" s="35" t="s">
        <v>345</v>
      </c>
      <c r="G457" s="35" t="s">
        <v>170</v>
      </c>
      <c r="H457" s="37" t="s">
        <v>774</v>
      </c>
      <c r="I457" s="38">
        <v>42931</v>
      </c>
      <c r="J457" s="38"/>
      <c r="K457" s="17"/>
      <c r="L457" s="38">
        <v>26409</v>
      </c>
      <c r="M457" s="35">
        <f ca="1">IF('Row data'!$J457="",DATEDIF('Row data'!$L457,TODAY(),"y"),"0")</f>
        <v>54</v>
      </c>
      <c r="N457" s="35" t="s">
        <v>75</v>
      </c>
      <c r="O457" s="35" t="s">
        <v>553</v>
      </c>
      <c r="P457" s="39" t="s">
        <v>554</v>
      </c>
      <c r="Q457" s="39">
        <v>13405</v>
      </c>
      <c r="R457" s="39">
        <v>13405</v>
      </c>
      <c r="S457" s="39">
        <v>7303</v>
      </c>
      <c r="T457" s="39">
        <v>3652</v>
      </c>
      <c r="U457" s="39">
        <v>750</v>
      </c>
      <c r="V457" s="39">
        <v>450</v>
      </c>
      <c r="W457" s="39">
        <v>0</v>
      </c>
      <c r="X457" s="39">
        <v>0</v>
      </c>
      <c r="Y457" s="39">
        <v>1250</v>
      </c>
      <c r="Z457" s="39">
        <v>450</v>
      </c>
      <c r="AA457" s="39">
        <v>350</v>
      </c>
      <c r="AB457" s="39">
        <v>0</v>
      </c>
      <c r="AC457" s="39">
        <v>0</v>
      </c>
      <c r="AD457" s="39">
        <v>0</v>
      </c>
      <c r="AE457" s="39">
        <v>0</v>
      </c>
      <c r="AF457" s="39">
        <v>0</v>
      </c>
      <c r="AG457" s="39">
        <v>0</v>
      </c>
      <c r="AH457" s="39">
        <v>0</v>
      </c>
      <c r="AI457" s="39">
        <v>0</v>
      </c>
      <c r="AJ457" s="39">
        <f>'Row data'!$S457+'Row data'!$T457+'Row data'!$U457+'Row data'!$W457+'Row data'!$X457+'Row data'!$Y457+'Row data'!$Z457+'Row data'!$AA457+'Row data'!$AB457+'Row data'!$AD457-'Row data'!$AC457-'Row data'!$AE457-'Row data'!$AF457-'Row data'!$AG457-'Row data'!$AH457-'Row data'!$AI457</f>
        <v>13755</v>
      </c>
      <c r="AK457" s="39">
        <v>13755</v>
      </c>
      <c r="AL457" s="39">
        <v>0</v>
      </c>
    </row>
    <row r="458" spans="1:38" x14ac:dyDescent="0.3">
      <c r="A458" s="40">
        <v>457</v>
      </c>
      <c r="B458" s="35" t="s">
        <v>237</v>
      </c>
      <c r="C458" s="35">
        <v>6678668</v>
      </c>
      <c r="D458" s="36" t="s">
        <v>823</v>
      </c>
      <c r="E458" s="35" t="s">
        <v>38</v>
      </c>
      <c r="F458" s="35" t="s">
        <v>345</v>
      </c>
      <c r="G458" s="35" t="s">
        <v>170</v>
      </c>
      <c r="H458" s="37" t="s">
        <v>748</v>
      </c>
      <c r="I458" s="38">
        <v>42409</v>
      </c>
      <c r="J458" s="38"/>
      <c r="K458" s="17"/>
      <c r="L458" s="38">
        <v>29616</v>
      </c>
      <c r="M458" s="35">
        <f ca="1">IF('Row data'!$J458="",DATEDIF('Row data'!$L458,TODAY(),"y"),"0")</f>
        <v>45</v>
      </c>
      <c r="N458" s="35" t="s">
        <v>75</v>
      </c>
      <c r="O458" s="35" t="s">
        <v>553</v>
      </c>
      <c r="P458" s="39" t="s">
        <v>554</v>
      </c>
      <c r="Q458" s="39">
        <v>13458</v>
      </c>
      <c r="R458" s="39">
        <v>13458</v>
      </c>
      <c r="S458" s="39">
        <v>7339</v>
      </c>
      <c r="T458" s="39">
        <v>3669</v>
      </c>
      <c r="U458" s="39">
        <v>750</v>
      </c>
      <c r="V458" s="39">
        <v>450</v>
      </c>
      <c r="W458" s="39">
        <v>0</v>
      </c>
      <c r="X458" s="39">
        <v>0</v>
      </c>
      <c r="Y458" s="39">
        <v>1250</v>
      </c>
      <c r="Z458" s="39">
        <v>450</v>
      </c>
      <c r="AA458" s="39">
        <v>350</v>
      </c>
      <c r="AB458" s="39">
        <v>0</v>
      </c>
      <c r="AC458" s="39">
        <v>0</v>
      </c>
      <c r="AD458" s="39">
        <v>0</v>
      </c>
      <c r="AE458" s="39">
        <v>0</v>
      </c>
      <c r="AF458" s="39">
        <v>0</v>
      </c>
      <c r="AG458" s="39">
        <v>0</v>
      </c>
      <c r="AH458" s="39">
        <v>0</v>
      </c>
      <c r="AI458" s="39">
        <v>0</v>
      </c>
      <c r="AJ458" s="39">
        <f>'Row data'!$S458+'Row data'!$T458+'Row data'!$U458+'Row data'!$W458+'Row data'!$X458+'Row data'!$Y458+'Row data'!$Z458+'Row data'!$AA458+'Row data'!$AB458+'Row data'!$AD458-'Row data'!$AC458-'Row data'!$AE458-'Row data'!$AF458-'Row data'!$AG458-'Row data'!$AH458-'Row data'!$AI458</f>
        <v>13808</v>
      </c>
      <c r="AK458" s="39">
        <v>13808</v>
      </c>
      <c r="AL458" s="39">
        <v>0</v>
      </c>
    </row>
    <row r="459" spans="1:38" x14ac:dyDescent="0.3">
      <c r="A459" s="40">
        <v>458</v>
      </c>
      <c r="B459" s="35" t="s">
        <v>237</v>
      </c>
      <c r="C459" s="35">
        <v>7086300</v>
      </c>
      <c r="D459" s="36" t="s">
        <v>824</v>
      </c>
      <c r="E459" s="35" t="s">
        <v>38</v>
      </c>
      <c r="F459" s="35" t="s">
        <v>345</v>
      </c>
      <c r="G459" s="35" t="s">
        <v>170</v>
      </c>
      <c r="H459" s="37" t="s">
        <v>767</v>
      </c>
      <c r="I459" s="38">
        <v>42919</v>
      </c>
      <c r="J459" s="38"/>
      <c r="K459" s="17"/>
      <c r="L459" s="38">
        <v>34822</v>
      </c>
      <c r="M459" s="35">
        <f ca="1">IF('Row data'!$J459="",DATEDIF('Row data'!$L459,TODAY(),"y"),"0")</f>
        <v>31</v>
      </c>
      <c r="N459" s="35" t="s">
        <v>75</v>
      </c>
      <c r="O459" s="35" t="s">
        <v>553</v>
      </c>
      <c r="P459" s="39" t="s">
        <v>554</v>
      </c>
      <c r="Q459" s="39">
        <v>13405</v>
      </c>
      <c r="R459" s="39">
        <v>13405</v>
      </c>
      <c r="S459" s="39">
        <v>7303</v>
      </c>
      <c r="T459" s="39">
        <v>3652</v>
      </c>
      <c r="U459" s="39">
        <v>750</v>
      </c>
      <c r="V459" s="39">
        <v>450</v>
      </c>
      <c r="W459" s="39">
        <v>0</v>
      </c>
      <c r="X459" s="39">
        <v>0</v>
      </c>
      <c r="Y459" s="39">
        <v>1250</v>
      </c>
      <c r="Z459" s="39">
        <v>450</v>
      </c>
      <c r="AA459" s="39">
        <v>350</v>
      </c>
      <c r="AB459" s="39">
        <v>0</v>
      </c>
      <c r="AC459" s="39">
        <v>0</v>
      </c>
      <c r="AD459" s="39">
        <v>0</v>
      </c>
      <c r="AE459" s="39">
        <v>0</v>
      </c>
      <c r="AF459" s="39">
        <v>0</v>
      </c>
      <c r="AG459" s="39">
        <v>0</v>
      </c>
      <c r="AH459" s="39">
        <v>0</v>
      </c>
      <c r="AI459" s="39">
        <v>0</v>
      </c>
      <c r="AJ459" s="39">
        <f>'Row data'!$S459+'Row data'!$T459+'Row data'!$U459+'Row data'!$W459+'Row data'!$X459+'Row data'!$Y459+'Row data'!$Z459+'Row data'!$AA459+'Row data'!$AB459+'Row data'!$AD459-'Row data'!$AC459-'Row data'!$AE459-'Row data'!$AF459-'Row data'!$AG459-'Row data'!$AH459-'Row data'!$AI459</f>
        <v>13755</v>
      </c>
      <c r="AK459" s="39">
        <v>13755</v>
      </c>
      <c r="AL459" s="39">
        <v>0</v>
      </c>
    </row>
    <row r="460" spans="1:38" x14ac:dyDescent="0.3">
      <c r="A460" s="40">
        <v>459</v>
      </c>
      <c r="B460" s="35" t="s">
        <v>237</v>
      </c>
      <c r="C460" s="35">
        <v>8609517</v>
      </c>
      <c r="D460" s="36" t="s">
        <v>825</v>
      </c>
      <c r="E460" s="35" t="s">
        <v>38</v>
      </c>
      <c r="F460" s="35" t="s">
        <v>345</v>
      </c>
      <c r="G460" s="35" t="s">
        <v>164</v>
      </c>
      <c r="H460" s="37" t="s">
        <v>755</v>
      </c>
      <c r="I460" s="38">
        <v>37288</v>
      </c>
      <c r="J460" s="38"/>
      <c r="K460" s="17"/>
      <c r="L460" s="38">
        <v>29412</v>
      </c>
      <c r="M460" s="35">
        <f ca="1">IF('Row data'!$J460="",DATEDIF('Row data'!$L460,TODAY(),"y"),"0")</f>
        <v>46</v>
      </c>
      <c r="N460" s="35" t="s">
        <v>75</v>
      </c>
      <c r="O460" s="35" t="s">
        <v>553</v>
      </c>
      <c r="P460" s="39" t="s">
        <v>554</v>
      </c>
      <c r="Q460" s="39">
        <v>17093</v>
      </c>
      <c r="R460" s="39">
        <v>17093</v>
      </c>
      <c r="S460" s="39">
        <v>9762</v>
      </c>
      <c r="T460" s="39">
        <v>4881</v>
      </c>
      <c r="U460" s="39">
        <v>750</v>
      </c>
      <c r="V460" s="39">
        <v>450</v>
      </c>
      <c r="W460" s="39">
        <v>0</v>
      </c>
      <c r="X460" s="39">
        <v>0</v>
      </c>
      <c r="Y460" s="39">
        <v>1250</v>
      </c>
      <c r="Z460" s="39">
        <v>450</v>
      </c>
      <c r="AA460" s="39">
        <v>350</v>
      </c>
      <c r="AB460" s="39">
        <v>0</v>
      </c>
      <c r="AC460" s="39">
        <v>0</v>
      </c>
      <c r="AD460" s="39">
        <v>0</v>
      </c>
      <c r="AE460" s="39">
        <v>0</v>
      </c>
      <c r="AF460" s="39">
        <v>0</v>
      </c>
      <c r="AG460" s="39">
        <v>0</v>
      </c>
      <c r="AH460" s="39">
        <v>0</v>
      </c>
      <c r="AI460" s="39">
        <v>0</v>
      </c>
      <c r="AJ460" s="39">
        <f>'Row data'!$S460+'Row data'!$T460+'Row data'!$U460+'Row data'!$W460+'Row data'!$X460+'Row data'!$Y460+'Row data'!$Z460+'Row data'!$AA460+'Row data'!$AB460+'Row data'!$AD460-'Row data'!$AC460-'Row data'!$AE460-'Row data'!$AF460-'Row data'!$AG460-'Row data'!$AH460-'Row data'!$AI460</f>
        <v>17443</v>
      </c>
      <c r="AK460" s="39">
        <v>17443</v>
      </c>
      <c r="AL460" s="39">
        <v>0</v>
      </c>
    </row>
    <row r="461" spans="1:38" x14ac:dyDescent="0.3">
      <c r="A461" s="40">
        <v>460</v>
      </c>
      <c r="B461" s="35" t="s">
        <v>237</v>
      </c>
      <c r="C461" s="35">
        <v>8135576</v>
      </c>
      <c r="D461" s="36" t="s">
        <v>826</v>
      </c>
      <c r="E461" s="35" t="s">
        <v>38</v>
      </c>
      <c r="F461" s="35" t="s">
        <v>345</v>
      </c>
      <c r="G461" s="35" t="s">
        <v>170</v>
      </c>
      <c r="H461" s="37" t="s">
        <v>780</v>
      </c>
      <c r="I461" s="38">
        <v>41003</v>
      </c>
      <c r="J461" s="38"/>
      <c r="K461" s="17"/>
      <c r="L461" s="38">
        <v>30294</v>
      </c>
      <c r="M461" s="35">
        <f ca="1">IF('Row data'!$J461="",DATEDIF('Row data'!$L461,TODAY(),"y"),"0")</f>
        <v>43</v>
      </c>
      <c r="N461" s="35" t="s">
        <v>75</v>
      </c>
      <c r="O461" s="35" t="s">
        <v>553</v>
      </c>
      <c r="P461" s="39" t="s">
        <v>554</v>
      </c>
      <c r="Q461" s="39">
        <v>14533</v>
      </c>
      <c r="R461" s="39">
        <v>14533</v>
      </c>
      <c r="S461" s="39">
        <v>8055</v>
      </c>
      <c r="T461" s="39">
        <v>4028</v>
      </c>
      <c r="U461" s="39">
        <v>750</v>
      </c>
      <c r="V461" s="39">
        <v>450</v>
      </c>
      <c r="W461" s="39">
        <v>0</v>
      </c>
      <c r="X461" s="39">
        <v>0</v>
      </c>
      <c r="Y461" s="39">
        <v>1250</v>
      </c>
      <c r="Z461" s="39">
        <v>450</v>
      </c>
      <c r="AA461" s="39">
        <v>350</v>
      </c>
      <c r="AB461" s="39">
        <v>0</v>
      </c>
      <c r="AC461" s="39">
        <v>0</v>
      </c>
      <c r="AD461" s="39">
        <v>0</v>
      </c>
      <c r="AE461" s="39">
        <v>0</v>
      </c>
      <c r="AF461" s="39">
        <v>0</v>
      </c>
      <c r="AG461" s="39">
        <v>0</v>
      </c>
      <c r="AH461" s="39">
        <v>0</v>
      </c>
      <c r="AI461" s="39">
        <v>0</v>
      </c>
      <c r="AJ461" s="39">
        <f>'Row data'!$S461+'Row data'!$T461+'Row data'!$U461+'Row data'!$W461+'Row data'!$X461+'Row data'!$Y461+'Row data'!$Z461+'Row data'!$AA461+'Row data'!$AB461+'Row data'!$AD461-'Row data'!$AC461-'Row data'!$AE461-'Row data'!$AF461-'Row data'!$AG461-'Row data'!$AH461-'Row data'!$AI461</f>
        <v>14883</v>
      </c>
      <c r="AK461" s="39">
        <v>14883</v>
      </c>
      <c r="AL461" s="39">
        <v>0</v>
      </c>
    </row>
    <row r="462" spans="1:38" x14ac:dyDescent="0.3">
      <c r="A462" s="40">
        <v>461</v>
      </c>
      <c r="B462" s="35" t="s">
        <v>237</v>
      </c>
      <c r="C462" s="35">
        <v>9622272</v>
      </c>
      <c r="D462" s="36" t="s">
        <v>827</v>
      </c>
      <c r="E462" s="35" t="s">
        <v>38</v>
      </c>
      <c r="F462" s="35" t="s">
        <v>345</v>
      </c>
      <c r="G462" s="35" t="s">
        <v>164</v>
      </c>
      <c r="H462" s="37" t="s">
        <v>782</v>
      </c>
      <c r="I462" s="38">
        <v>42126</v>
      </c>
      <c r="J462" s="38"/>
      <c r="K462" s="17"/>
      <c r="L462" s="38">
        <v>27516</v>
      </c>
      <c r="M462" s="35">
        <f ca="1">IF('Row data'!$J462="",DATEDIF('Row data'!$L462,TODAY(),"y"),"0")</f>
        <v>51</v>
      </c>
      <c r="N462" s="35" t="s">
        <v>75</v>
      </c>
      <c r="O462" s="35" t="s">
        <v>553</v>
      </c>
      <c r="P462" s="39" t="s">
        <v>554</v>
      </c>
      <c r="Q462" s="39">
        <v>15337</v>
      </c>
      <c r="R462" s="39">
        <v>15337</v>
      </c>
      <c r="S462" s="39">
        <v>8591</v>
      </c>
      <c r="T462" s="39">
        <v>4296</v>
      </c>
      <c r="U462" s="39">
        <v>750</v>
      </c>
      <c r="V462" s="39">
        <v>450</v>
      </c>
      <c r="W462" s="39">
        <v>0</v>
      </c>
      <c r="X462" s="39">
        <v>0</v>
      </c>
      <c r="Y462" s="39">
        <v>1250</v>
      </c>
      <c r="Z462" s="39">
        <v>450</v>
      </c>
      <c r="AA462" s="39">
        <v>250</v>
      </c>
      <c r="AB462" s="39">
        <v>0</v>
      </c>
      <c r="AC462" s="39">
        <v>0</v>
      </c>
      <c r="AD462" s="39">
        <v>0</v>
      </c>
      <c r="AE462" s="39">
        <v>0</v>
      </c>
      <c r="AF462" s="39">
        <v>0</v>
      </c>
      <c r="AG462" s="39">
        <v>0</v>
      </c>
      <c r="AH462" s="39">
        <v>0</v>
      </c>
      <c r="AI462" s="39">
        <v>0</v>
      </c>
      <c r="AJ462" s="39">
        <f>'Row data'!$S462+'Row data'!$T462+'Row data'!$U462+'Row data'!$W462+'Row data'!$X462+'Row data'!$Y462+'Row data'!$Z462+'Row data'!$AA462+'Row data'!$AB462+'Row data'!$AD462-'Row data'!$AC462-'Row data'!$AE462-'Row data'!$AF462-'Row data'!$AG462-'Row data'!$AH462-'Row data'!$AI462</f>
        <v>15587</v>
      </c>
      <c r="AK462" s="39">
        <v>15587</v>
      </c>
      <c r="AL462" s="39">
        <v>0</v>
      </c>
    </row>
    <row r="463" spans="1:38" x14ac:dyDescent="0.3">
      <c r="A463" s="40">
        <v>462</v>
      </c>
      <c r="B463" s="35" t="s">
        <v>237</v>
      </c>
      <c r="C463" s="35">
        <v>5573112</v>
      </c>
      <c r="D463" s="36" t="s">
        <v>828</v>
      </c>
      <c r="E463" s="35" t="s">
        <v>38</v>
      </c>
      <c r="F463" s="35" t="s">
        <v>345</v>
      </c>
      <c r="G463" s="35" t="s">
        <v>170</v>
      </c>
      <c r="H463" s="37" t="s">
        <v>782</v>
      </c>
      <c r="I463" s="38">
        <v>40735</v>
      </c>
      <c r="J463" s="38"/>
      <c r="K463" s="17"/>
      <c r="L463" s="38">
        <v>24795</v>
      </c>
      <c r="M463" s="35">
        <f ca="1">IF('Row data'!$J463="",DATEDIF('Row data'!$L463,TODAY(),"y"),"0")</f>
        <v>58</v>
      </c>
      <c r="N463" s="35" t="s">
        <v>75</v>
      </c>
      <c r="O463" s="35" t="s">
        <v>553</v>
      </c>
      <c r="P463" s="39" t="s">
        <v>554</v>
      </c>
      <c r="Q463" s="39">
        <v>14603</v>
      </c>
      <c r="R463" s="39">
        <v>14603</v>
      </c>
      <c r="S463" s="39">
        <v>8102</v>
      </c>
      <c r="T463" s="39">
        <v>4051</v>
      </c>
      <c r="U463" s="39">
        <v>750</v>
      </c>
      <c r="V463" s="39">
        <v>450</v>
      </c>
      <c r="W463" s="39">
        <v>0</v>
      </c>
      <c r="X463" s="39">
        <v>0</v>
      </c>
      <c r="Y463" s="39">
        <v>1250</v>
      </c>
      <c r="Z463" s="39">
        <v>450</v>
      </c>
      <c r="AA463" s="39">
        <v>350</v>
      </c>
      <c r="AB463" s="39">
        <v>0</v>
      </c>
      <c r="AC463" s="39">
        <v>0</v>
      </c>
      <c r="AD463" s="39">
        <v>0</v>
      </c>
      <c r="AE463" s="39">
        <v>0</v>
      </c>
      <c r="AF463" s="39">
        <v>0</v>
      </c>
      <c r="AG463" s="39">
        <v>0</v>
      </c>
      <c r="AH463" s="39">
        <v>0</v>
      </c>
      <c r="AI463" s="39">
        <v>0</v>
      </c>
      <c r="AJ463" s="39">
        <f>'Row data'!$S463+'Row data'!$T463+'Row data'!$U463+'Row data'!$W463+'Row data'!$X463+'Row data'!$Y463+'Row data'!$Z463+'Row data'!$AA463+'Row data'!$AB463+'Row data'!$AD463-'Row data'!$AC463-'Row data'!$AE463-'Row data'!$AF463-'Row data'!$AG463-'Row data'!$AH463-'Row data'!$AI463</f>
        <v>14953</v>
      </c>
      <c r="AK463" s="39">
        <v>14953</v>
      </c>
      <c r="AL463" s="39">
        <v>0</v>
      </c>
    </row>
    <row r="464" spans="1:38" x14ac:dyDescent="0.3">
      <c r="A464" s="40">
        <v>463</v>
      </c>
      <c r="B464" s="35" t="s">
        <v>237</v>
      </c>
      <c r="C464" s="35">
        <v>7114389</v>
      </c>
      <c r="D464" s="36" t="s">
        <v>829</v>
      </c>
      <c r="E464" s="35" t="s">
        <v>38</v>
      </c>
      <c r="F464" s="35" t="s">
        <v>345</v>
      </c>
      <c r="G464" s="35" t="s">
        <v>170</v>
      </c>
      <c r="H464" s="37" t="s">
        <v>780</v>
      </c>
      <c r="I464" s="38">
        <v>42925</v>
      </c>
      <c r="J464" s="38"/>
      <c r="K464" s="17"/>
      <c r="L464" s="38">
        <v>29960</v>
      </c>
      <c r="M464" s="35">
        <f ca="1">IF('Row data'!$J464="",DATEDIF('Row data'!$L464,TODAY(),"y"),"0")</f>
        <v>44</v>
      </c>
      <c r="N464" s="35" t="s">
        <v>75</v>
      </c>
      <c r="O464" s="35" t="s">
        <v>553</v>
      </c>
      <c r="P464" s="39" t="s">
        <v>554</v>
      </c>
      <c r="Q464" s="39">
        <v>13405</v>
      </c>
      <c r="R464" s="39">
        <v>13405</v>
      </c>
      <c r="S464" s="39">
        <v>7303</v>
      </c>
      <c r="T464" s="39">
        <v>3652</v>
      </c>
      <c r="U464" s="39">
        <v>750</v>
      </c>
      <c r="V464" s="39">
        <v>450</v>
      </c>
      <c r="W464" s="39">
        <v>0</v>
      </c>
      <c r="X464" s="39">
        <v>0</v>
      </c>
      <c r="Y464" s="39">
        <v>1250</v>
      </c>
      <c r="Z464" s="39">
        <v>450</v>
      </c>
      <c r="AA464" s="39">
        <v>350</v>
      </c>
      <c r="AB464" s="39">
        <v>0</v>
      </c>
      <c r="AC464" s="39">
        <v>0</v>
      </c>
      <c r="AD464" s="39">
        <v>0</v>
      </c>
      <c r="AE464" s="39">
        <v>0</v>
      </c>
      <c r="AF464" s="39">
        <v>0</v>
      </c>
      <c r="AG464" s="39">
        <v>0</v>
      </c>
      <c r="AH464" s="39">
        <v>0</v>
      </c>
      <c r="AI464" s="39">
        <v>0</v>
      </c>
      <c r="AJ464" s="39">
        <f>'Row data'!$S464+'Row data'!$T464+'Row data'!$U464+'Row data'!$W464+'Row data'!$X464+'Row data'!$Y464+'Row data'!$Z464+'Row data'!$AA464+'Row data'!$AB464+'Row data'!$AD464-'Row data'!$AC464-'Row data'!$AE464-'Row data'!$AF464-'Row data'!$AG464-'Row data'!$AH464-'Row data'!$AI464</f>
        <v>13755</v>
      </c>
      <c r="AK464" s="39">
        <v>13755</v>
      </c>
      <c r="AL464" s="39">
        <v>0</v>
      </c>
    </row>
    <row r="465" spans="1:38" x14ac:dyDescent="0.3">
      <c r="A465" s="40">
        <v>464</v>
      </c>
      <c r="B465" s="35" t="s">
        <v>237</v>
      </c>
      <c r="C465" s="35">
        <v>7710591</v>
      </c>
      <c r="D465" s="36" t="s">
        <v>830</v>
      </c>
      <c r="E465" s="35" t="s">
        <v>38</v>
      </c>
      <c r="F465" s="35" t="s">
        <v>345</v>
      </c>
      <c r="G465" s="35" t="s">
        <v>164</v>
      </c>
      <c r="H465" s="37" t="s">
        <v>774</v>
      </c>
      <c r="I465" s="38">
        <v>39671</v>
      </c>
      <c r="J465" s="38"/>
      <c r="K465" s="17"/>
      <c r="L465" s="38">
        <v>30235</v>
      </c>
      <c r="M465" s="35">
        <f ca="1">IF('Row data'!$J465="",DATEDIF('Row data'!$L465,TODAY(),"y"),"0")</f>
        <v>43</v>
      </c>
      <c r="N465" s="35" t="s">
        <v>75</v>
      </c>
      <c r="O465" s="35" t="s">
        <v>553</v>
      </c>
      <c r="P465" s="39" t="s">
        <v>554</v>
      </c>
      <c r="Q465" s="39">
        <v>17093</v>
      </c>
      <c r="R465" s="39">
        <v>17093</v>
      </c>
      <c r="S465" s="39">
        <v>9762</v>
      </c>
      <c r="T465" s="39">
        <v>4881</v>
      </c>
      <c r="U465" s="39">
        <v>750</v>
      </c>
      <c r="V465" s="39">
        <v>450</v>
      </c>
      <c r="W465" s="39">
        <v>0</v>
      </c>
      <c r="X465" s="39">
        <v>0</v>
      </c>
      <c r="Y465" s="39">
        <v>1250</v>
      </c>
      <c r="Z465" s="39">
        <v>450</v>
      </c>
      <c r="AA465" s="39">
        <v>350</v>
      </c>
      <c r="AB465" s="39">
        <v>0</v>
      </c>
      <c r="AC465" s="39">
        <v>0</v>
      </c>
      <c r="AD465" s="39">
        <v>0</v>
      </c>
      <c r="AE465" s="39">
        <v>0</v>
      </c>
      <c r="AF465" s="39">
        <v>0</v>
      </c>
      <c r="AG465" s="39">
        <v>0</v>
      </c>
      <c r="AH465" s="39">
        <v>0</v>
      </c>
      <c r="AI465" s="39">
        <v>0</v>
      </c>
      <c r="AJ465" s="39">
        <f>'Row data'!$S465+'Row data'!$T465+'Row data'!$U465+'Row data'!$W465+'Row data'!$X465+'Row data'!$Y465+'Row data'!$Z465+'Row data'!$AA465+'Row data'!$AB465+'Row data'!$AD465-'Row data'!$AC465-'Row data'!$AE465-'Row data'!$AF465-'Row data'!$AG465-'Row data'!$AH465-'Row data'!$AI465</f>
        <v>17443</v>
      </c>
      <c r="AK465" s="39">
        <v>17443</v>
      </c>
      <c r="AL465" s="39">
        <v>0</v>
      </c>
    </row>
    <row r="466" spans="1:38" x14ac:dyDescent="0.3">
      <c r="A466" s="40">
        <v>465</v>
      </c>
      <c r="B466" s="35" t="s">
        <v>237</v>
      </c>
      <c r="C466" s="35">
        <v>7902200</v>
      </c>
      <c r="D466" s="36" t="s">
        <v>831</v>
      </c>
      <c r="E466" s="35" t="s">
        <v>38</v>
      </c>
      <c r="F466" s="35" t="s">
        <v>345</v>
      </c>
      <c r="G466" s="35" t="s">
        <v>164</v>
      </c>
      <c r="H466" s="37" t="s">
        <v>767</v>
      </c>
      <c r="I466" s="38">
        <v>40089</v>
      </c>
      <c r="J466" s="38">
        <v>44662</v>
      </c>
      <c r="K466" s="17">
        <f>YEAR('Row data'!$J466)</f>
        <v>2022</v>
      </c>
      <c r="L466" s="38">
        <v>32244</v>
      </c>
      <c r="M466" s="35" t="str">
        <f ca="1">IF('Row data'!$J466="",DATEDIF('Row data'!$L466,TODAY(),"y"),"0")</f>
        <v>0</v>
      </c>
      <c r="N466" s="35" t="s">
        <v>75</v>
      </c>
      <c r="O466" s="35" t="s">
        <v>553</v>
      </c>
      <c r="P466" s="39" t="s">
        <v>554</v>
      </c>
      <c r="Q466" s="39">
        <v>17093</v>
      </c>
      <c r="R466" s="39">
        <v>17093</v>
      </c>
      <c r="S466" s="39">
        <v>9762</v>
      </c>
      <c r="T466" s="39">
        <v>4881</v>
      </c>
      <c r="U466" s="39">
        <v>750</v>
      </c>
      <c r="V466" s="39">
        <v>450</v>
      </c>
      <c r="W466" s="39">
        <v>0</v>
      </c>
      <c r="X466" s="39">
        <v>0</v>
      </c>
      <c r="Y466" s="39">
        <v>1250</v>
      </c>
      <c r="Z466" s="39">
        <v>450</v>
      </c>
      <c r="AA466" s="39">
        <v>0</v>
      </c>
      <c r="AB466" s="39">
        <v>0</v>
      </c>
      <c r="AC466" s="39">
        <v>0</v>
      </c>
      <c r="AD466" s="39">
        <v>0</v>
      </c>
      <c r="AE466" s="39">
        <v>0</v>
      </c>
      <c r="AF466" s="39">
        <v>0</v>
      </c>
      <c r="AG466" s="39">
        <v>0</v>
      </c>
      <c r="AH466" s="39">
        <v>0</v>
      </c>
      <c r="AI466" s="39">
        <v>0</v>
      </c>
      <c r="AJ466" s="39">
        <f>'Row data'!$S466+'Row data'!$T466+'Row data'!$U466+'Row data'!$W466+'Row data'!$X466+'Row data'!$Y466+'Row data'!$Z466+'Row data'!$AA466+'Row data'!$AB466+'Row data'!$AD466-'Row data'!$AC466-'Row data'!$AE466-'Row data'!$AF466-'Row data'!$AG466-'Row data'!$AH466-'Row data'!$AI466</f>
        <v>17093</v>
      </c>
      <c r="AK466" s="39">
        <v>17093</v>
      </c>
      <c r="AL466" s="39">
        <v>0</v>
      </c>
    </row>
    <row r="467" spans="1:38" x14ac:dyDescent="0.3">
      <c r="A467" s="40">
        <v>466</v>
      </c>
      <c r="B467" s="35" t="s">
        <v>237</v>
      </c>
      <c r="C467" s="35">
        <v>9035213</v>
      </c>
      <c r="D467" s="36" t="s">
        <v>832</v>
      </c>
      <c r="E467" s="35" t="s">
        <v>38</v>
      </c>
      <c r="F467" s="35" t="s">
        <v>345</v>
      </c>
      <c r="G467" s="35" t="s">
        <v>164</v>
      </c>
      <c r="H467" s="37" t="s">
        <v>755</v>
      </c>
      <c r="I467" s="38">
        <v>39295</v>
      </c>
      <c r="J467" s="38"/>
      <c r="K467" s="17"/>
      <c r="L467" s="38">
        <v>30091</v>
      </c>
      <c r="M467" s="35">
        <f ca="1">IF('Row data'!$J467="",DATEDIF('Row data'!$L467,TODAY(),"y"),"0")</f>
        <v>44</v>
      </c>
      <c r="N467" s="35" t="s">
        <v>75</v>
      </c>
      <c r="O467" s="35" t="s">
        <v>553</v>
      </c>
      <c r="P467" s="39" t="s">
        <v>554</v>
      </c>
      <c r="Q467" s="39">
        <v>17711</v>
      </c>
      <c r="R467" s="39">
        <v>17711</v>
      </c>
      <c r="S467" s="39">
        <v>10174</v>
      </c>
      <c r="T467" s="39">
        <v>5087</v>
      </c>
      <c r="U467" s="39">
        <v>750</v>
      </c>
      <c r="V467" s="39">
        <v>450</v>
      </c>
      <c r="W467" s="39">
        <v>0</v>
      </c>
      <c r="X467" s="39">
        <v>0</v>
      </c>
      <c r="Y467" s="39">
        <v>1250</v>
      </c>
      <c r="Z467" s="39">
        <v>450</v>
      </c>
      <c r="AA467" s="39">
        <v>350</v>
      </c>
      <c r="AB467" s="39">
        <v>0</v>
      </c>
      <c r="AC467" s="39">
        <v>0</v>
      </c>
      <c r="AD467" s="39">
        <v>0</v>
      </c>
      <c r="AE467" s="39">
        <v>0</v>
      </c>
      <c r="AF467" s="39">
        <v>0</v>
      </c>
      <c r="AG467" s="39">
        <v>0</v>
      </c>
      <c r="AH467" s="39">
        <v>0</v>
      </c>
      <c r="AI467" s="39">
        <v>0</v>
      </c>
      <c r="AJ467" s="39">
        <f>'Row data'!$S467+'Row data'!$T467+'Row data'!$U467+'Row data'!$W467+'Row data'!$X467+'Row data'!$Y467+'Row data'!$Z467+'Row data'!$AA467+'Row data'!$AB467+'Row data'!$AD467-'Row data'!$AC467-'Row data'!$AE467-'Row data'!$AF467-'Row data'!$AG467-'Row data'!$AH467-'Row data'!$AI467</f>
        <v>18061</v>
      </c>
      <c r="AK467" s="39">
        <v>18061</v>
      </c>
      <c r="AL467" s="39">
        <v>0</v>
      </c>
    </row>
    <row r="468" spans="1:38" x14ac:dyDescent="0.3">
      <c r="A468" s="40">
        <v>467</v>
      </c>
      <c r="B468" s="35" t="s">
        <v>237</v>
      </c>
      <c r="C468" s="35">
        <v>9583537</v>
      </c>
      <c r="D468" s="36" t="s">
        <v>833</v>
      </c>
      <c r="E468" s="35" t="s">
        <v>38</v>
      </c>
      <c r="F468" s="35" t="s">
        <v>345</v>
      </c>
      <c r="G468" s="35" t="s">
        <v>164</v>
      </c>
      <c r="H468" s="37" t="s">
        <v>776</v>
      </c>
      <c r="I468" s="38">
        <v>41456</v>
      </c>
      <c r="J468" s="38"/>
      <c r="K468" s="17"/>
      <c r="L468" s="38">
        <v>30365</v>
      </c>
      <c r="M468" s="35">
        <f ca="1">IF('Row data'!$J468="",DATEDIF('Row data'!$L468,TODAY(),"y"),"0")</f>
        <v>43</v>
      </c>
      <c r="N468" s="35" t="s">
        <v>75</v>
      </c>
      <c r="O468" s="35" t="s">
        <v>553</v>
      </c>
      <c r="P468" s="39" t="s">
        <v>554</v>
      </c>
      <c r="Q468" s="39">
        <v>16519</v>
      </c>
      <c r="R468" s="39">
        <v>16519</v>
      </c>
      <c r="S468" s="39">
        <v>9379</v>
      </c>
      <c r="T468" s="39">
        <v>4690</v>
      </c>
      <c r="U468" s="39">
        <v>750</v>
      </c>
      <c r="V468" s="39">
        <v>450</v>
      </c>
      <c r="W468" s="39">
        <v>0</v>
      </c>
      <c r="X468" s="39">
        <v>0</v>
      </c>
      <c r="Y468" s="39">
        <v>1250</v>
      </c>
      <c r="Z468" s="39">
        <v>450</v>
      </c>
      <c r="AA468" s="39">
        <v>0</v>
      </c>
      <c r="AB468" s="39">
        <v>0</v>
      </c>
      <c r="AC468" s="39">
        <v>0</v>
      </c>
      <c r="AD468" s="39">
        <v>0</v>
      </c>
      <c r="AE468" s="39">
        <v>0</v>
      </c>
      <c r="AF468" s="39">
        <v>0</v>
      </c>
      <c r="AG468" s="39">
        <v>0</v>
      </c>
      <c r="AH468" s="39">
        <v>0</v>
      </c>
      <c r="AI468" s="39">
        <v>0</v>
      </c>
      <c r="AJ468" s="39">
        <f>'Row data'!$S468+'Row data'!$T468+'Row data'!$U468+'Row data'!$W468+'Row data'!$X468+'Row data'!$Y468+'Row data'!$Z468+'Row data'!$AA468+'Row data'!$AB468+'Row data'!$AD468-'Row data'!$AC468-'Row data'!$AE468-'Row data'!$AF468-'Row data'!$AG468-'Row data'!$AH468-'Row data'!$AI468</f>
        <v>16519</v>
      </c>
      <c r="AK468" s="39">
        <v>16519</v>
      </c>
      <c r="AL468" s="39">
        <v>0</v>
      </c>
    </row>
    <row r="469" spans="1:38" x14ac:dyDescent="0.3">
      <c r="A469" s="40">
        <v>468</v>
      </c>
      <c r="B469" s="35" t="s">
        <v>237</v>
      </c>
      <c r="C469" s="35">
        <v>5733020</v>
      </c>
      <c r="D469" s="36" t="s">
        <v>834</v>
      </c>
      <c r="E469" s="35" t="s">
        <v>38</v>
      </c>
      <c r="F469" s="35" t="s">
        <v>345</v>
      </c>
      <c r="G469" s="35" t="s">
        <v>170</v>
      </c>
      <c r="H469" s="37" t="s">
        <v>793</v>
      </c>
      <c r="I469" s="38">
        <v>41366</v>
      </c>
      <c r="J469" s="38"/>
      <c r="K469" s="17"/>
      <c r="L469" s="38">
        <v>34366</v>
      </c>
      <c r="M469" s="35">
        <f ca="1">IF('Row data'!$J469="",DATEDIF('Row data'!$L469,TODAY(),"y"),"0")</f>
        <v>32</v>
      </c>
      <c r="N469" s="35" t="s">
        <v>42</v>
      </c>
      <c r="O469" s="35" t="s">
        <v>553</v>
      </c>
      <c r="P469" s="39" t="s">
        <v>554</v>
      </c>
      <c r="Q469" s="39">
        <v>14996</v>
      </c>
      <c r="R469" s="39">
        <v>14996</v>
      </c>
      <c r="S469" s="39">
        <v>8364</v>
      </c>
      <c r="T469" s="39">
        <v>4182</v>
      </c>
      <c r="U469" s="39">
        <v>750</v>
      </c>
      <c r="V469" s="39">
        <v>450</v>
      </c>
      <c r="W469" s="39">
        <v>0</v>
      </c>
      <c r="X469" s="39">
        <v>0</v>
      </c>
      <c r="Y469" s="39">
        <v>1250</v>
      </c>
      <c r="Z469" s="39">
        <v>450</v>
      </c>
      <c r="AA469" s="39">
        <v>350</v>
      </c>
      <c r="AB469" s="39">
        <v>0</v>
      </c>
      <c r="AC469" s="39">
        <v>0</v>
      </c>
      <c r="AD469" s="39">
        <v>0</v>
      </c>
      <c r="AE469" s="39">
        <v>0</v>
      </c>
      <c r="AF469" s="39">
        <v>0</v>
      </c>
      <c r="AG469" s="39">
        <v>0</v>
      </c>
      <c r="AH469" s="39">
        <v>0</v>
      </c>
      <c r="AI469" s="39">
        <v>0</v>
      </c>
      <c r="AJ469" s="39">
        <f>'Row data'!$S469+'Row data'!$T469+'Row data'!$U469+'Row data'!$W469+'Row data'!$X469+'Row data'!$Y469+'Row data'!$Z469+'Row data'!$AA469+'Row data'!$AB469+'Row data'!$AD469-'Row data'!$AC469-'Row data'!$AE469-'Row data'!$AF469-'Row data'!$AG469-'Row data'!$AH469-'Row data'!$AI469</f>
        <v>15346</v>
      </c>
      <c r="AK469" s="39">
        <v>15346</v>
      </c>
      <c r="AL469" s="39">
        <v>0</v>
      </c>
    </row>
    <row r="470" spans="1:38" x14ac:dyDescent="0.3">
      <c r="A470" s="40">
        <v>469</v>
      </c>
      <c r="B470" s="35" t="s">
        <v>237</v>
      </c>
      <c r="C470" s="35">
        <v>5875515</v>
      </c>
      <c r="D470" s="36" t="s">
        <v>835</v>
      </c>
      <c r="E470" s="35" t="s">
        <v>38</v>
      </c>
      <c r="F470" s="35" t="s">
        <v>345</v>
      </c>
      <c r="G470" s="35" t="s">
        <v>164</v>
      </c>
      <c r="H470" s="37" t="s">
        <v>793</v>
      </c>
      <c r="I470" s="38">
        <v>37833</v>
      </c>
      <c r="J470" s="38"/>
      <c r="K470" s="17"/>
      <c r="L470" s="38">
        <v>31325</v>
      </c>
      <c r="M470" s="35">
        <f ca="1">IF('Row data'!$J470="",DATEDIF('Row data'!$L470,TODAY(),"y"),"0")</f>
        <v>40</v>
      </c>
      <c r="N470" s="35" t="s">
        <v>75</v>
      </c>
      <c r="O470" s="35" t="s">
        <v>553</v>
      </c>
      <c r="P470" s="39" t="s">
        <v>554</v>
      </c>
      <c r="Q470" s="39">
        <v>17656</v>
      </c>
      <c r="R470" s="39">
        <v>17656</v>
      </c>
      <c r="S470" s="39">
        <v>10137</v>
      </c>
      <c r="T470" s="39">
        <v>5069</v>
      </c>
      <c r="U470" s="39">
        <v>750</v>
      </c>
      <c r="V470" s="39">
        <v>450</v>
      </c>
      <c r="W470" s="39">
        <v>0</v>
      </c>
      <c r="X470" s="39">
        <v>0</v>
      </c>
      <c r="Y470" s="39">
        <v>1250</v>
      </c>
      <c r="Z470" s="39">
        <v>450</v>
      </c>
      <c r="AA470" s="39">
        <v>0</v>
      </c>
      <c r="AB470" s="39">
        <v>0</v>
      </c>
      <c r="AC470" s="39">
        <v>0</v>
      </c>
      <c r="AD470" s="39">
        <v>0</v>
      </c>
      <c r="AE470" s="39">
        <v>0</v>
      </c>
      <c r="AF470" s="39">
        <v>0</v>
      </c>
      <c r="AG470" s="39">
        <v>0</v>
      </c>
      <c r="AH470" s="39">
        <v>0</v>
      </c>
      <c r="AI470" s="39">
        <v>0</v>
      </c>
      <c r="AJ470" s="39">
        <f>'Row data'!$S470+'Row data'!$T470+'Row data'!$U470+'Row data'!$W470+'Row data'!$X470+'Row data'!$Y470+'Row data'!$Z470+'Row data'!$AA470+'Row data'!$AB470+'Row data'!$AD470-'Row data'!$AC470-'Row data'!$AE470-'Row data'!$AF470-'Row data'!$AG470-'Row data'!$AH470-'Row data'!$AI470</f>
        <v>17656</v>
      </c>
      <c r="AK470" s="39">
        <v>17656</v>
      </c>
      <c r="AL470" s="39">
        <v>0</v>
      </c>
    </row>
    <row r="471" spans="1:38" x14ac:dyDescent="0.3">
      <c r="A471" s="40">
        <v>470</v>
      </c>
      <c r="B471" s="35" t="s">
        <v>237</v>
      </c>
      <c r="C471" s="35">
        <v>7541573</v>
      </c>
      <c r="D471" s="36" t="s">
        <v>836</v>
      </c>
      <c r="E471" s="35" t="s">
        <v>38</v>
      </c>
      <c r="F471" s="35" t="s">
        <v>345</v>
      </c>
      <c r="G471" s="35" t="s">
        <v>164</v>
      </c>
      <c r="H471" s="37" t="s">
        <v>748</v>
      </c>
      <c r="I471" s="38">
        <v>35187</v>
      </c>
      <c r="J471" s="38"/>
      <c r="K471" s="17"/>
      <c r="L471" s="38">
        <v>29587</v>
      </c>
      <c r="M471" s="35">
        <f ca="1">IF('Row data'!$J471="",DATEDIF('Row data'!$L471,TODAY(),"y"),"0")</f>
        <v>45</v>
      </c>
      <c r="N471" s="35" t="s">
        <v>75</v>
      </c>
      <c r="O471" s="35" t="s">
        <v>553</v>
      </c>
      <c r="P471" s="39" t="s">
        <v>554</v>
      </c>
      <c r="Q471" s="39">
        <v>19964</v>
      </c>
      <c r="R471" s="39">
        <v>19964</v>
      </c>
      <c r="S471" s="39">
        <v>11676</v>
      </c>
      <c r="T471" s="39">
        <v>5838</v>
      </c>
      <c r="U471" s="39">
        <v>750</v>
      </c>
      <c r="V471" s="39">
        <v>450</v>
      </c>
      <c r="W471" s="39">
        <v>0</v>
      </c>
      <c r="X471" s="39">
        <v>0</v>
      </c>
      <c r="Y471" s="39">
        <v>1250</v>
      </c>
      <c r="Z471" s="39">
        <v>450</v>
      </c>
      <c r="AA471" s="39">
        <v>350</v>
      </c>
      <c r="AB471" s="39">
        <v>0</v>
      </c>
      <c r="AC471" s="39">
        <v>0</v>
      </c>
      <c r="AD471" s="39">
        <v>0</v>
      </c>
      <c r="AE471" s="39">
        <v>0</v>
      </c>
      <c r="AF471" s="39">
        <v>0</v>
      </c>
      <c r="AG471" s="39">
        <v>0</v>
      </c>
      <c r="AH471" s="39">
        <v>0</v>
      </c>
      <c r="AI471" s="39">
        <v>0</v>
      </c>
      <c r="AJ471" s="39">
        <f>'Row data'!$S471+'Row data'!$T471+'Row data'!$U471+'Row data'!$W471+'Row data'!$X471+'Row data'!$Y471+'Row data'!$Z471+'Row data'!$AA471+'Row data'!$AB471+'Row data'!$AD471-'Row data'!$AC471-'Row data'!$AE471-'Row data'!$AF471-'Row data'!$AG471-'Row data'!$AH471-'Row data'!$AI471</f>
        <v>20314</v>
      </c>
      <c r="AK471" s="39">
        <v>20314</v>
      </c>
      <c r="AL471" s="39">
        <v>0</v>
      </c>
    </row>
    <row r="472" spans="1:38" x14ac:dyDescent="0.3">
      <c r="A472" s="40">
        <v>471</v>
      </c>
      <c r="B472" s="35" t="s">
        <v>237</v>
      </c>
      <c r="C472" s="35">
        <v>7343691</v>
      </c>
      <c r="D472" s="36" t="s">
        <v>837</v>
      </c>
      <c r="E472" s="35" t="s">
        <v>38</v>
      </c>
      <c r="F472" s="35" t="s">
        <v>345</v>
      </c>
      <c r="G472" s="35" t="s">
        <v>164</v>
      </c>
      <c r="H472" s="37" t="s">
        <v>774</v>
      </c>
      <c r="I472" s="38">
        <v>42049</v>
      </c>
      <c r="J472" s="38"/>
      <c r="K472" s="17"/>
      <c r="L472" s="38">
        <v>34398</v>
      </c>
      <c r="M472" s="35">
        <f ca="1">IF('Row data'!$J472="",DATEDIF('Row data'!$L472,TODAY(),"y"),"0")</f>
        <v>32</v>
      </c>
      <c r="N472" s="35" t="s">
        <v>75</v>
      </c>
      <c r="O472" s="35" t="s">
        <v>553</v>
      </c>
      <c r="P472" s="39" t="s">
        <v>554</v>
      </c>
      <c r="Q472" s="39">
        <v>15337</v>
      </c>
      <c r="R472" s="39">
        <v>15337</v>
      </c>
      <c r="S472" s="39">
        <v>8591</v>
      </c>
      <c r="T472" s="39">
        <v>4296</v>
      </c>
      <c r="U472" s="39">
        <v>750</v>
      </c>
      <c r="V472" s="39">
        <v>450</v>
      </c>
      <c r="W472" s="39">
        <v>0</v>
      </c>
      <c r="X472" s="39">
        <v>0</v>
      </c>
      <c r="Y472" s="39">
        <v>1250</v>
      </c>
      <c r="Z472" s="39">
        <v>450</v>
      </c>
      <c r="AA472" s="39">
        <v>350</v>
      </c>
      <c r="AB472" s="39">
        <v>0</v>
      </c>
      <c r="AC472" s="39">
        <v>0</v>
      </c>
      <c r="AD472" s="39">
        <v>0</v>
      </c>
      <c r="AE472" s="39">
        <v>0</v>
      </c>
      <c r="AF472" s="39">
        <v>0</v>
      </c>
      <c r="AG472" s="39">
        <v>0</v>
      </c>
      <c r="AH472" s="39">
        <v>0</v>
      </c>
      <c r="AI472" s="39">
        <v>0</v>
      </c>
      <c r="AJ472" s="39">
        <f>'Row data'!$S472+'Row data'!$T472+'Row data'!$U472+'Row data'!$W472+'Row data'!$X472+'Row data'!$Y472+'Row data'!$Z472+'Row data'!$AA472+'Row data'!$AB472+'Row data'!$AD472-'Row data'!$AC472-'Row data'!$AE472-'Row data'!$AF472-'Row data'!$AG472-'Row data'!$AH472-'Row data'!$AI472</f>
        <v>15687</v>
      </c>
      <c r="AK472" s="39">
        <v>15687</v>
      </c>
      <c r="AL472" s="39">
        <v>0</v>
      </c>
    </row>
    <row r="473" spans="1:38" x14ac:dyDescent="0.3">
      <c r="A473" s="40">
        <v>472</v>
      </c>
      <c r="B473" s="35" t="s">
        <v>237</v>
      </c>
      <c r="C473" s="35">
        <v>5841481</v>
      </c>
      <c r="D473" s="36" t="s">
        <v>838</v>
      </c>
      <c r="E473" s="35" t="s">
        <v>38</v>
      </c>
      <c r="F473" s="35" t="s">
        <v>345</v>
      </c>
      <c r="G473" s="35" t="s">
        <v>839</v>
      </c>
      <c r="H473" s="37" t="s">
        <v>774</v>
      </c>
      <c r="I473" s="38">
        <v>40983</v>
      </c>
      <c r="J473" s="38"/>
      <c r="K473" s="17"/>
      <c r="L473" s="38">
        <v>32874</v>
      </c>
      <c r="M473" s="35">
        <f ca="1">IF('Row data'!$J473="",DATEDIF('Row data'!$L473,TODAY(),"y"),"0")</f>
        <v>36</v>
      </c>
      <c r="N473" s="35" t="s">
        <v>42</v>
      </c>
      <c r="O473" s="35" t="s">
        <v>553</v>
      </c>
      <c r="P473" s="39" t="s">
        <v>554</v>
      </c>
      <c r="Q473" s="39">
        <v>16068</v>
      </c>
      <c r="R473" s="39">
        <v>16068</v>
      </c>
      <c r="S473" s="39">
        <v>9079</v>
      </c>
      <c r="T473" s="39">
        <v>4539</v>
      </c>
      <c r="U473" s="39">
        <v>750</v>
      </c>
      <c r="V473" s="39">
        <v>450</v>
      </c>
      <c r="W473" s="39">
        <v>0</v>
      </c>
      <c r="X473" s="39">
        <v>0</v>
      </c>
      <c r="Y473" s="39">
        <v>1250</v>
      </c>
      <c r="Z473" s="39">
        <v>450</v>
      </c>
      <c r="AA473" s="39">
        <v>0</v>
      </c>
      <c r="AB473" s="39">
        <v>0</v>
      </c>
      <c r="AC473" s="39">
        <v>0</v>
      </c>
      <c r="AD473" s="39">
        <v>0</v>
      </c>
      <c r="AE473" s="39">
        <v>0</v>
      </c>
      <c r="AF473" s="39">
        <v>0</v>
      </c>
      <c r="AG473" s="39">
        <v>0</v>
      </c>
      <c r="AH473" s="39">
        <v>0</v>
      </c>
      <c r="AI473" s="39">
        <v>0</v>
      </c>
      <c r="AJ473" s="39">
        <f>'Row data'!$S473+'Row data'!$T473+'Row data'!$U473+'Row data'!$W473+'Row data'!$X473+'Row data'!$Y473+'Row data'!$Z473+'Row data'!$AA473+'Row data'!$AB473+'Row data'!$AD473-'Row data'!$AC473-'Row data'!$AE473-'Row data'!$AF473-'Row data'!$AG473-'Row data'!$AH473-'Row data'!$AI473</f>
        <v>16068</v>
      </c>
      <c r="AK473" s="39">
        <v>16068</v>
      </c>
      <c r="AL473" s="39">
        <v>0</v>
      </c>
    </row>
    <row r="474" spans="1:38" x14ac:dyDescent="0.3">
      <c r="A474" s="40">
        <v>473</v>
      </c>
      <c r="B474" s="35" t="s">
        <v>237</v>
      </c>
      <c r="C474" s="35">
        <v>7287828</v>
      </c>
      <c r="D474" s="36" t="s">
        <v>840</v>
      </c>
      <c r="E474" s="35" t="s">
        <v>38</v>
      </c>
      <c r="F474" s="35" t="s">
        <v>345</v>
      </c>
      <c r="G474" s="35" t="s">
        <v>95</v>
      </c>
      <c r="H474" s="37" t="s">
        <v>752</v>
      </c>
      <c r="I474" s="38">
        <v>42126</v>
      </c>
      <c r="J474" s="38"/>
      <c r="K474" s="17"/>
      <c r="L474" s="38">
        <v>27916</v>
      </c>
      <c r="M474" s="35">
        <f ca="1">IF('Row data'!$J474="",DATEDIF('Row data'!$L474,TODAY(),"y"),"0")</f>
        <v>50</v>
      </c>
      <c r="N474" s="35" t="s">
        <v>42</v>
      </c>
      <c r="O474" s="35" t="s">
        <v>553</v>
      </c>
      <c r="P474" s="39" t="s">
        <v>554</v>
      </c>
      <c r="Q474" s="39">
        <v>13949</v>
      </c>
      <c r="R474" s="39">
        <v>13949</v>
      </c>
      <c r="S474" s="39">
        <v>7666</v>
      </c>
      <c r="T474" s="39">
        <v>3833</v>
      </c>
      <c r="U474" s="39">
        <v>750</v>
      </c>
      <c r="V474" s="39">
        <v>450</v>
      </c>
      <c r="W474" s="39">
        <v>0</v>
      </c>
      <c r="X474" s="39">
        <v>0</v>
      </c>
      <c r="Y474" s="39">
        <v>1250</v>
      </c>
      <c r="Z474" s="39">
        <v>450</v>
      </c>
      <c r="AA474" s="39">
        <v>350</v>
      </c>
      <c r="AB474" s="39">
        <v>0</v>
      </c>
      <c r="AC474" s="39">
        <v>0</v>
      </c>
      <c r="AD474" s="39">
        <v>0</v>
      </c>
      <c r="AE474" s="39">
        <v>0</v>
      </c>
      <c r="AF474" s="39">
        <v>0</v>
      </c>
      <c r="AG474" s="39">
        <v>0</v>
      </c>
      <c r="AH474" s="39">
        <v>0</v>
      </c>
      <c r="AI474" s="39">
        <v>0</v>
      </c>
      <c r="AJ474" s="39">
        <f>'Row data'!$S474+'Row data'!$T474+'Row data'!$U474+'Row data'!$W474+'Row data'!$X474+'Row data'!$Y474+'Row data'!$Z474+'Row data'!$AA474+'Row data'!$AB474+'Row data'!$AD474-'Row data'!$AC474-'Row data'!$AE474-'Row data'!$AF474-'Row data'!$AG474-'Row data'!$AH474-'Row data'!$AI474</f>
        <v>14299</v>
      </c>
      <c r="AK474" s="39">
        <v>14299</v>
      </c>
      <c r="AL474" s="39">
        <v>0</v>
      </c>
    </row>
    <row r="475" spans="1:38" x14ac:dyDescent="0.3">
      <c r="A475" s="40">
        <v>474</v>
      </c>
      <c r="B475" s="35" t="s">
        <v>237</v>
      </c>
      <c r="C475" s="35">
        <v>5344578</v>
      </c>
      <c r="D475" s="36" t="s">
        <v>841</v>
      </c>
      <c r="E475" s="35" t="s">
        <v>38</v>
      </c>
      <c r="F475" s="35" t="s">
        <v>345</v>
      </c>
      <c r="G475" s="35" t="s">
        <v>164</v>
      </c>
      <c r="H475" s="37" t="s">
        <v>755</v>
      </c>
      <c r="I475" s="38">
        <v>42869</v>
      </c>
      <c r="J475" s="38"/>
      <c r="K475" s="17"/>
      <c r="L475" s="38">
        <v>31338</v>
      </c>
      <c r="M475" s="35">
        <f ca="1">IF('Row data'!$J475="",DATEDIF('Row data'!$L475,TODAY(),"y"),"0")</f>
        <v>40</v>
      </c>
      <c r="N475" s="35" t="s">
        <v>75</v>
      </c>
      <c r="O475" s="35" t="s">
        <v>553</v>
      </c>
      <c r="P475" s="39" t="s">
        <v>554</v>
      </c>
      <c r="Q475" s="39">
        <v>15337</v>
      </c>
      <c r="R475" s="39">
        <v>15337</v>
      </c>
      <c r="S475" s="39">
        <v>8591</v>
      </c>
      <c r="T475" s="39">
        <v>4296</v>
      </c>
      <c r="U475" s="39">
        <v>750</v>
      </c>
      <c r="V475" s="39">
        <v>450</v>
      </c>
      <c r="W475" s="39">
        <v>0</v>
      </c>
      <c r="X475" s="39">
        <v>0</v>
      </c>
      <c r="Y475" s="39">
        <v>1250</v>
      </c>
      <c r="Z475" s="39">
        <v>450</v>
      </c>
      <c r="AA475" s="39">
        <v>350</v>
      </c>
      <c r="AB475" s="39">
        <v>0</v>
      </c>
      <c r="AC475" s="39">
        <v>0</v>
      </c>
      <c r="AD475" s="39">
        <v>0</v>
      </c>
      <c r="AE475" s="39">
        <v>0</v>
      </c>
      <c r="AF475" s="39">
        <v>0</v>
      </c>
      <c r="AG475" s="39">
        <v>0</v>
      </c>
      <c r="AH475" s="39">
        <v>0</v>
      </c>
      <c r="AI475" s="39">
        <v>0</v>
      </c>
      <c r="AJ475" s="39">
        <f>'Row data'!$S475+'Row data'!$T475+'Row data'!$U475+'Row data'!$W475+'Row data'!$X475+'Row data'!$Y475+'Row data'!$Z475+'Row data'!$AA475+'Row data'!$AB475+'Row data'!$AD475-'Row data'!$AC475-'Row data'!$AE475-'Row data'!$AF475-'Row data'!$AG475-'Row data'!$AH475-'Row data'!$AI475</f>
        <v>15687</v>
      </c>
      <c r="AK475" s="39">
        <v>15687</v>
      </c>
      <c r="AL475" s="39">
        <v>0</v>
      </c>
    </row>
    <row r="476" spans="1:38" x14ac:dyDescent="0.3">
      <c r="A476" s="40">
        <v>475</v>
      </c>
      <c r="B476" s="35" t="s">
        <v>237</v>
      </c>
      <c r="C476" s="35">
        <v>6746223</v>
      </c>
      <c r="D476" s="36" t="s">
        <v>842</v>
      </c>
      <c r="E476" s="35" t="s">
        <v>38</v>
      </c>
      <c r="F476" s="35" t="s">
        <v>345</v>
      </c>
      <c r="G476" s="35" t="s">
        <v>839</v>
      </c>
      <c r="H476" s="37" t="s">
        <v>778</v>
      </c>
      <c r="I476" s="38">
        <v>40880</v>
      </c>
      <c r="J476" s="38"/>
      <c r="K476" s="17"/>
      <c r="L476" s="38">
        <v>33064</v>
      </c>
      <c r="M476" s="35">
        <f ca="1">IF('Row data'!$J476="",DATEDIF('Row data'!$L476,TODAY(),"y"),"0")</f>
        <v>36</v>
      </c>
      <c r="N476" s="35" t="s">
        <v>42</v>
      </c>
      <c r="O476" s="35" t="s">
        <v>553</v>
      </c>
      <c r="P476" s="39" t="s">
        <v>554</v>
      </c>
      <c r="Q476" s="39">
        <v>15337</v>
      </c>
      <c r="R476" s="39">
        <v>15337</v>
      </c>
      <c r="S476" s="39">
        <v>8591</v>
      </c>
      <c r="T476" s="39">
        <v>4296</v>
      </c>
      <c r="U476" s="39">
        <v>750</v>
      </c>
      <c r="V476" s="39">
        <v>450</v>
      </c>
      <c r="W476" s="39">
        <v>0</v>
      </c>
      <c r="X476" s="39">
        <v>0</v>
      </c>
      <c r="Y476" s="39">
        <v>1250</v>
      </c>
      <c r="Z476" s="39">
        <v>450</v>
      </c>
      <c r="AA476" s="39">
        <v>350</v>
      </c>
      <c r="AB476" s="39">
        <v>0</v>
      </c>
      <c r="AC476" s="39">
        <v>0</v>
      </c>
      <c r="AD476" s="39">
        <v>0</v>
      </c>
      <c r="AE476" s="39">
        <v>0</v>
      </c>
      <c r="AF476" s="39">
        <v>0</v>
      </c>
      <c r="AG476" s="39">
        <v>0</v>
      </c>
      <c r="AH476" s="39">
        <v>0</v>
      </c>
      <c r="AI476" s="39">
        <v>0</v>
      </c>
      <c r="AJ476" s="39">
        <f>'Row data'!$S476+'Row data'!$T476+'Row data'!$U476+'Row data'!$W476+'Row data'!$X476+'Row data'!$Y476+'Row data'!$Z476+'Row data'!$AA476+'Row data'!$AB476+'Row data'!$AD476-'Row data'!$AC476-'Row data'!$AE476-'Row data'!$AF476-'Row data'!$AG476-'Row data'!$AH476-'Row data'!$AI476</f>
        <v>15687</v>
      </c>
      <c r="AK476" s="39">
        <v>15687</v>
      </c>
      <c r="AL476" s="39">
        <v>0</v>
      </c>
    </row>
    <row r="477" spans="1:38" x14ac:dyDescent="0.3">
      <c r="A477" s="40">
        <v>476</v>
      </c>
      <c r="B477" s="35" t="s">
        <v>237</v>
      </c>
      <c r="C477" s="35">
        <v>6306804</v>
      </c>
      <c r="D477" s="36" t="s">
        <v>843</v>
      </c>
      <c r="E477" s="35" t="s">
        <v>38</v>
      </c>
      <c r="F477" s="35" t="s">
        <v>345</v>
      </c>
      <c r="G477" s="35" t="s">
        <v>164</v>
      </c>
      <c r="H477" s="37" t="s">
        <v>780</v>
      </c>
      <c r="I477" s="38">
        <v>39602</v>
      </c>
      <c r="J477" s="38">
        <v>44747</v>
      </c>
      <c r="K477" s="17">
        <f>YEAR('Row data'!$J477)</f>
        <v>2022</v>
      </c>
      <c r="L477" s="38">
        <v>28311</v>
      </c>
      <c r="M477" s="35" t="str">
        <f ca="1">IF('Row data'!$J477="",DATEDIF('Row data'!$L477,TODAY(),"y"),"0")</f>
        <v>0</v>
      </c>
      <c r="N477" s="35" t="s">
        <v>75</v>
      </c>
      <c r="O477" s="35" t="s">
        <v>553</v>
      </c>
      <c r="P477" s="39" t="s">
        <v>554</v>
      </c>
      <c r="Q477" s="39">
        <v>16980</v>
      </c>
      <c r="R477" s="39">
        <v>16980</v>
      </c>
      <c r="S477" s="39">
        <v>9687</v>
      </c>
      <c r="T477" s="39">
        <v>4843</v>
      </c>
      <c r="U477" s="39">
        <v>750</v>
      </c>
      <c r="V477" s="39">
        <v>450</v>
      </c>
      <c r="W477" s="39">
        <v>0</v>
      </c>
      <c r="X477" s="39">
        <v>0</v>
      </c>
      <c r="Y477" s="39">
        <v>1250</v>
      </c>
      <c r="Z477" s="39">
        <v>450</v>
      </c>
      <c r="AA477" s="39">
        <v>350</v>
      </c>
      <c r="AB477" s="39">
        <v>0</v>
      </c>
      <c r="AC477" s="39">
        <v>0</v>
      </c>
      <c r="AD477" s="39">
        <v>0</v>
      </c>
      <c r="AE477" s="39">
        <v>0</v>
      </c>
      <c r="AF477" s="39">
        <v>0</v>
      </c>
      <c r="AG477" s="39">
        <v>0</v>
      </c>
      <c r="AH477" s="39">
        <v>0</v>
      </c>
      <c r="AI477" s="39">
        <v>0</v>
      </c>
      <c r="AJ477" s="39">
        <f>'Row data'!$S477+'Row data'!$T477+'Row data'!$U477+'Row data'!$W477+'Row data'!$X477+'Row data'!$Y477+'Row data'!$Z477+'Row data'!$AA477+'Row data'!$AB477+'Row data'!$AD477-'Row data'!$AC477-'Row data'!$AE477-'Row data'!$AF477-'Row data'!$AG477-'Row data'!$AH477-'Row data'!$AI477</f>
        <v>17330</v>
      </c>
      <c r="AK477" s="39">
        <v>17330</v>
      </c>
      <c r="AL477" s="39">
        <v>0</v>
      </c>
    </row>
    <row r="478" spans="1:38" x14ac:dyDescent="0.3">
      <c r="A478" s="40">
        <v>477</v>
      </c>
      <c r="B478" s="35" t="s">
        <v>237</v>
      </c>
      <c r="C478" s="35">
        <v>7307397</v>
      </c>
      <c r="D478" s="36" t="s">
        <v>844</v>
      </c>
      <c r="E478" s="35" t="s">
        <v>38</v>
      </c>
      <c r="F478" s="35" t="s">
        <v>345</v>
      </c>
      <c r="G478" s="35" t="s">
        <v>164</v>
      </c>
      <c r="H478" s="37" t="s">
        <v>780</v>
      </c>
      <c r="I478" s="38">
        <v>37412</v>
      </c>
      <c r="J478" s="38"/>
      <c r="K478" s="17"/>
      <c r="L478" s="38">
        <v>32329</v>
      </c>
      <c r="M478" s="35">
        <f ca="1">IF('Row data'!$J478="",DATEDIF('Row data'!$L478,TODAY(),"y"),"0")</f>
        <v>38</v>
      </c>
      <c r="N478" s="35" t="s">
        <v>75</v>
      </c>
      <c r="O478" s="35" t="s">
        <v>553</v>
      </c>
      <c r="P478" s="39" t="s">
        <v>554</v>
      </c>
      <c r="Q478" s="39">
        <v>17093</v>
      </c>
      <c r="R478" s="39">
        <v>17093</v>
      </c>
      <c r="S478" s="39">
        <v>9762</v>
      </c>
      <c r="T478" s="39">
        <v>4881</v>
      </c>
      <c r="U478" s="39">
        <v>750</v>
      </c>
      <c r="V478" s="39">
        <v>450</v>
      </c>
      <c r="W478" s="39">
        <v>0</v>
      </c>
      <c r="X478" s="39">
        <v>0</v>
      </c>
      <c r="Y478" s="39">
        <v>1250</v>
      </c>
      <c r="Z478" s="39">
        <v>450</v>
      </c>
      <c r="AA478" s="39">
        <v>350</v>
      </c>
      <c r="AB478" s="39">
        <v>0</v>
      </c>
      <c r="AC478" s="39">
        <v>0</v>
      </c>
      <c r="AD478" s="39">
        <v>0</v>
      </c>
      <c r="AE478" s="39">
        <v>0</v>
      </c>
      <c r="AF478" s="39">
        <v>0</v>
      </c>
      <c r="AG478" s="39">
        <v>0</v>
      </c>
      <c r="AH478" s="39">
        <v>0</v>
      </c>
      <c r="AI478" s="39">
        <v>0</v>
      </c>
      <c r="AJ478" s="39">
        <f>'Row data'!$S478+'Row data'!$T478+'Row data'!$U478+'Row data'!$W478+'Row data'!$X478+'Row data'!$Y478+'Row data'!$Z478+'Row data'!$AA478+'Row data'!$AB478+'Row data'!$AD478-'Row data'!$AC478-'Row data'!$AE478-'Row data'!$AF478-'Row data'!$AG478-'Row data'!$AH478-'Row data'!$AI478</f>
        <v>17443</v>
      </c>
      <c r="AK478" s="39">
        <v>17443</v>
      </c>
      <c r="AL478" s="39">
        <v>0</v>
      </c>
    </row>
    <row r="479" spans="1:38" x14ac:dyDescent="0.3">
      <c r="A479" s="40">
        <v>478</v>
      </c>
      <c r="B479" s="35" t="s">
        <v>237</v>
      </c>
      <c r="C479" s="35">
        <v>5429146</v>
      </c>
      <c r="D479" s="36" t="s">
        <v>845</v>
      </c>
      <c r="E479" s="35" t="s">
        <v>38</v>
      </c>
      <c r="F479" s="35" t="s">
        <v>345</v>
      </c>
      <c r="G479" s="35" t="s">
        <v>846</v>
      </c>
      <c r="H479" s="37" t="s">
        <v>780</v>
      </c>
      <c r="I479" s="38">
        <v>42445</v>
      </c>
      <c r="J479" s="38"/>
      <c r="K479" s="17"/>
      <c r="L479" s="38">
        <v>32905</v>
      </c>
      <c r="M479" s="35">
        <f ca="1">IF('Row data'!$J479="",DATEDIF('Row data'!$L479,TODAY(),"y"),"0")</f>
        <v>36</v>
      </c>
      <c r="N479" s="35" t="s">
        <v>42</v>
      </c>
      <c r="O479" s="35" t="s">
        <v>553</v>
      </c>
      <c r="P479" s="39" t="s">
        <v>554</v>
      </c>
      <c r="Q479" s="39">
        <v>13458</v>
      </c>
      <c r="R479" s="39">
        <v>13458</v>
      </c>
      <c r="S479" s="39">
        <v>7339</v>
      </c>
      <c r="T479" s="39">
        <v>3669</v>
      </c>
      <c r="U479" s="39">
        <v>750</v>
      </c>
      <c r="V479" s="39">
        <v>450</v>
      </c>
      <c r="W479" s="39">
        <v>0</v>
      </c>
      <c r="X479" s="39">
        <v>0</v>
      </c>
      <c r="Y479" s="39">
        <v>1250</v>
      </c>
      <c r="Z479" s="39">
        <v>450</v>
      </c>
      <c r="AA479" s="39">
        <v>250</v>
      </c>
      <c r="AB479" s="39">
        <v>0</v>
      </c>
      <c r="AC479" s="39">
        <v>0</v>
      </c>
      <c r="AD479" s="39">
        <v>0</v>
      </c>
      <c r="AE479" s="39">
        <v>0</v>
      </c>
      <c r="AF479" s="39">
        <v>0</v>
      </c>
      <c r="AG479" s="39">
        <v>0</v>
      </c>
      <c r="AH479" s="39">
        <v>0</v>
      </c>
      <c r="AI479" s="39">
        <v>0</v>
      </c>
      <c r="AJ479" s="39">
        <f>'Row data'!$S479+'Row data'!$T479+'Row data'!$U479+'Row data'!$W479+'Row data'!$X479+'Row data'!$Y479+'Row data'!$Z479+'Row data'!$AA479+'Row data'!$AB479+'Row data'!$AD479-'Row data'!$AC479-'Row data'!$AE479-'Row data'!$AF479-'Row data'!$AG479-'Row data'!$AH479-'Row data'!$AI479</f>
        <v>13708</v>
      </c>
      <c r="AK479" s="39">
        <v>13708</v>
      </c>
      <c r="AL479" s="39">
        <v>0</v>
      </c>
    </row>
    <row r="480" spans="1:38" x14ac:dyDescent="0.3">
      <c r="A480" s="40">
        <v>479</v>
      </c>
      <c r="B480" s="35" t="s">
        <v>237</v>
      </c>
      <c r="C480" s="35">
        <v>8596595</v>
      </c>
      <c r="D480" s="36" t="s">
        <v>847</v>
      </c>
      <c r="E480" s="35" t="s">
        <v>38</v>
      </c>
      <c r="F480" s="35" t="s">
        <v>345</v>
      </c>
      <c r="G480" s="35" t="s">
        <v>848</v>
      </c>
      <c r="H480" s="37" t="s">
        <v>780</v>
      </c>
      <c r="I480" s="38">
        <v>40727</v>
      </c>
      <c r="J480" s="38"/>
      <c r="K480" s="17"/>
      <c r="L480" s="38">
        <v>31458</v>
      </c>
      <c r="M480" s="35">
        <f ca="1">IF('Row data'!$J480="",DATEDIF('Row data'!$L480,TODAY(),"y"),"0")</f>
        <v>40</v>
      </c>
      <c r="N480" s="35" t="s">
        <v>75</v>
      </c>
      <c r="O480" s="35" t="s">
        <v>553</v>
      </c>
      <c r="P480" s="39" t="s">
        <v>554</v>
      </c>
      <c r="Q480" s="39">
        <v>15337</v>
      </c>
      <c r="R480" s="39">
        <v>15030</v>
      </c>
      <c r="S480" s="39">
        <v>8591</v>
      </c>
      <c r="T480" s="39">
        <v>4296</v>
      </c>
      <c r="U480" s="39">
        <v>750</v>
      </c>
      <c r="V480" s="39">
        <v>450</v>
      </c>
      <c r="W480" s="39">
        <v>0</v>
      </c>
      <c r="X480" s="39">
        <v>0</v>
      </c>
      <c r="Y480" s="39">
        <v>1250</v>
      </c>
      <c r="Z480" s="39">
        <v>450</v>
      </c>
      <c r="AA480" s="39">
        <v>0</v>
      </c>
      <c r="AB480" s="39">
        <v>0</v>
      </c>
      <c r="AC480" s="39">
        <v>0</v>
      </c>
      <c r="AD480" s="39">
        <v>0</v>
      </c>
      <c r="AE480" s="39">
        <v>307</v>
      </c>
      <c r="AF480" s="39">
        <v>0</v>
      </c>
      <c r="AG480" s="39">
        <v>0</v>
      </c>
      <c r="AH480" s="39">
        <v>0</v>
      </c>
      <c r="AI480" s="39">
        <v>0</v>
      </c>
      <c r="AJ480" s="39">
        <f>'Row data'!$S480+'Row data'!$T480+'Row data'!$U480+'Row data'!$W480+'Row data'!$X480+'Row data'!$Y480+'Row data'!$Z480+'Row data'!$AA480+'Row data'!$AB480+'Row data'!$AD480-'Row data'!$AC480-'Row data'!$AE480-'Row data'!$AF480-'Row data'!$AG480-'Row data'!$AH480-'Row data'!$AI480</f>
        <v>15030</v>
      </c>
      <c r="AK480" s="39">
        <v>15030</v>
      </c>
      <c r="AL480" s="39">
        <v>0</v>
      </c>
    </row>
    <row r="481" spans="1:38" x14ac:dyDescent="0.3">
      <c r="A481" s="40">
        <v>480</v>
      </c>
      <c r="B481" s="35" t="s">
        <v>237</v>
      </c>
      <c r="C481" s="35">
        <v>7413105</v>
      </c>
      <c r="D481" s="36" t="s">
        <v>849</v>
      </c>
      <c r="E481" s="35" t="s">
        <v>38</v>
      </c>
      <c r="F481" s="35" t="s">
        <v>345</v>
      </c>
      <c r="G481" s="35" t="s">
        <v>50</v>
      </c>
      <c r="H481" s="37" t="s">
        <v>780</v>
      </c>
      <c r="I481" s="38">
        <v>44384</v>
      </c>
      <c r="J481" s="38"/>
      <c r="K481" s="17"/>
      <c r="L481" s="38">
        <v>31085</v>
      </c>
      <c r="M481" s="35">
        <f ca="1">IF('Row data'!$J481="",DATEDIF('Row data'!$L481,TODAY(),"y"),"0")</f>
        <v>41</v>
      </c>
      <c r="N481" s="35" t="s">
        <v>75</v>
      </c>
      <c r="O481" s="35" t="s">
        <v>553</v>
      </c>
      <c r="P481" s="39" t="s">
        <v>554</v>
      </c>
      <c r="Q481" s="39">
        <v>13405</v>
      </c>
      <c r="R481" s="39">
        <v>13405</v>
      </c>
      <c r="S481" s="39">
        <v>7303</v>
      </c>
      <c r="T481" s="39">
        <v>3652</v>
      </c>
      <c r="U481" s="39">
        <v>750</v>
      </c>
      <c r="V481" s="39">
        <v>450</v>
      </c>
      <c r="W481" s="39">
        <v>0</v>
      </c>
      <c r="X481" s="39">
        <v>0</v>
      </c>
      <c r="Y481" s="39">
        <v>1250</v>
      </c>
      <c r="Z481" s="39">
        <v>450</v>
      </c>
      <c r="AA481" s="39">
        <v>250</v>
      </c>
      <c r="AB481" s="39">
        <v>0</v>
      </c>
      <c r="AC481" s="39">
        <v>0</v>
      </c>
      <c r="AD481" s="39">
        <v>0</v>
      </c>
      <c r="AE481" s="39">
        <v>0</v>
      </c>
      <c r="AF481" s="39">
        <v>0</v>
      </c>
      <c r="AG481" s="39">
        <v>0</v>
      </c>
      <c r="AH481" s="39">
        <v>0</v>
      </c>
      <c r="AI481" s="39">
        <v>0</v>
      </c>
      <c r="AJ481" s="39">
        <f>'Row data'!$S481+'Row data'!$T481+'Row data'!$U481+'Row data'!$W481+'Row data'!$X481+'Row data'!$Y481+'Row data'!$Z481+'Row data'!$AA481+'Row data'!$AB481+'Row data'!$AD481-'Row data'!$AC481-'Row data'!$AE481-'Row data'!$AF481-'Row data'!$AG481-'Row data'!$AH481-'Row data'!$AI481</f>
        <v>13655</v>
      </c>
      <c r="AK481" s="39">
        <v>13655</v>
      </c>
      <c r="AL481" s="39">
        <v>0</v>
      </c>
    </row>
    <row r="482" spans="1:38" x14ac:dyDescent="0.3">
      <c r="A482" s="40">
        <v>481</v>
      </c>
      <c r="B482" s="35" t="s">
        <v>237</v>
      </c>
      <c r="C482" s="35">
        <v>6532658</v>
      </c>
      <c r="D482" s="36" t="s">
        <v>850</v>
      </c>
      <c r="E482" s="35" t="s">
        <v>38</v>
      </c>
      <c r="F482" s="35" t="s">
        <v>345</v>
      </c>
      <c r="G482" s="35" t="s">
        <v>762</v>
      </c>
      <c r="H482" s="37" t="s">
        <v>793</v>
      </c>
      <c r="I482" s="38">
        <v>43160</v>
      </c>
      <c r="J482" s="38">
        <v>44574</v>
      </c>
      <c r="K482" s="17">
        <f>YEAR('Row data'!$J482)</f>
        <v>2022</v>
      </c>
      <c r="L482" s="38">
        <v>31337</v>
      </c>
      <c r="M482" s="35" t="str">
        <f ca="1">IF('Row data'!$J482="",DATEDIF('Row data'!$L482,TODAY(),"y"),"0")</f>
        <v>0</v>
      </c>
      <c r="N482" s="35" t="s">
        <v>42</v>
      </c>
      <c r="O482" s="35" t="s">
        <v>553</v>
      </c>
      <c r="P482" s="39" t="s">
        <v>554</v>
      </c>
      <c r="Q482" s="39">
        <v>13514</v>
      </c>
      <c r="R482" s="39">
        <v>13514</v>
      </c>
      <c r="S482" s="39">
        <v>7376</v>
      </c>
      <c r="T482" s="39">
        <v>3688</v>
      </c>
      <c r="U482" s="39">
        <v>750</v>
      </c>
      <c r="V482" s="39">
        <v>450</v>
      </c>
      <c r="W482" s="39">
        <v>0</v>
      </c>
      <c r="X482" s="39">
        <v>0</v>
      </c>
      <c r="Y482" s="39">
        <v>1250</v>
      </c>
      <c r="Z482" s="39">
        <v>450</v>
      </c>
      <c r="AA482" s="39">
        <v>0</v>
      </c>
      <c r="AB482" s="39">
        <v>0</v>
      </c>
      <c r="AC482" s="39">
        <v>0</v>
      </c>
      <c r="AD482" s="39">
        <v>0</v>
      </c>
      <c r="AE482" s="39">
        <v>0</v>
      </c>
      <c r="AF482" s="39">
        <v>0</v>
      </c>
      <c r="AG482" s="39">
        <v>0</v>
      </c>
      <c r="AH482" s="39">
        <v>0</v>
      </c>
      <c r="AI482" s="39">
        <v>0</v>
      </c>
      <c r="AJ482" s="39">
        <f>'Row data'!$S482+'Row data'!$T482+'Row data'!$U482+'Row data'!$W482+'Row data'!$X482+'Row data'!$Y482+'Row data'!$Z482+'Row data'!$AA482+'Row data'!$AB482+'Row data'!$AD482-'Row data'!$AC482-'Row data'!$AE482-'Row data'!$AF482-'Row data'!$AG482-'Row data'!$AH482-'Row data'!$AI482</f>
        <v>13514</v>
      </c>
      <c r="AK482" s="39">
        <v>13514</v>
      </c>
      <c r="AL482" s="39">
        <v>0</v>
      </c>
    </row>
    <row r="483" spans="1:38" x14ac:dyDescent="0.3">
      <c r="A483" s="40">
        <v>482</v>
      </c>
      <c r="B483" s="35" t="s">
        <v>237</v>
      </c>
      <c r="C483" s="35">
        <v>5824711</v>
      </c>
      <c r="D483" s="36" t="s">
        <v>851</v>
      </c>
      <c r="E483" s="35" t="s">
        <v>38</v>
      </c>
      <c r="F483" s="35" t="s">
        <v>345</v>
      </c>
      <c r="G483" s="35" t="s">
        <v>164</v>
      </c>
      <c r="H483" s="37" t="s">
        <v>778</v>
      </c>
      <c r="I483" s="38">
        <v>41007</v>
      </c>
      <c r="J483" s="38">
        <v>44593</v>
      </c>
      <c r="K483" s="17">
        <f>YEAR('Row data'!$J483)</f>
        <v>2022</v>
      </c>
      <c r="L483" s="38">
        <v>32174</v>
      </c>
      <c r="M483" s="35" t="str">
        <f ca="1">IF('Row data'!$J483="",DATEDIF('Row data'!$L483,TODAY(),"y"),"0")</f>
        <v>0</v>
      </c>
      <c r="N483" s="35" t="s">
        <v>75</v>
      </c>
      <c r="O483" s="35" t="s">
        <v>553</v>
      </c>
      <c r="P483" s="39" t="s">
        <v>554</v>
      </c>
      <c r="Q483" s="39">
        <v>15337</v>
      </c>
      <c r="R483" s="39">
        <v>15337</v>
      </c>
      <c r="S483" s="39">
        <v>8591</v>
      </c>
      <c r="T483" s="39">
        <v>4296</v>
      </c>
      <c r="U483" s="39">
        <v>750</v>
      </c>
      <c r="V483" s="39">
        <v>450</v>
      </c>
      <c r="W483" s="39">
        <v>0</v>
      </c>
      <c r="X483" s="39">
        <v>0</v>
      </c>
      <c r="Y483" s="39">
        <v>1250</v>
      </c>
      <c r="Z483" s="39">
        <v>450</v>
      </c>
      <c r="AA483" s="39">
        <v>350</v>
      </c>
      <c r="AB483" s="39">
        <v>0</v>
      </c>
      <c r="AC483" s="39">
        <v>0</v>
      </c>
      <c r="AD483" s="39">
        <v>0</v>
      </c>
      <c r="AE483" s="39">
        <v>0</v>
      </c>
      <c r="AF483" s="39">
        <v>0</v>
      </c>
      <c r="AG483" s="39">
        <v>0</v>
      </c>
      <c r="AH483" s="39">
        <v>0</v>
      </c>
      <c r="AI483" s="39">
        <v>0</v>
      </c>
      <c r="AJ483" s="39">
        <f>'Row data'!$S483+'Row data'!$T483+'Row data'!$U483+'Row data'!$W483+'Row data'!$X483+'Row data'!$Y483+'Row data'!$Z483+'Row data'!$AA483+'Row data'!$AB483+'Row data'!$AD483-'Row data'!$AC483-'Row data'!$AE483-'Row data'!$AF483-'Row data'!$AG483-'Row data'!$AH483-'Row data'!$AI483</f>
        <v>15687</v>
      </c>
      <c r="AK483" s="39">
        <v>15687</v>
      </c>
      <c r="AL483" s="39">
        <v>0</v>
      </c>
    </row>
    <row r="484" spans="1:38" x14ac:dyDescent="0.3">
      <c r="A484" s="40">
        <v>483</v>
      </c>
      <c r="B484" s="35" t="s">
        <v>237</v>
      </c>
      <c r="C484" s="35">
        <v>9531509</v>
      </c>
      <c r="D484" s="36" t="s">
        <v>852</v>
      </c>
      <c r="E484" s="35" t="s">
        <v>38</v>
      </c>
      <c r="F484" s="35" t="s">
        <v>345</v>
      </c>
      <c r="G484" s="35" t="s">
        <v>762</v>
      </c>
      <c r="H484" s="37" t="s">
        <v>752</v>
      </c>
      <c r="I484" s="38">
        <v>41488</v>
      </c>
      <c r="J484" s="38"/>
      <c r="K484" s="17"/>
      <c r="L484" s="38">
        <v>33983</v>
      </c>
      <c r="M484" s="35">
        <f ca="1">IF('Row data'!$J484="",DATEDIF('Row data'!$L484,TODAY(),"y"),"0")</f>
        <v>33</v>
      </c>
      <c r="N484" s="35" t="s">
        <v>42</v>
      </c>
      <c r="O484" s="35" t="s">
        <v>553</v>
      </c>
      <c r="P484" s="39" t="s">
        <v>554</v>
      </c>
      <c r="Q484" s="39">
        <v>14888</v>
      </c>
      <c r="R484" s="39">
        <v>14888</v>
      </c>
      <c r="S484" s="39">
        <v>8292</v>
      </c>
      <c r="T484" s="39">
        <v>4146</v>
      </c>
      <c r="U484" s="39">
        <v>750</v>
      </c>
      <c r="V484" s="39">
        <v>450</v>
      </c>
      <c r="W484" s="39">
        <v>0</v>
      </c>
      <c r="X484" s="39">
        <v>0</v>
      </c>
      <c r="Y484" s="39">
        <v>1250</v>
      </c>
      <c r="Z484" s="39">
        <v>450</v>
      </c>
      <c r="AA484" s="39">
        <v>350</v>
      </c>
      <c r="AB484" s="39">
        <v>0</v>
      </c>
      <c r="AC484" s="39">
        <v>0</v>
      </c>
      <c r="AD484" s="39">
        <v>0</v>
      </c>
      <c r="AE484" s="39">
        <v>0</v>
      </c>
      <c r="AF484" s="39">
        <v>0</v>
      </c>
      <c r="AG484" s="39">
        <v>0</v>
      </c>
      <c r="AH484" s="39">
        <v>0</v>
      </c>
      <c r="AI484" s="39">
        <v>0</v>
      </c>
      <c r="AJ484" s="39">
        <f>'Row data'!$S484+'Row data'!$T484+'Row data'!$U484+'Row data'!$W484+'Row data'!$X484+'Row data'!$Y484+'Row data'!$Z484+'Row data'!$AA484+'Row data'!$AB484+'Row data'!$AD484-'Row data'!$AC484-'Row data'!$AE484-'Row data'!$AF484-'Row data'!$AG484-'Row data'!$AH484-'Row data'!$AI484</f>
        <v>15238</v>
      </c>
      <c r="AK484" s="39">
        <v>15238</v>
      </c>
      <c r="AL484" s="39">
        <v>0</v>
      </c>
    </row>
    <row r="485" spans="1:38" x14ac:dyDescent="0.3">
      <c r="A485" s="40">
        <v>484</v>
      </c>
      <c r="B485" s="35" t="s">
        <v>237</v>
      </c>
      <c r="C485" s="35">
        <v>6711848</v>
      </c>
      <c r="D485" s="36" t="s">
        <v>853</v>
      </c>
      <c r="E485" s="35" t="s">
        <v>38</v>
      </c>
      <c r="F485" s="35" t="s">
        <v>345</v>
      </c>
      <c r="G485" s="35" t="s">
        <v>164</v>
      </c>
      <c r="H485" s="37" t="s">
        <v>755</v>
      </c>
      <c r="I485" s="38">
        <v>42409</v>
      </c>
      <c r="J485" s="38"/>
      <c r="K485" s="17"/>
      <c r="L485" s="38">
        <v>32046</v>
      </c>
      <c r="M485" s="35">
        <f ca="1">IF('Row data'!$J485="",DATEDIF('Row data'!$L485,TODAY(),"y"),"0")</f>
        <v>38</v>
      </c>
      <c r="N485" s="35" t="s">
        <v>75</v>
      </c>
      <c r="O485" s="35" t="s">
        <v>553</v>
      </c>
      <c r="P485" s="39" t="s">
        <v>554</v>
      </c>
      <c r="Q485" s="39">
        <v>15337</v>
      </c>
      <c r="R485" s="39">
        <v>15337</v>
      </c>
      <c r="S485" s="39">
        <v>8591</v>
      </c>
      <c r="T485" s="39">
        <v>4296</v>
      </c>
      <c r="U485" s="39">
        <v>750</v>
      </c>
      <c r="V485" s="39">
        <v>450</v>
      </c>
      <c r="W485" s="39">
        <v>0</v>
      </c>
      <c r="X485" s="39">
        <v>0</v>
      </c>
      <c r="Y485" s="39">
        <v>1250</v>
      </c>
      <c r="Z485" s="39">
        <v>450</v>
      </c>
      <c r="AA485" s="39">
        <v>350</v>
      </c>
      <c r="AB485" s="39">
        <v>0</v>
      </c>
      <c r="AC485" s="39">
        <v>0</v>
      </c>
      <c r="AD485" s="39">
        <v>0</v>
      </c>
      <c r="AE485" s="39">
        <v>0</v>
      </c>
      <c r="AF485" s="39">
        <v>0</v>
      </c>
      <c r="AG485" s="39">
        <v>0</v>
      </c>
      <c r="AH485" s="39">
        <v>0</v>
      </c>
      <c r="AI485" s="39">
        <v>0</v>
      </c>
      <c r="AJ485" s="39">
        <f>'Row data'!$S485+'Row data'!$T485+'Row data'!$U485+'Row data'!$W485+'Row data'!$X485+'Row data'!$Y485+'Row data'!$Z485+'Row data'!$AA485+'Row data'!$AB485+'Row data'!$AD485-'Row data'!$AC485-'Row data'!$AE485-'Row data'!$AF485-'Row data'!$AG485-'Row data'!$AH485-'Row data'!$AI485</f>
        <v>15687</v>
      </c>
      <c r="AK485" s="39">
        <v>15687</v>
      </c>
      <c r="AL485" s="39">
        <v>0</v>
      </c>
    </row>
    <row r="486" spans="1:38" x14ac:dyDescent="0.3">
      <c r="A486" s="40">
        <v>485</v>
      </c>
      <c r="B486" s="35" t="s">
        <v>237</v>
      </c>
      <c r="C486" s="35">
        <v>9633079</v>
      </c>
      <c r="D486" s="36" t="s">
        <v>854</v>
      </c>
      <c r="E486" s="35" t="s">
        <v>38</v>
      </c>
      <c r="F486" s="35" t="s">
        <v>345</v>
      </c>
      <c r="G486" s="35" t="s">
        <v>164</v>
      </c>
      <c r="H486" s="37" t="s">
        <v>755</v>
      </c>
      <c r="I486" s="38">
        <v>41078</v>
      </c>
      <c r="J486" s="38"/>
      <c r="K486" s="17"/>
      <c r="L486" s="38">
        <v>29650</v>
      </c>
      <c r="M486" s="35">
        <f ca="1">IF('Row data'!$J486="",DATEDIF('Row data'!$L486,TODAY(),"y"),"0")</f>
        <v>45</v>
      </c>
      <c r="N486" s="35" t="s">
        <v>75</v>
      </c>
      <c r="O486" s="35" t="s">
        <v>553</v>
      </c>
      <c r="P486" s="39" t="s">
        <v>554</v>
      </c>
      <c r="Q486" s="39">
        <v>15337</v>
      </c>
      <c r="R486" s="39">
        <v>15337</v>
      </c>
      <c r="S486" s="39">
        <v>8591</v>
      </c>
      <c r="T486" s="39">
        <v>4296</v>
      </c>
      <c r="U486" s="39">
        <v>750</v>
      </c>
      <c r="V486" s="39">
        <v>450</v>
      </c>
      <c r="W486" s="39">
        <v>0</v>
      </c>
      <c r="X486" s="39">
        <v>0</v>
      </c>
      <c r="Y486" s="39">
        <v>1250</v>
      </c>
      <c r="Z486" s="39">
        <v>450</v>
      </c>
      <c r="AA486" s="39">
        <v>350</v>
      </c>
      <c r="AB486" s="39">
        <v>0</v>
      </c>
      <c r="AC486" s="39">
        <v>0</v>
      </c>
      <c r="AD486" s="39">
        <v>0</v>
      </c>
      <c r="AE486" s="39">
        <v>0</v>
      </c>
      <c r="AF486" s="39">
        <v>0</v>
      </c>
      <c r="AG486" s="39">
        <v>0</v>
      </c>
      <c r="AH486" s="39">
        <v>0</v>
      </c>
      <c r="AI486" s="39">
        <v>0</v>
      </c>
      <c r="AJ486" s="39">
        <f>'Row data'!$S486+'Row data'!$T486+'Row data'!$U486+'Row data'!$W486+'Row data'!$X486+'Row data'!$Y486+'Row data'!$Z486+'Row data'!$AA486+'Row data'!$AB486+'Row data'!$AD486-'Row data'!$AC486-'Row data'!$AE486-'Row data'!$AF486-'Row data'!$AG486-'Row data'!$AH486-'Row data'!$AI486</f>
        <v>15687</v>
      </c>
      <c r="AK486" s="39">
        <v>15687</v>
      </c>
      <c r="AL486" s="39">
        <v>0</v>
      </c>
    </row>
    <row r="487" spans="1:38" x14ac:dyDescent="0.3">
      <c r="A487" s="40">
        <v>486</v>
      </c>
      <c r="B487" s="35" t="s">
        <v>237</v>
      </c>
      <c r="C487" s="35">
        <v>8624255</v>
      </c>
      <c r="D487" s="36" t="s">
        <v>855</v>
      </c>
      <c r="E487" s="35" t="s">
        <v>38</v>
      </c>
      <c r="F487" s="35" t="s">
        <v>345</v>
      </c>
      <c r="G487" s="35" t="s">
        <v>164</v>
      </c>
      <c r="H487" s="37" t="s">
        <v>793</v>
      </c>
      <c r="I487" s="38">
        <v>42919</v>
      </c>
      <c r="J487" s="38"/>
      <c r="K487" s="17"/>
      <c r="L487" s="38">
        <v>31172</v>
      </c>
      <c r="M487" s="35">
        <f ca="1">IF('Row data'!$J487="",DATEDIF('Row data'!$L487,TODAY(),"y"),"0")</f>
        <v>41</v>
      </c>
      <c r="N487" s="35" t="s">
        <v>75</v>
      </c>
      <c r="O487" s="35" t="s">
        <v>553</v>
      </c>
      <c r="P487" s="39" t="s">
        <v>554</v>
      </c>
      <c r="Q487" s="39">
        <v>15337</v>
      </c>
      <c r="R487" s="39">
        <v>15337</v>
      </c>
      <c r="S487" s="39">
        <v>8591</v>
      </c>
      <c r="T487" s="39">
        <v>4296</v>
      </c>
      <c r="U487" s="39">
        <v>750</v>
      </c>
      <c r="V487" s="39">
        <v>450</v>
      </c>
      <c r="W487" s="39">
        <v>0</v>
      </c>
      <c r="X487" s="39">
        <v>0</v>
      </c>
      <c r="Y487" s="39">
        <v>1250</v>
      </c>
      <c r="Z487" s="39">
        <v>450</v>
      </c>
      <c r="AA487" s="39">
        <v>350</v>
      </c>
      <c r="AB487" s="39">
        <v>0</v>
      </c>
      <c r="AC487" s="39">
        <v>0</v>
      </c>
      <c r="AD487" s="39">
        <v>0</v>
      </c>
      <c r="AE487" s="39">
        <v>0</v>
      </c>
      <c r="AF487" s="39">
        <v>0</v>
      </c>
      <c r="AG487" s="39">
        <v>0</v>
      </c>
      <c r="AH487" s="39">
        <v>0</v>
      </c>
      <c r="AI487" s="39">
        <v>0</v>
      </c>
      <c r="AJ487" s="39">
        <f>'Row data'!$S487+'Row data'!$T487+'Row data'!$U487+'Row data'!$W487+'Row data'!$X487+'Row data'!$Y487+'Row data'!$Z487+'Row data'!$AA487+'Row data'!$AB487+'Row data'!$AD487-'Row data'!$AC487-'Row data'!$AE487-'Row data'!$AF487-'Row data'!$AG487-'Row data'!$AH487-'Row data'!$AI487</f>
        <v>15687</v>
      </c>
      <c r="AK487" s="39">
        <v>15687</v>
      </c>
      <c r="AL487" s="39">
        <v>0</v>
      </c>
    </row>
    <row r="488" spans="1:38" x14ac:dyDescent="0.3">
      <c r="A488" s="40">
        <v>487</v>
      </c>
      <c r="B488" s="35" t="s">
        <v>237</v>
      </c>
      <c r="C488" s="35">
        <v>9745485</v>
      </c>
      <c r="D488" s="36" t="s">
        <v>856</v>
      </c>
      <c r="E488" s="35" t="s">
        <v>38</v>
      </c>
      <c r="F488" s="35" t="s">
        <v>345</v>
      </c>
      <c r="G488" s="35" t="s">
        <v>164</v>
      </c>
      <c r="H488" s="37" t="s">
        <v>748</v>
      </c>
      <c r="I488" s="38">
        <v>40736</v>
      </c>
      <c r="J488" s="38"/>
      <c r="K488" s="17"/>
      <c r="L488" s="38">
        <v>29499</v>
      </c>
      <c r="M488" s="35">
        <f ca="1">IF('Row data'!$J488="",DATEDIF('Row data'!$L488,TODAY(),"y"),"0")</f>
        <v>45</v>
      </c>
      <c r="N488" s="35" t="s">
        <v>75</v>
      </c>
      <c r="O488" s="35" t="s">
        <v>553</v>
      </c>
      <c r="P488" s="39" t="s">
        <v>554</v>
      </c>
      <c r="Q488" s="39">
        <v>15337</v>
      </c>
      <c r="R488" s="39">
        <v>15030</v>
      </c>
      <c r="S488" s="39">
        <v>8591</v>
      </c>
      <c r="T488" s="39">
        <v>4296</v>
      </c>
      <c r="U488" s="39">
        <v>750</v>
      </c>
      <c r="V488" s="39">
        <v>450</v>
      </c>
      <c r="W488" s="39">
        <v>0</v>
      </c>
      <c r="X488" s="39">
        <v>0</v>
      </c>
      <c r="Y488" s="39">
        <v>1250</v>
      </c>
      <c r="Z488" s="39">
        <v>450</v>
      </c>
      <c r="AA488" s="39">
        <v>0</v>
      </c>
      <c r="AB488" s="39">
        <v>0</v>
      </c>
      <c r="AC488" s="39">
        <v>0</v>
      </c>
      <c r="AD488" s="39">
        <v>0</v>
      </c>
      <c r="AE488" s="39">
        <v>307</v>
      </c>
      <c r="AF488" s="39">
        <v>0</v>
      </c>
      <c r="AG488" s="39">
        <v>0</v>
      </c>
      <c r="AH488" s="39">
        <v>0</v>
      </c>
      <c r="AI488" s="39">
        <v>0</v>
      </c>
      <c r="AJ488" s="39">
        <f>'Row data'!$S488+'Row data'!$T488+'Row data'!$U488+'Row data'!$W488+'Row data'!$X488+'Row data'!$Y488+'Row data'!$Z488+'Row data'!$AA488+'Row data'!$AB488+'Row data'!$AD488-'Row data'!$AC488-'Row data'!$AE488-'Row data'!$AF488-'Row data'!$AG488-'Row data'!$AH488-'Row data'!$AI488</f>
        <v>15030</v>
      </c>
      <c r="AK488" s="39">
        <v>15030</v>
      </c>
      <c r="AL488" s="39">
        <v>0</v>
      </c>
    </row>
    <row r="489" spans="1:38" x14ac:dyDescent="0.3">
      <c r="A489" s="40">
        <v>488</v>
      </c>
      <c r="B489" s="35" t="s">
        <v>237</v>
      </c>
      <c r="C489" s="35">
        <v>7813069</v>
      </c>
      <c r="D489" s="36" t="s">
        <v>857</v>
      </c>
      <c r="E489" s="35" t="s">
        <v>38</v>
      </c>
      <c r="F489" s="35" t="s">
        <v>345</v>
      </c>
      <c r="G489" s="35" t="s">
        <v>164</v>
      </c>
      <c r="H489" s="37" t="s">
        <v>782</v>
      </c>
      <c r="I489" s="38">
        <v>39194</v>
      </c>
      <c r="J489" s="38"/>
      <c r="K489" s="17"/>
      <c r="L489" s="38">
        <v>30875</v>
      </c>
      <c r="M489" s="35">
        <f ca="1">IF('Row data'!$J489="",DATEDIF('Row data'!$L489,TODAY(),"y"),"0")</f>
        <v>42</v>
      </c>
      <c r="N489" s="35" t="s">
        <v>75</v>
      </c>
      <c r="O489" s="35" t="s">
        <v>553</v>
      </c>
      <c r="P489" s="39" t="s">
        <v>554</v>
      </c>
      <c r="Q489" s="39">
        <v>17204</v>
      </c>
      <c r="R489" s="39">
        <v>17204</v>
      </c>
      <c r="S489" s="39">
        <v>9836</v>
      </c>
      <c r="T489" s="39">
        <v>4918</v>
      </c>
      <c r="U489" s="39">
        <v>750</v>
      </c>
      <c r="V489" s="39">
        <v>450</v>
      </c>
      <c r="W489" s="39">
        <v>0</v>
      </c>
      <c r="X489" s="39">
        <v>0</v>
      </c>
      <c r="Y489" s="39">
        <v>1250</v>
      </c>
      <c r="Z489" s="39">
        <v>450</v>
      </c>
      <c r="AA489" s="39">
        <v>350</v>
      </c>
      <c r="AB489" s="39">
        <v>0</v>
      </c>
      <c r="AC489" s="39">
        <v>0</v>
      </c>
      <c r="AD489" s="39">
        <v>0</v>
      </c>
      <c r="AE489" s="39">
        <v>0</v>
      </c>
      <c r="AF489" s="39">
        <v>0</v>
      </c>
      <c r="AG489" s="39">
        <v>0</v>
      </c>
      <c r="AH489" s="39">
        <v>0</v>
      </c>
      <c r="AI489" s="39">
        <v>0</v>
      </c>
      <c r="AJ489" s="39">
        <f>'Row data'!$S489+'Row data'!$T489+'Row data'!$U489+'Row data'!$W489+'Row data'!$X489+'Row data'!$Y489+'Row data'!$Z489+'Row data'!$AA489+'Row data'!$AB489+'Row data'!$AD489-'Row data'!$AC489-'Row data'!$AE489-'Row data'!$AF489-'Row data'!$AG489-'Row data'!$AH489-'Row data'!$AI489</f>
        <v>17554</v>
      </c>
      <c r="AK489" s="39">
        <v>17554</v>
      </c>
      <c r="AL489" s="39">
        <v>0</v>
      </c>
    </row>
    <row r="490" spans="1:38" x14ac:dyDescent="0.3">
      <c r="A490" s="40">
        <v>489</v>
      </c>
      <c r="B490" s="35" t="s">
        <v>237</v>
      </c>
      <c r="C490" s="35">
        <v>5181763</v>
      </c>
      <c r="D490" s="36" t="s">
        <v>858</v>
      </c>
      <c r="E490" s="35" t="s">
        <v>38</v>
      </c>
      <c r="F490" s="35" t="s">
        <v>345</v>
      </c>
      <c r="G490" s="35" t="s">
        <v>164</v>
      </c>
      <c r="H490" s="37" t="s">
        <v>774</v>
      </c>
      <c r="I490" s="38">
        <v>40702</v>
      </c>
      <c r="J490" s="38"/>
      <c r="K490" s="17"/>
      <c r="L490" s="38">
        <v>31668</v>
      </c>
      <c r="M490" s="35">
        <f ca="1">IF('Row data'!$J490="",DATEDIF('Row data'!$L490,TODAY(),"y"),"0")</f>
        <v>40</v>
      </c>
      <c r="N490" s="35" t="s">
        <v>75</v>
      </c>
      <c r="O490" s="35" t="s">
        <v>553</v>
      </c>
      <c r="P490" s="39" t="s">
        <v>554</v>
      </c>
      <c r="Q490" s="39">
        <v>16529</v>
      </c>
      <c r="R490" s="39">
        <v>16529</v>
      </c>
      <c r="S490" s="39">
        <v>9386</v>
      </c>
      <c r="T490" s="39">
        <v>4693</v>
      </c>
      <c r="U490" s="39">
        <v>750</v>
      </c>
      <c r="V490" s="39">
        <v>450</v>
      </c>
      <c r="W490" s="39">
        <v>0</v>
      </c>
      <c r="X490" s="39">
        <v>0</v>
      </c>
      <c r="Y490" s="39">
        <v>1250</v>
      </c>
      <c r="Z490" s="39">
        <v>450</v>
      </c>
      <c r="AA490" s="39">
        <v>250</v>
      </c>
      <c r="AB490" s="39">
        <v>0</v>
      </c>
      <c r="AC490" s="39">
        <v>0</v>
      </c>
      <c r="AD490" s="39">
        <v>0</v>
      </c>
      <c r="AE490" s="39">
        <v>0</v>
      </c>
      <c r="AF490" s="39">
        <v>0</v>
      </c>
      <c r="AG490" s="39">
        <v>0</v>
      </c>
      <c r="AH490" s="39">
        <v>0</v>
      </c>
      <c r="AI490" s="39">
        <v>0</v>
      </c>
      <c r="AJ490" s="39">
        <f>'Row data'!$S490+'Row data'!$T490+'Row data'!$U490+'Row data'!$W490+'Row data'!$X490+'Row data'!$Y490+'Row data'!$Z490+'Row data'!$AA490+'Row data'!$AB490+'Row data'!$AD490-'Row data'!$AC490-'Row data'!$AE490-'Row data'!$AF490-'Row data'!$AG490-'Row data'!$AH490-'Row data'!$AI490</f>
        <v>16779</v>
      </c>
      <c r="AK490" s="39">
        <v>16779</v>
      </c>
      <c r="AL490" s="39">
        <v>0</v>
      </c>
    </row>
    <row r="491" spans="1:38" x14ac:dyDescent="0.3">
      <c r="A491" s="40">
        <v>490</v>
      </c>
      <c r="B491" s="35" t="s">
        <v>237</v>
      </c>
      <c r="C491" s="35">
        <v>9042018</v>
      </c>
      <c r="D491" s="36" t="s">
        <v>859</v>
      </c>
      <c r="E491" s="35" t="s">
        <v>38</v>
      </c>
      <c r="F491" s="35" t="s">
        <v>345</v>
      </c>
      <c r="G491" s="35" t="s">
        <v>170</v>
      </c>
      <c r="H491" s="37" t="s">
        <v>778</v>
      </c>
      <c r="I491" s="38">
        <v>43010</v>
      </c>
      <c r="J491" s="38">
        <v>44732</v>
      </c>
      <c r="K491" s="17">
        <f>YEAR('Row data'!$J491)</f>
        <v>2022</v>
      </c>
      <c r="L491" s="38">
        <v>33775</v>
      </c>
      <c r="M491" s="35" t="str">
        <f ca="1">IF('Row data'!$J491="",DATEDIF('Row data'!$L491,TODAY(),"y"),"0")</f>
        <v>0</v>
      </c>
      <c r="N491" s="35" t="s">
        <v>75</v>
      </c>
      <c r="O491" s="35" t="s">
        <v>553</v>
      </c>
      <c r="P491" s="39" t="s">
        <v>554</v>
      </c>
      <c r="Q491" s="39">
        <v>13405</v>
      </c>
      <c r="R491" s="39">
        <v>13405</v>
      </c>
      <c r="S491" s="39">
        <v>7303</v>
      </c>
      <c r="T491" s="39">
        <v>3652</v>
      </c>
      <c r="U491" s="39">
        <v>750</v>
      </c>
      <c r="V491" s="39">
        <v>450</v>
      </c>
      <c r="W491" s="39">
        <v>0</v>
      </c>
      <c r="X491" s="39">
        <v>0</v>
      </c>
      <c r="Y491" s="39">
        <v>1250</v>
      </c>
      <c r="Z491" s="39">
        <v>450</v>
      </c>
      <c r="AA491" s="39">
        <v>350</v>
      </c>
      <c r="AB491" s="39">
        <v>0</v>
      </c>
      <c r="AC491" s="39">
        <v>0</v>
      </c>
      <c r="AD491" s="39">
        <v>0</v>
      </c>
      <c r="AE491" s="39">
        <v>0</v>
      </c>
      <c r="AF491" s="39">
        <v>0</v>
      </c>
      <c r="AG491" s="39">
        <v>0</v>
      </c>
      <c r="AH491" s="39">
        <v>0</v>
      </c>
      <c r="AI491" s="39">
        <v>0</v>
      </c>
      <c r="AJ491" s="39">
        <f>'Row data'!$S491+'Row data'!$T491+'Row data'!$U491+'Row data'!$W491+'Row data'!$X491+'Row data'!$Y491+'Row data'!$Z491+'Row data'!$AA491+'Row data'!$AB491+'Row data'!$AD491-'Row data'!$AC491-'Row data'!$AE491-'Row data'!$AF491-'Row data'!$AG491-'Row data'!$AH491-'Row data'!$AI491</f>
        <v>13755</v>
      </c>
      <c r="AK491" s="39">
        <v>13755</v>
      </c>
      <c r="AL491" s="39">
        <v>0</v>
      </c>
    </row>
    <row r="492" spans="1:38" x14ac:dyDescent="0.3">
      <c r="A492" s="40">
        <v>491</v>
      </c>
      <c r="B492" s="35" t="s">
        <v>237</v>
      </c>
      <c r="C492" s="35">
        <v>7070729</v>
      </c>
      <c r="D492" s="36" t="s">
        <v>860</v>
      </c>
      <c r="E492" s="35" t="s">
        <v>38</v>
      </c>
      <c r="F492" s="35" t="s">
        <v>352</v>
      </c>
      <c r="G492" s="35" t="s">
        <v>50</v>
      </c>
      <c r="H492" s="37"/>
      <c r="I492" s="38">
        <v>44714</v>
      </c>
      <c r="J492" s="38">
        <v>44562</v>
      </c>
      <c r="K492" s="17">
        <f>YEAR('Row data'!$J492)</f>
        <v>2022</v>
      </c>
      <c r="L492" s="38">
        <v>35796</v>
      </c>
      <c r="M492" s="35" t="str">
        <f ca="1">IF('Row data'!$J492="",DATEDIF('Row data'!$L492,TODAY(),"y"),"0")</f>
        <v>0</v>
      </c>
      <c r="N492" s="35" t="s">
        <v>75</v>
      </c>
      <c r="O492" s="35" t="s">
        <v>553</v>
      </c>
      <c r="P492" s="39" t="s">
        <v>554</v>
      </c>
      <c r="Q492" s="39">
        <v>13405</v>
      </c>
      <c r="R492" s="39">
        <v>12623</v>
      </c>
      <c r="S492" s="39">
        <v>7303</v>
      </c>
      <c r="T492" s="39">
        <v>3652</v>
      </c>
      <c r="U492" s="39">
        <v>750</v>
      </c>
      <c r="V492" s="39">
        <v>450</v>
      </c>
      <c r="W492" s="39">
        <v>0</v>
      </c>
      <c r="X492" s="39">
        <v>0</v>
      </c>
      <c r="Y492" s="39">
        <v>1250</v>
      </c>
      <c r="Z492" s="39">
        <v>450</v>
      </c>
      <c r="AA492" s="39">
        <v>0</v>
      </c>
      <c r="AB492" s="39">
        <v>0</v>
      </c>
      <c r="AC492" s="39">
        <v>0</v>
      </c>
      <c r="AD492" s="39">
        <v>0</v>
      </c>
      <c r="AE492" s="39">
        <v>782</v>
      </c>
      <c r="AF492" s="39">
        <v>0</v>
      </c>
      <c r="AG492" s="39">
        <v>0</v>
      </c>
      <c r="AH492" s="39">
        <v>0</v>
      </c>
      <c r="AI492" s="39">
        <v>0</v>
      </c>
      <c r="AJ492" s="39">
        <f>'Row data'!$S492+'Row data'!$T492+'Row data'!$U492+'Row data'!$W492+'Row data'!$X492+'Row data'!$Y492+'Row data'!$Z492+'Row data'!$AA492+'Row data'!$AB492+'Row data'!$AD492-'Row data'!$AC492-'Row data'!$AE492-'Row data'!$AF492-'Row data'!$AG492-'Row data'!$AH492-'Row data'!$AI492</f>
        <v>12623</v>
      </c>
      <c r="AK492" s="39">
        <v>12623</v>
      </c>
      <c r="AL492" s="39">
        <v>0</v>
      </c>
    </row>
    <row r="493" spans="1:38" x14ac:dyDescent="0.3">
      <c r="A493" s="40">
        <v>492</v>
      </c>
      <c r="B493" s="35" t="s">
        <v>237</v>
      </c>
      <c r="C493" s="35">
        <v>7542621</v>
      </c>
      <c r="D493" s="36" t="s">
        <v>861</v>
      </c>
      <c r="E493" s="35" t="s">
        <v>38</v>
      </c>
      <c r="F493" s="35" t="s">
        <v>352</v>
      </c>
      <c r="G493" s="35" t="s">
        <v>50</v>
      </c>
      <c r="H493" s="37"/>
      <c r="I493" s="38">
        <v>44774</v>
      </c>
      <c r="J493" s="38">
        <v>44562</v>
      </c>
      <c r="K493" s="17">
        <f>YEAR('Row data'!$J493)</f>
        <v>2022</v>
      </c>
      <c r="L493" s="38">
        <v>31855</v>
      </c>
      <c r="M493" s="35" t="str">
        <f ca="1">IF('Row data'!$J493="",DATEDIF('Row data'!$L493,TODAY(),"y"),"0")</f>
        <v>0</v>
      </c>
      <c r="N493" s="35" t="s">
        <v>75</v>
      </c>
      <c r="O493" s="35" t="s">
        <v>553</v>
      </c>
      <c r="P493" s="39" t="s">
        <v>554</v>
      </c>
      <c r="Q493" s="39">
        <v>13405</v>
      </c>
      <c r="R493" s="39">
        <v>12362</v>
      </c>
      <c r="S493" s="39">
        <v>7303</v>
      </c>
      <c r="T493" s="39">
        <v>3652</v>
      </c>
      <c r="U493" s="39">
        <v>750</v>
      </c>
      <c r="V493" s="39">
        <v>450</v>
      </c>
      <c r="W493" s="39">
        <v>0</v>
      </c>
      <c r="X493" s="39">
        <v>0</v>
      </c>
      <c r="Y493" s="39">
        <v>1250</v>
      </c>
      <c r="Z493" s="39">
        <v>450</v>
      </c>
      <c r="AA493" s="39">
        <v>0</v>
      </c>
      <c r="AB493" s="39">
        <v>0</v>
      </c>
      <c r="AC493" s="39">
        <v>0</v>
      </c>
      <c r="AD493" s="39">
        <v>0</v>
      </c>
      <c r="AE493" s="39">
        <v>1043</v>
      </c>
      <c r="AF493" s="39">
        <v>0</v>
      </c>
      <c r="AG493" s="39">
        <v>0</v>
      </c>
      <c r="AH493" s="39">
        <v>0</v>
      </c>
      <c r="AI493" s="39">
        <v>0</v>
      </c>
      <c r="AJ493" s="39">
        <f>'Row data'!$S493+'Row data'!$T493+'Row data'!$U493+'Row data'!$W493+'Row data'!$X493+'Row data'!$Y493+'Row data'!$Z493+'Row data'!$AA493+'Row data'!$AB493+'Row data'!$AD493-'Row data'!$AC493-'Row data'!$AE493-'Row data'!$AF493-'Row data'!$AG493-'Row data'!$AH493-'Row data'!$AI493</f>
        <v>12362</v>
      </c>
      <c r="AK493" s="39">
        <v>12362</v>
      </c>
      <c r="AL493" s="39">
        <v>0</v>
      </c>
    </row>
    <row r="494" spans="1:38" x14ac:dyDescent="0.3">
      <c r="A494" s="40">
        <v>493</v>
      </c>
      <c r="B494" s="35" t="s">
        <v>237</v>
      </c>
      <c r="C494" s="35">
        <v>8989052</v>
      </c>
      <c r="D494" s="36" t="s">
        <v>862</v>
      </c>
      <c r="E494" s="35" t="s">
        <v>38</v>
      </c>
      <c r="F494" s="35" t="s">
        <v>352</v>
      </c>
      <c r="G494" s="35" t="s">
        <v>633</v>
      </c>
      <c r="H494" s="37"/>
      <c r="I494" s="38">
        <v>39978</v>
      </c>
      <c r="J494" s="38">
        <v>44562</v>
      </c>
      <c r="K494" s="17">
        <f>YEAR('Row data'!$J494)</f>
        <v>2022</v>
      </c>
      <c r="L494" s="38">
        <v>30812</v>
      </c>
      <c r="M494" s="35" t="str">
        <f ca="1">IF('Row data'!$J494="",DATEDIF('Row data'!$L494,TODAY(),"y"),"0")</f>
        <v>0</v>
      </c>
      <c r="N494" s="35" t="s">
        <v>75</v>
      </c>
      <c r="O494" s="35" t="s">
        <v>553</v>
      </c>
      <c r="P494" s="39" t="s">
        <v>554</v>
      </c>
      <c r="Q494" s="39">
        <v>15718</v>
      </c>
      <c r="R494" s="39">
        <v>15718</v>
      </c>
      <c r="S494" s="39">
        <v>8845</v>
      </c>
      <c r="T494" s="39">
        <v>4423</v>
      </c>
      <c r="U494" s="39">
        <v>750</v>
      </c>
      <c r="V494" s="39">
        <v>450</v>
      </c>
      <c r="W494" s="39">
        <v>0</v>
      </c>
      <c r="X494" s="39">
        <v>0</v>
      </c>
      <c r="Y494" s="39">
        <v>1250</v>
      </c>
      <c r="Z494" s="39">
        <v>450</v>
      </c>
      <c r="AA494" s="39">
        <v>350</v>
      </c>
      <c r="AB494" s="39">
        <v>0</v>
      </c>
      <c r="AC494" s="39">
        <v>0</v>
      </c>
      <c r="AD494" s="39">
        <v>0</v>
      </c>
      <c r="AE494" s="39">
        <v>0</v>
      </c>
      <c r="AF494" s="39">
        <v>0</v>
      </c>
      <c r="AG494" s="39">
        <v>0</v>
      </c>
      <c r="AH494" s="39">
        <v>0</v>
      </c>
      <c r="AI494" s="39">
        <v>0</v>
      </c>
      <c r="AJ494" s="39">
        <f>'Row data'!$S494+'Row data'!$T494+'Row data'!$U494+'Row data'!$W494+'Row data'!$X494+'Row data'!$Y494+'Row data'!$Z494+'Row data'!$AA494+'Row data'!$AB494+'Row data'!$AD494-'Row data'!$AC494-'Row data'!$AE494-'Row data'!$AF494-'Row data'!$AG494-'Row data'!$AH494-'Row data'!$AI494</f>
        <v>16068</v>
      </c>
      <c r="AK494" s="39">
        <v>16068</v>
      </c>
      <c r="AL494" s="39">
        <v>0</v>
      </c>
    </row>
    <row r="495" spans="1:38" x14ac:dyDescent="0.3">
      <c r="A495" s="40">
        <v>494</v>
      </c>
      <c r="B495" s="35" t="s">
        <v>237</v>
      </c>
      <c r="C495" s="35">
        <v>8769258</v>
      </c>
      <c r="D495" s="36" t="s">
        <v>863</v>
      </c>
      <c r="E495" s="35" t="s">
        <v>38</v>
      </c>
      <c r="F495" s="35" t="s">
        <v>352</v>
      </c>
      <c r="G495" s="35" t="s">
        <v>649</v>
      </c>
      <c r="H495" s="37"/>
      <c r="I495" s="38">
        <v>41000</v>
      </c>
      <c r="J495" s="38">
        <v>44562</v>
      </c>
      <c r="K495" s="17">
        <f>YEAR('Row data'!$J495)</f>
        <v>2022</v>
      </c>
      <c r="L495" s="38">
        <v>31730</v>
      </c>
      <c r="M495" s="35" t="str">
        <f ca="1">IF('Row data'!$J495="",DATEDIF('Row data'!$L495,TODAY(),"y"),"0")</f>
        <v>0</v>
      </c>
      <c r="N495" s="35" t="s">
        <v>75</v>
      </c>
      <c r="O495" s="35" t="s">
        <v>553</v>
      </c>
      <c r="P495" s="39" t="s">
        <v>554</v>
      </c>
      <c r="Q495" s="39">
        <v>14713</v>
      </c>
      <c r="R495" s="39">
        <v>14713</v>
      </c>
      <c r="S495" s="39">
        <v>8175</v>
      </c>
      <c r="T495" s="39">
        <v>4088</v>
      </c>
      <c r="U495" s="39">
        <v>750</v>
      </c>
      <c r="V495" s="39">
        <v>450</v>
      </c>
      <c r="W495" s="39">
        <v>0</v>
      </c>
      <c r="X495" s="39">
        <v>0</v>
      </c>
      <c r="Y495" s="39">
        <v>1250</v>
      </c>
      <c r="Z495" s="39">
        <v>450</v>
      </c>
      <c r="AA495" s="39">
        <v>250</v>
      </c>
      <c r="AB495" s="39">
        <v>0</v>
      </c>
      <c r="AC495" s="39">
        <v>0</v>
      </c>
      <c r="AD495" s="39">
        <v>0</v>
      </c>
      <c r="AE495" s="39">
        <v>0</v>
      </c>
      <c r="AF495" s="39">
        <v>0</v>
      </c>
      <c r="AG495" s="39">
        <v>0</v>
      </c>
      <c r="AH495" s="39">
        <v>0</v>
      </c>
      <c r="AI495" s="39">
        <v>0</v>
      </c>
      <c r="AJ495" s="39">
        <f>'Row data'!$S495+'Row data'!$T495+'Row data'!$U495+'Row data'!$W495+'Row data'!$X495+'Row data'!$Y495+'Row data'!$Z495+'Row data'!$AA495+'Row data'!$AB495+'Row data'!$AD495-'Row data'!$AC495-'Row data'!$AE495-'Row data'!$AF495-'Row data'!$AG495-'Row data'!$AH495-'Row data'!$AI495</f>
        <v>14963</v>
      </c>
      <c r="AK495" s="39">
        <v>14963</v>
      </c>
      <c r="AL495" s="39">
        <v>0</v>
      </c>
    </row>
    <row r="496" spans="1:38" x14ac:dyDescent="0.3">
      <c r="A496" s="40">
        <v>495</v>
      </c>
      <c r="B496" s="35" t="s">
        <v>237</v>
      </c>
      <c r="C496" s="35">
        <v>7632219</v>
      </c>
      <c r="D496" s="36" t="s">
        <v>864</v>
      </c>
      <c r="E496" s="35" t="s">
        <v>38</v>
      </c>
      <c r="F496" s="35" t="s">
        <v>352</v>
      </c>
      <c r="G496" s="35" t="s">
        <v>164</v>
      </c>
      <c r="H496" s="37"/>
      <c r="I496" s="38">
        <v>42826</v>
      </c>
      <c r="J496" s="38">
        <v>44562</v>
      </c>
      <c r="K496" s="17">
        <f>YEAR('Row data'!$J496)</f>
        <v>2022</v>
      </c>
      <c r="L496" s="38">
        <v>31199</v>
      </c>
      <c r="M496" s="35" t="str">
        <f ca="1">IF('Row data'!$J496="",DATEDIF('Row data'!$L496,TODAY(),"y"),"0")</f>
        <v>0</v>
      </c>
      <c r="N496" s="35" t="s">
        <v>75</v>
      </c>
      <c r="O496" s="35" t="s">
        <v>553</v>
      </c>
      <c r="P496" s="39" t="s">
        <v>554</v>
      </c>
      <c r="Q496" s="39">
        <v>15337</v>
      </c>
      <c r="R496" s="39">
        <v>15337</v>
      </c>
      <c r="S496" s="39">
        <v>8591</v>
      </c>
      <c r="T496" s="39">
        <v>4296</v>
      </c>
      <c r="U496" s="39">
        <v>750</v>
      </c>
      <c r="V496" s="39">
        <v>450</v>
      </c>
      <c r="W496" s="39">
        <v>0</v>
      </c>
      <c r="X496" s="39">
        <v>0</v>
      </c>
      <c r="Y496" s="39">
        <v>1250</v>
      </c>
      <c r="Z496" s="39">
        <v>450</v>
      </c>
      <c r="AA496" s="39">
        <v>350</v>
      </c>
      <c r="AB496" s="39">
        <v>0</v>
      </c>
      <c r="AC496" s="39">
        <v>0</v>
      </c>
      <c r="AD496" s="39">
        <v>0</v>
      </c>
      <c r="AE496" s="39">
        <v>0</v>
      </c>
      <c r="AF496" s="39">
        <v>0</v>
      </c>
      <c r="AG496" s="39">
        <v>0</v>
      </c>
      <c r="AH496" s="39">
        <v>0</v>
      </c>
      <c r="AI496" s="39">
        <v>0</v>
      </c>
      <c r="AJ496" s="39">
        <f>'Row data'!$S496+'Row data'!$T496+'Row data'!$U496+'Row data'!$W496+'Row data'!$X496+'Row data'!$Y496+'Row data'!$Z496+'Row data'!$AA496+'Row data'!$AB496+'Row data'!$AD496-'Row data'!$AC496-'Row data'!$AE496-'Row data'!$AF496-'Row data'!$AG496-'Row data'!$AH496-'Row data'!$AI496</f>
        <v>15687</v>
      </c>
      <c r="AK496" s="39">
        <v>15687</v>
      </c>
      <c r="AL496" s="39">
        <v>0</v>
      </c>
    </row>
    <row r="497" spans="1:38" x14ac:dyDescent="0.3">
      <c r="A497" s="40">
        <v>496</v>
      </c>
      <c r="B497" s="35" t="s">
        <v>237</v>
      </c>
      <c r="C497" s="35">
        <v>8176869</v>
      </c>
      <c r="D497" s="36" t="s">
        <v>865</v>
      </c>
      <c r="E497" s="35" t="s">
        <v>38</v>
      </c>
      <c r="F497" s="35" t="s">
        <v>352</v>
      </c>
      <c r="G497" s="35" t="s">
        <v>50</v>
      </c>
      <c r="H497" s="37"/>
      <c r="I497" s="38">
        <v>43051</v>
      </c>
      <c r="J497" s="38">
        <v>44562</v>
      </c>
      <c r="K497" s="17">
        <f>YEAR('Row data'!$J497)</f>
        <v>2022</v>
      </c>
      <c r="L497" s="38">
        <v>33971</v>
      </c>
      <c r="M497" s="35" t="str">
        <f ca="1">IF('Row data'!$J497="",DATEDIF('Row data'!$L497,TODAY(),"y"),"0")</f>
        <v>0</v>
      </c>
      <c r="N497" s="35" t="s">
        <v>75</v>
      </c>
      <c r="O497" s="35" t="s">
        <v>553</v>
      </c>
      <c r="P497" s="39" t="s">
        <v>554</v>
      </c>
      <c r="Q497" s="39">
        <v>13568</v>
      </c>
      <c r="R497" s="39">
        <v>13303</v>
      </c>
      <c r="S497" s="39">
        <v>7412</v>
      </c>
      <c r="T497" s="39">
        <v>3706</v>
      </c>
      <c r="U497" s="39">
        <v>750</v>
      </c>
      <c r="V497" s="39">
        <v>450</v>
      </c>
      <c r="W497" s="39">
        <v>0</v>
      </c>
      <c r="X497" s="39">
        <v>0</v>
      </c>
      <c r="Y497" s="39">
        <v>1250</v>
      </c>
      <c r="Z497" s="39">
        <v>450</v>
      </c>
      <c r="AA497" s="39">
        <v>0</v>
      </c>
      <c r="AB497" s="39">
        <v>0</v>
      </c>
      <c r="AC497" s="39">
        <v>0</v>
      </c>
      <c r="AD497" s="39">
        <v>0</v>
      </c>
      <c r="AE497" s="39">
        <v>265</v>
      </c>
      <c r="AF497" s="39">
        <v>0</v>
      </c>
      <c r="AG497" s="39">
        <v>0</v>
      </c>
      <c r="AH497" s="39">
        <v>0</v>
      </c>
      <c r="AI497" s="39">
        <v>0</v>
      </c>
      <c r="AJ497" s="39">
        <f>'Row data'!$S497+'Row data'!$T497+'Row data'!$U497+'Row data'!$W497+'Row data'!$X497+'Row data'!$Y497+'Row data'!$Z497+'Row data'!$AA497+'Row data'!$AB497+'Row data'!$AD497-'Row data'!$AC497-'Row data'!$AE497-'Row data'!$AF497-'Row data'!$AG497-'Row data'!$AH497-'Row data'!$AI497</f>
        <v>13303</v>
      </c>
      <c r="AK497" s="39">
        <v>13303</v>
      </c>
      <c r="AL497" s="39">
        <v>0</v>
      </c>
    </row>
    <row r="498" spans="1:38" x14ac:dyDescent="0.3">
      <c r="A498" s="40">
        <v>497</v>
      </c>
      <c r="B498" s="35" t="s">
        <v>237</v>
      </c>
      <c r="C498" s="35">
        <v>7390458</v>
      </c>
      <c r="D498" s="36" t="s">
        <v>866</v>
      </c>
      <c r="E498" s="35" t="s">
        <v>38</v>
      </c>
      <c r="F498" s="35" t="s">
        <v>352</v>
      </c>
      <c r="G498" s="35" t="s">
        <v>50</v>
      </c>
      <c r="H498" s="37"/>
      <c r="I498" s="38">
        <v>42998</v>
      </c>
      <c r="J498" s="38">
        <v>43466</v>
      </c>
      <c r="K498" s="17">
        <f>YEAR('Row data'!$J498)</f>
        <v>2019</v>
      </c>
      <c r="L498" s="38">
        <v>29481</v>
      </c>
      <c r="M498" s="35" t="str">
        <f ca="1">IF('Row data'!$J498="",DATEDIF('Row data'!$L498,TODAY(),"y"),"0")</f>
        <v>0</v>
      </c>
      <c r="N498" s="35" t="s">
        <v>75</v>
      </c>
      <c r="O498" s="35" t="s">
        <v>553</v>
      </c>
      <c r="P498" s="39" t="s">
        <v>554</v>
      </c>
      <c r="Q498" s="39">
        <v>13568</v>
      </c>
      <c r="R498" s="39">
        <v>13568</v>
      </c>
      <c r="S498" s="39">
        <v>7412</v>
      </c>
      <c r="T498" s="39">
        <v>3706</v>
      </c>
      <c r="U498" s="39">
        <v>750</v>
      </c>
      <c r="V498" s="39">
        <v>450</v>
      </c>
      <c r="W498" s="39">
        <v>0</v>
      </c>
      <c r="X498" s="39">
        <v>0</v>
      </c>
      <c r="Y498" s="39">
        <v>1250</v>
      </c>
      <c r="Z498" s="39">
        <v>450</v>
      </c>
      <c r="AA498" s="39">
        <v>350</v>
      </c>
      <c r="AB498" s="39">
        <v>0</v>
      </c>
      <c r="AC498" s="39">
        <v>0</v>
      </c>
      <c r="AD498" s="39">
        <v>0</v>
      </c>
      <c r="AE498" s="39">
        <v>0</v>
      </c>
      <c r="AF498" s="39">
        <v>0</v>
      </c>
      <c r="AG498" s="39">
        <v>0</v>
      </c>
      <c r="AH498" s="39">
        <v>0</v>
      </c>
      <c r="AI498" s="39">
        <v>0</v>
      </c>
      <c r="AJ498" s="39">
        <f>'Row data'!$S498+'Row data'!$T498+'Row data'!$U498+'Row data'!$W498+'Row data'!$X498+'Row data'!$Y498+'Row data'!$Z498+'Row data'!$AA498+'Row data'!$AB498+'Row data'!$AD498-'Row data'!$AC498-'Row data'!$AE498-'Row data'!$AF498-'Row data'!$AG498-'Row data'!$AH498-'Row data'!$AI498</f>
        <v>13918</v>
      </c>
      <c r="AK498" s="39">
        <v>13918</v>
      </c>
      <c r="AL498" s="39">
        <v>0</v>
      </c>
    </row>
    <row r="499" spans="1:38" x14ac:dyDescent="0.3">
      <c r="A499" s="40">
        <v>498</v>
      </c>
      <c r="B499" s="35" t="s">
        <v>237</v>
      </c>
      <c r="C499" s="35">
        <v>8195113</v>
      </c>
      <c r="D499" s="36" t="s">
        <v>867</v>
      </c>
      <c r="E499" s="35" t="s">
        <v>38</v>
      </c>
      <c r="F499" s="35" t="s">
        <v>352</v>
      </c>
      <c r="G499" s="35" t="s">
        <v>50</v>
      </c>
      <c r="H499" s="37"/>
      <c r="I499" s="38">
        <v>44241</v>
      </c>
      <c r="J499" s="38">
        <v>43466</v>
      </c>
      <c r="K499" s="17">
        <f>YEAR('Row data'!$J499)</f>
        <v>2019</v>
      </c>
      <c r="L499" s="38">
        <v>27613</v>
      </c>
      <c r="M499" s="35" t="str">
        <f ca="1">IF('Row data'!$J499="",DATEDIF('Row data'!$L499,TODAY(),"y"),"0")</f>
        <v>0</v>
      </c>
      <c r="N499" s="35" t="s">
        <v>75</v>
      </c>
      <c r="O499" s="35" t="s">
        <v>553</v>
      </c>
      <c r="P499" s="39" t="s">
        <v>554</v>
      </c>
      <c r="Q499" s="39">
        <v>13405</v>
      </c>
      <c r="R499" s="39">
        <v>13405</v>
      </c>
      <c r="S499" s="39">
        <v>7303</v>
      </c>
      <c r="T499" s="39">
        <v>3652</v>
      </c>
      <c r="U499" s="39">
        <v>750</v>
      </c>
      <c r="V499" s="39">
        <v>450</v>
      </c>
      <c r="W499" s="39">
        <v>0</v>
      </c>
      <c r="X499" s="39">
        <v>0</v>
      </c>
      <c r="Y499" s="39">
        <v>1250</v>
      </c>
      <c r="Z499" s="39">
        <v>450</v>
      </c>
      <c r="AA499" s="39">
        <v>350</v>
      </c>
      <c r="AB499" s="39">
        <v>0</v>
      </c>
      <c r="AC499" s="39">
        <v>0</v>
      </c>
      <c r="AD499" s="39">
        <v>0</v>
      </c>
      <c r="AE499" s="39">
        <v>0</v>
      </c>
      <c r="AF499" s="39">
        <v>0</v>
      </c>
      <c r="AG499" s="39">
        <v>0</v>
      </c>
      <c r="AH499" s="39">
        <v>0</v>
      </c>
      <c r="AI499" s="39">
        <v>0</v>
      </c>
      <c r="AJ499" s="39">
        <f>'Row data'!$S499+'Row data'!$T499+'Row data'!$U499+'Row data'!$W499+'Row data'!$X499+'Row data'!$Y499+'Row data'!$Z499+'Row data'!$AA499+'Row data'!$AB499+'Row data'!$AD499-'Row data'!$AC499-'Row data'!$AE499-'Row data'!$AF499-'Row data'!$AG499-'Row data'!$AH499-'Row data'!$AI499</f>
        <v>13755</v>
      </c>
      <c r="AK499" s="39">
        <v>13755</v>
      </c>
      <c r="AL499" s="39">
        <v>0</v>
      </c>
    </row>
    <row r="500" spans="1:38" x14ac:dyDescent="0.3">
      <c r="A500" s="40">
        <v>499</v>
      </c>
      <c r="B500" s="35" t="s">
        <v>237</v>
      </c>
      <c r="C500" s="35">
        <v>5315294</v>
      </c>
      <c r="D500" s="36" t="s">
        <v>868</v>
      </c>
      <c r="E500" s="35" t="s">
        <v>38</v>
      </c>
      <c r="F500" s="35" t="s">
        <v>352</v>
      </c>
      <c r="G500" s="35" t="s">
        <v>164</v>
      </c>
      <c r="H500" s="37"/>
      <c r="I500" s="38">
        <v>39995</v>
      </c>
      <c r="J500" s="38">
        <v>43466</v>
      </c>
      <c r="K500" s="17">
        <f>YEAR('Row data'!$J500)</f>
        <v>2019</v>
      </c>
      <c r="L500" s="38">
        <v>31148</v>
      </c>
      <c r="M500" s="35" t="str">
        <f ca="1">IF('Row data'!$J500="",DATEDIF('Row data'!$L500,TODAY(),"y"),"0")</f>
        <v>0</v>
      </c>
      <c r="N500" s="35" t="s">
        <v>75</v>
      </c>
      <c r="O500" s="35" t="s">
        <v>553</v>
      </c>
      <c r="P500" s="39" t="s">
        <v>554</v>
      </c>
      <c r="Q500" s="39">
        <v>16519</v>
      </c>
      <c r="R500" s="39">
        <v>16519</v>
      </c>
      <c r="S500" s="39">
        <v>9379</v>
      </c>
      <c r="T500" s="39">
        <v>4690</v>
      </c>
      <c r="U500" s="39">
        <v>750</v>
      </c>
      <c r="V500" s="39">
        <v>450</v>
      </c>
      <c r="W500" s="39">
        <v>0</v>
      </c>
      <c r="X500" s="39">
        <v>0</v>
      </c>
      <c r="Y500" s="39">
        <v>1250</v>
      </c>
      <c r="Z500" s="39">
        <v>450</v>
      </c>
      <c r="AA500" s="39">
        <v>350</v>
      </c>
      <c r="AB500" s="39">
        <v>0</v>
      </c>
      <c r="AC500" s="39">
        <v>0</v>
      </c>
      <c r="AD500" s="39">
        <v>0</v>
      </c>
      <c r="AE500" s="39">
        <v>0</v>
      </c>
      <c r="AF500" s="39">
        <v>0</v>
      </c>
      <c r="AG500" s="39">
        <v>0</v>
      </c>
      <c r="AH500" s="39">
        <v>0</v>
      </c>
      <c r="AI500" s="39">
        <v>0</v>
      </c>
      <c r="AJ500" s="39">
        <f>'Row data'!$S500+'Row data'!$T500+'Row data'!$U500+'Row data'!$W500+'Row data'!$X500+'Row data'!$Y500+'Row data'!$Z500+'Row data'!$AA500+'Row data'!$AB500+'Row data'!$AD500-'Row data'!$AC500-'Row data'!$AE500-'Row data'!$AF500-'Row data'!$AG500-'Row data'!$AH500-'Row data'!$AI500</f>
        <v>16869</v>
      </c>
      <c r="AK500" s="39">
        <v>16869</v>
      </c>
      <c r="AL500" s="39">
        <v>0</v>
      </c>
    </row>
    <row r="501" spans="1:38" x14ac:dyDescent="0.3">
      <c r="A501" s="40">
        <v>500</v>
      </c>
      <c r="B501" s="35" t="s">
        <v>237</v>
      </c>
      <c r="C501" s="35">
        <v>9145184</v>
      </c>
      <c r="D501" s="36" t="s">
        <v>869</v>
      </c>
      <c r="E501" s="35" t="s">
        <v>38</v>
      </c>
      <c r="F501" s="35" t="s">
        <v>352</v>
      </c>
      <c r="G501" s="35" t="s">
        <v>164</v>
      </c>
      <c r="H501" s="37"/>
      <c r="I501" s="38">
        <v>41655</v>
      </c>
      <c r="J501" s="38">
        <v>43466</v>
      </c>
      <c r="K501" s="17">
        <f>YEAR('Row data'!$J501)</f>
        <v>2019</v>
      </c>
      <c r="L501" s="38">
        <v>33097</v>
      </c>
      <c r="M501" s="35" t="str">
        <f ca="1">IF('Row data'!$J501="",DATEDIF('Row data'!$L501,TODAY(),"y"),"0")</f>
        <v>0</v>
      </c>
      <c r="N501" s="35" t="s">
        <v>75</v>
      </c>
      <c r="O501" s="35" t="s">
        <v>553</v>
      </c>
      <c r="P501" s="39" t="s">
        <v>554</v>
      </c>
      <c r="Q501" s="39">
        <v>15337</v>
      </c>
      <c r="R501" s="39">
        <v>15337</v>
      </c>
      <c r="S501" s="39">
        <v>8591</v>
      </c>
      <c r="T501" s="39">
        <v>4296</v>
      </c>
      <c r="U501" s="39">
        <v>750</v>
      </c>
      <c r="V501" s="39">
        <v>450</v>
      </c>
      <c r="W501" s="39">
        <v>0</v>
      </c>
      <c r="X501" s="39">
        <v>0</v>
      </c>
      <c r="Y501" s="39">
        <v>1250</v>
      </c>
      <c r="Z501" s="39">
        <v>450</v>
      </c>
      <c r="AA501" s="39">
        <v>350</v>
      </c>
      <c r="AB501" s="39">
        <v>0</v>
      </c>
      <c r="AC501" s="39">
        <v>0</v>
      </c>
      <c r="AD501" s="39">
        <v>0</v>
      </c>
      <c r="AE501" s="39">
        <v>0</v>
      </c>
      <c r="AF501" s="39">
        <v>0</v>
      </c>
      <c r="AG501" s="39">
        <v>0</v>
      </c>
      <c r="AH501" s="39">
        <v>0</v>
      </c>
      <c r="AI501" s="39">
        <v>0</v>
      </c>
      <c r="AJ501" s="39">
        <f>'Row data'!$S501+'Row data'!$T501+'Row data'!$U501+'Row data'!$W501+'Row data'!$X501+'Row data'!$Y501+'Row data'!$Z501+'Row data'!$AA501+'Row data'!$AB501+'Row data'!$AD501-'Row data'!$AC501-'Row data'!$AE501-'Row data'!$AF501-'Row data'!$AG501-'Row data'!$AH501-'Row data'!$AI501</f>
        <v>15687</v>
      </c>
      <c r="AK501" s="39">
        <v>15687</v>
      </c>
      <c r="AL501" s="39">
        <v>0</v>
      </c>
    </row>
    <row r="502" spans="1:38" x14ac:dyDescent="0.3">
      <c r="A502" s="40">
        <v>501</v>
      </c>
      <c r="B502" s="35" t="s">
        <v>237</v>
      </c>
      <c r="C502" s="35">
        <v>7510170</v>
      </c>
      <c r="D502" s="36" t="s">
        <v>870</v>
      </c>
      <c r="E502" s="35" t="s">
        <v>38</v>
      </c>
      <c r="F502" s="35" t="s">
        <v>352</v>
      </c>
      <c r="G502" s="35" t="s">
        <v>633</v>
      </c>
      <c r="H502" s="37"/>
      <c r="I502" s="38">
        <v>39961</v>
      </c>
      <c r="J502" s="38">
        <v>43466</v>
      </c>
      <c r="K502" s="17">
        <f>YEAR('Row data'!$J502)</f>
        <v>2019</v>
      </c>
      <c r="L502" s="38">
        <v>26882</v>
      </c>
      <c r="M502" s="35" t="str">
        <f ca="1">IF('Row data'!$J502="",DATEDIF('Row data'!$L502,TODAY(),"y"),"0")</f>
        <v>0</v>
      </c>
      <c r="N502" s="35" t="s">
        <v>75</v>
      </c>
      <c r="O502" s="35" t="s">
        <v>553</v>
      </c>
      <c r="P502" s="39" t="s">
        <v>554</v>
      </c>
      <c r="Q502" s="39">
        <v>16248</v>
      </c>
      <c r="R502" s="39">
        <v>16248</v>
      </c>
      <c r="S502" s="39">
        <v>9199</v>
      </c>
      <c r="T502" s="39">
        <v>4599</v>
      </c>
      <c r="U502" s="39">
        <v>750</v>
      </c>
      <c r="V502" s="39">
        <v>450</v>
      </c>
      <c r="W502" s="39">
        <v>0</v>
      </c>
      <c r="X502" s="39">
        <v>0</v>
      </c>
      <c r="Y502" s="39">
        <v>1250</v>
      </c>
      <c r="Z502" s="39">
        <v>450</v>
      </c>
      <c r="AA502" s="39">
        <v>350</v>
      </c>
      <c r="AB502" s="39">
        <v>0</v>
      </c>
      <c r="AC502" s="39">
        <v>0</v>
      </c>
      <c r="AD502" s="39">
        <v>0</v>
      </c>
      <c r="AE502" s="39">
        <v>0</v>
      </c>
      <c r="AF502" s="39">
        <v>0</v>
      </c>
      <c r="AG502" s="39">
        <v>0</v>
      </c>
      <c r="AH502" s="39">
        <v>0</v>
      </c>
      <c r="AI502" s="39">
        <v>0</v>
      </c>
      <c r="AJ502" s="39">
        <f>'Row data'!$S502+'Row data'!$T502+'Row data'!$U502+'Row data'!$W502+'Row data'!$X502+'Row data'!$Y502+'Row data'!$Z502+'Row data'!$AA502+'Row data'!$AB502+'Row data'!$AD502-'Row data'!$AC502-'Row data'!$AE502-'Row data'!$AF502-'Row data'!$AG502-'Row data'!$AH502-'Row data'!$AI502</f>
        <v>16598</v>
      </c>
      <c r="AK502" s="39">
        <v>16598</v>
      </c>
      <c r="AL502" s="39">
        <v>0</v>
      </c>
    </row>
    <row r="503" spans="1:38" x14ac:dyDescent="0.3">
      <c r="A503" s="40">
        <v>502</v>
      </c>
      <c r="B503" s="35" t="s">
        <v>237</v>
      </c>
      <c r="C503" s="35">
        <v>6875407</v>
      </c>
      <c r="D503" s="36" t="s">
        <v>871</v>
      </c>
      <c r="E503" s="35" t="s">
        <v>38</v>
      </c>
      <c r="F503" s="35" t="s">
        <v>352</v>
      </c>
      <c r="G503" s="35" t="s">
        <v>633</v>
      </c>
      <c r="H503" s="37"/>
      <c r="I503" s="38">
        <v>42826</v>
      </c>
      <c r="J503" s="38">
        <v>45747</v>
      </c>
      <c r="K503" s="17">
        <f>YEAR('Row data'!$J503)</f>
        <v>2025</v>
      </c>
      <c r="L503" s="38">
        <v>27687</v>
      </c>
      <c r="M503" s="35" t="str">
        <f ca="1">IF('Row data'!$J503="",DATEDIF('Row data'!$L503,TODAY(),"y"),"0")</f>
        <v>0</v>
      </c>
      <c r="N503" s="35" t="s">
        <v>75</v>
      </c>
      <c r="O503" s="35" t="s">
        <v>553</v>
      </c>
      <c r="P503" s="39" t="s">
        <v>554</v>
      </c>
      <c r="Q503" s="39">
        <v>13568</v>
      </c>
      <c r="R503" s="39">
        <v>11980</v>
      </c>
      <c r="S503" s="39">
        <v>7412</v>
      </c>
      <c r="T503" s="39">
        <v>3706</v>
      </c>
      <c r="U503" s="39">
        <v>750</v>
      </c>
      <c r="V503" s="39">
        <v>450</v>
      </c>
      <c r="W503" s="39">
        <v>0</v>
      </c>
      <c r="X503" s="39">
        <v>0</v>
      </c>
      <c r="Y503" s="39">
        <v>1250</v>
      </c>
      <c r="Z503" s="39">
        <v>450</v>
      </c>
      <c r="AA503" s="39">
        <v>0</v>
      </c>
      <c r="AB503" s="39">
        <v>0</v>
      </c>
      <c r="AC503" s="39">
        <v>0</v>
      </c>
      <c r="AD503" s="39">
        <v>0</v>
      </c>
      <c r="AE503" s="39">
        <v>1588</v>
      </c>
      <c r="AF503" s="39">
        <v>0</v>
      </c>
      <c r="AG503" s="39">
        <v>0</v>
      </c>
      <c r="AH503" s="39">
        <v>0</v>
      </c>
      <c r="AI503" s="39">
        <v>0</v>
      </c>
      <c r="AJ503" s="39">
        <f>'Row data'!$S503+'Row data'!$T503+'Row data'!$U503+'Row data'!$W503+'Row data'!$X503+'Row data'!$Y503+'Row data'!$Z503+'Row data'!$AA503+'Row data'!$AB503+'Row data'!$AD503-'Row data'!$AC503-'Row data'!$AE503-'Row data'!$AF503-'Row data'!$AG503-'Row data'!$AH503-'Row data'!$AI503</f>
        <v>11980</v>
      </c>
      <c r="AK503" s="39">
        <v>11980</v>
      </c>
      <c r="AL503" s="39">
        <v>0</v>
      </c>
    </row>
    <row r="504" spans="1:38" x14ac:dyDescent="0.3">
      <c r="A504" s="40">
        <v>503</v>
      </c>
      <c r="B504" s="35" t="s">
        <v>237</v>
      </c>
      <c r="C504" s="35">
        <v>5267423</v>
      </c>
      <c r="D504" s="36" t="s">
        <v>872</v>
      </c>
      <c r="E504" s="35" t="s">
        <v>38</v>
      </c>
      <c r="F504" s="35" t="s">
        <v>352</v>
      </c>
      <c r="G504" s="35" t="s">
        <v>633</v>
      </c>
      <c r="H504" s="37"/>
      <c r="I504" s="38">
        <v>43344</v>
      </c>
      <c r="J504" s="38">
        <v>43466</v>
      </c>
      <c r="K504" s="17">
        <f>YEAR('Row data'!$J504)</f>
        <v>2019</v>
      </c>
      <c r="L504" s="38">
        <v>25934</v>
      </c>
      <c r="M504" s="35" t="str">
        <f ca="1">IF('Row data'!$J504="",DATEDIF('Row data'!$L504,TODAY(),"y"),"0")</f>
        <v>0</v>
      </c>
      <c r="N504" s="35" t="s">
        <v>75</v>
      </c>
      <c r="O504" s="35" t="s">
        <v>553</v>
      </c>
      <c r="P504" s="39" t="s">
        <v>554</v>
      </c>
      <c r="Q504" s="39">
        <v>15337</v>
      </c>
      <c r="R504" s="39">
        <v>15030</v>
      </c>
      <c r="S504" s="39">
        <v>8591</v>
      </c>
      <c r="T504" s="39">
        <v>4296</v>
      </c>
      <c r="U504" s="39">
        <v>750</v>
      </c>
      <c r="V504" s="39">
        <v>450</v>
      </c>
      <c r="W504" s="39">
        <v>0</v>
      </c>
      <c r="X504" s="39">
        <v>0</v>
      </c>
      <c r="Y504" s="39">
        <v>1250</v>
      </c>
      <c r="Z504" s="39">
        <v>450</v>
      </c>
      <c r="AA504" s="39">
        <v>0</v>
      </c>
      <c r="AB504" s="39">
        <v>0</v>
      </c>
      <c r="AC504" s="39">
        <v>0</v>
      </c>
      <c r="AD504" s="39">
        <v>0</v>
      </c>
      <c r="AE504" s="39">
        <v>307</v>
      </c>
      <c r="AF504" s="39">
        <v>0</v>
      </c>
      <c r="AG504" s="39">
        <v>0</v>
      </c>
      <c r="AH504" s="39">
        <v>0</v>
      </c>
      <c r="AI504" s="39">
        <v>0</v>
      </c>
      <c r="AJ504" s="39">
        <f>'Row data'!$S504+'Row data'!$T504+'Row data'!$U504+'Row data'!$W504+'Row data'!$X504+'Row data'!$Y504+'Row data'!$Z504+'Row data'!$AA504+'Row data'!$AB504+'Row data'!$AD504-'Row data'!$AC504-'Row data'!$AE504-'Row data'!$AF504-'Row data'!$AG504-'Row data'!$AH504-'Row data'!$AI504</f>
        <v>15030</v>
      </c>
      <c r="AK504" s="39">
        <v>15030</v>
      </c>
      <c r="AL504" s="39">
        <v>0</v>
      </c>
    </row>
    <row r="505" spans="1:38" x14ac:dyDescent="0.3">
      <c r="A505" s="40">
        <v>504</v>
      </c>
      <c r="B505" s="35" t="s">
        <v>237</v>
      </c>
      <c r="C505" s="35">
        <v>6209844</v>
      </c>
      <c r="D505" s="36" t="s">
        <v>873</v>
      </c>
      <c r="E505" s="35" t="s">
        <v>38</v>
      </c>
      <c r="F505" s="35" t="s">
        <v>352</v>
      </c>
      <c r="G505" s="35" t="s">
        <v>633</v>
      </c>
      <c r="H505" s="37"/>
      <c r="I505" s="38">
        <v>42157</v>
      </c>
      <c r="J505" s="38">
        <v>43466</v>
      </c>
      <c r="K505" s="17">
        <f>YEAR('Row data'!$J505)</f>
        <v>2019</v>
      </c>
      <c r="L505" s="38">
        <v>28554</v>
      </c>
      <c r="M505" s="35" t="str">
        <f ca="1">IF('Row data'!$J505="",DATEDIF('Row data'!$L505,TODAY(),"y"),"0")</f>
        <v>0</v>
      </c>
      <c r="N505" s="35" t="s">
        <v>75</v>
      </c>
      <c r="O505" s="35" t="s">
        <v>553</v>
      </c>
      <c r="P505" s="39" t="s">
        <v>554</v>
      </c>
      <c r="Q505" s="39">
        <v>13568</v>
      </c>
      <c r="R505" s="39">
        <v>13568</v>
      </c>
      <c r="S505" s="39">
        <v>7412</v>
      </c>
      <c r="T505" s="39">
        <v>3706</v>
      </c>
      <c r="U505" s="39">
        <v>750</v>
      </c>
      <c r="V505" s="39">
        <v>450</v>
      </c>
      <c r="W505" s="39">
        <v>0</v>
      </c>
      <c r="X505" s="39">
        <v>0</v>
      </c>
      <c r="Y505" s="39">
        <v>1250</v>
      </c>
      <c r="Z505" s="39">
        <v>450</v>
      </c>
      <c r="AA505" s="39">
        <v>350</v>
      </c>
      <c r="AB505" s="39">
        <v>0</v>
      </c>
      <c r="AC505" s="39">
        <v>0</v>
      </c>
      <c r="AD505" s="39">
        <v>0</v>
      </c>
      <c r="AE505" s="39">
        <v>0</v>
      </c>
      <c r="AF505" s="39">
        <v>0</v>
      </c>
      <c r="AG505" s="39">
        <v>0</v>
      </c>
      <c r="AH505" s="39">
        <v>0</v>
      </c>
      <c r="AI505" s="39">
        <v>0</v>
      </c>
      <c r="AJ505" s="39">
        <f>'Row data'!$S505+'Row data'!$T505+'Row data'!$U505+'Row data'!$W505+'Row data'!$X505+'Row data'!$Y505+'Row data'!$Z505+'Row data'!$AA505+'Row data'!$AB505+'Row data'!$AD505-'Row data'!$AC505-'Row data'!$AE505-'Row data'!$AF505-'Row data'!$AG505-'Row data'!$AH505-'Row data'!$AI505</f>
        <v>13918</v>
      </c>
      <c r="AK505" s="39">
        <v>13918</v>
      </c>
      <c r="AL505" s="39">
        <v>0</v>
      </c>
    </row>
    <row r="506" spans="1:38" x14ac:dyDescent="0.3">
      <c r="A506" s="40">
        <v>505</v>
      </c>
      <c r="B506" s="35" t="s">
        <v>237</v>
      </c>
      <c r="C506" s="35">
        <v>7204074</v>
      </c>
      <c r="D506" s="36" t="s">
        <v>874</v>
      </c>
      <c r="E506" s="35" t="s">
        <v>38</v>
      </c>
      <c r="F506" s="35" t="s">
        <v>352</v>
      </c>
      <c r="G506" s="35" t="s">
        <v>634</v>
      </c>
      <c r="H506" s="37"/>
      <c r="I506" s="38">
        <v>43013</v>
      </c>
      <c r="J506" s="38">
        <v>43466</v>
      </c>
      <c r="K506" s="17">
        <f>YEAR('Row data'!$J506)</f>
        <v>2019</v>
      </c>
      <c r="L506" s="38">
        <v>27395</v>
      </c>
      <c r="M506" s="35" t="str">
        <f ca="1">IF('Row data'!$J506="",DATEDIF('Row data'!$L506,TODAY(),"y"),"0")</f>
        <v>0</v>
      </c>
      <c r="N506" s="35" t="s">
        <v>75</v>
      </c>
      <c r="O506" s="35" t="s">
        <v>553</v>
      </c>
      <c r="P506" s="39" t="s">
        <v>554</v>
      </c>
      <c r="Q506" s="39">
        <v>13568</v>
      </c>
      <c r="R506" s="39">
        <v>13303</v>
      </c>
      <c r="S506" s="39">
        <v>7412</v>
      </c>
      <c r="T506" s="39">
        <v>3706</v>
      </c>
      <c r="U506" s="39">
        <v>750</v>
      </c>
      <c r="V506" s="39">
        <v>450</v>
      </c>
      <c r="W506" s="39">
        <v>0</v>
      </c>
      <c r="X506" s="39">
        <v>0</v>
      </c>
      <c r="Y506" s="39">
        <v>1250</v>
      </c>
      <c r="Z506" s="39">
        <v>450</v>
      </c>
      <c r="AA506" s="39">
        <v>0</v>
      </c>
      <c r="AB506" s="39">
        <v>0</v>
      </c>
      <c r="AC506" s="39">
        <v>0</v>
      </c>
      <c r="AD506" s="39">
        <v>0</v>
      </c>
      <c r="AE506" s="39">
        <v>265</v>
      </c>
      <c r="AF506" s="39">
        <v>0</v>
      </c>
      <c r="AG506" s="39">
        <v>0</v>
      </c>
      <c r="AH506" s="39">
        <v>0</v>
      </c>
      <c r="AI506" s="39">
        <v>0</v>
      </c>
      <c r="AJ506" s="39">
        <f>'Row data'!$S506+'Row data'!$T506+'Row data'!$U506+'Row data'!$W506+'Row data'!$X506+'Row data'!$Y506+'Row data'!$Z506+'Row data'!$AA506+'Row data'!$AB506+'Row data'!$AD506-'Row data'!$AC506-'Row data'!$AE506-'Row data'!$AF506-'Row data'!$AG506-'Row data'!$AH506-'Row data'!$AI506</f>
        <v>13303</v>
      </c>
      <c r="AK506" s="39">
        <v>13303</v>
      </c>
      <c r="AL506" s="39">
        <v>0</v>
      </c>
    </row>
    <row r="507" spans="1:38" x14ac:dyDescent="0.3">
      <c r="A507" s="40">
        <v>506</v>
      </c>
      <c r="B507" s="35" t="s">
        <v>237</v>
      </c>
      <c r="C507" s="35">
        <v>8866923</v>
      </c>
      <c r="D507" s="36" t="s">
        <v>875</v>
      </c>
      <c r="E507" s="35" t="s">
        <v>38</v>
      </c>
      <c r="F507" s="35" t="s">
        <v>352</v>
      </c>
      <c r="G507" s="35" t="s">
        <v>649</v>
      </c>
      <c r="H507" s="37"/>
      <c r="I507" s="38">
        <v>43169</v>
      </c>
      <c r="J507" s="38">
        <v>43466</v>
      </c>
      <c r="K507" s="17">
        <f>YEAR('Row data'!$J507)</f>
        <v>2019</v>
      </c>
      <c r="L507" s="38">
        <v>26376</v>
      </c>
      <c r="M507" s="35" t="str">
        <f ca="1">IF('Row data'!$J507="",DATEDIF('Row data'!$L507,TODAY(),"y"),"0")</f>
        <v>0</v>
      </c>
      <c r="N507" s="35" t="s">
        <v>75</v>
      </c>
      <c r="O507" s="35" t="s">
        <v>553</v>
      </c>
      <c r="P507" s="39" t="s">
        <v>554</v>
      </c>
      <c r="Q507" s="39">
        <v>14549</v>
      </c>
      <c r="R507" s="39">
        <v>14549</v>
      </c>
      <c r="S507" s="39">
        <v>8066</v>
      </c>
      <c r="T507" s="39">
        <v>4033</v>
      </c>
      <c r="U507" s="39">
        <v>750</v>
      </c>
      <c r="V507" s="39">
        <v>450</v>
      </c>
      <c r="W507" s="39">
        <v>0</v>
      </c>
      <c r="X507" s="39">
        <v>0</v>
      </c>
      <c r="Y507" s="39">
        <v>1250</v>
      </c>
      <c r="Z507" s="39">
        <v>450</v>
      </c>
      <c r="AA507" s="39">
        <v>0</v>
      </c>
      <c r="AB507" s="39">
        <v>0</v>
      </c>
      <c r="AC507" s="39">
        <v>0</v>
      </c>
      <c r="AD507" s="39">
        <v>0</v>
      </c>
      <c r="AE507" s="39">
        <v>0</v>
      </c>
      <c r="AF507" s="39">
        <v>0</v>
      </c>
      <c r="AG507" s="39">
        <v>0</v>
      </c>
      <c r="AH507" s="39">
        <v>0</v>
      </c>
      <c r="AI507" s="39">
        <v>0</v>
      </c>
      <c r="AJ507" s="39">
        <f>'Row data'!$S507+'Row data'!$T507+'Row data'!$U507+'Row data'!$W507+'Row data'!$X507+'Row data'!$Y507+'Row data'!$Z507+'Row data'!$AA507+'Row data'!$AB507+'Row data'!$AD507-'Row data'!$AC507-'Row data'!$AE507-'Row data'!$AF507-'Row data'!$AG507-'Row data'!$AH507-'Row data'!$AI507</f>
        <v>14549</v>
      </c>
      <c r="AK507" s="39">
        <v>14549</v>
      </c>
      <c r="AL507" s="39">
        <v>0</v>
      </c>
    </row>
    <row r="508" spans="1:38" x14ac:dyDescent="0.3">
      <c r="A508" s="40">
        <v>507</v>
      </c>
      <c r="B508" s="35" t="s">
        <v>237</v>
      </c>
      <c r="C508" s="35">
        <v>6598902</v>
      </c>
      <c r="D508" s="36" t="s">
        <v>876</v>
      </c>
      <c r="E508" s="35" t="s">
        <v>38</v>
      </c>
      <c r="F508" s="35" t="s">
        <v>352</v>
      </c>
      <c r="G508" s="35" t="s">
        <v>633</v>
      </c>
      <c r="H508" s="37"/>
      <c r="I508" s="38">
        <v>43832</v>
      </c>
      <c r="J508" s="38">
        <v>43466</v>
      </c>
      <c r="K508" s="17">
        <f>YEAR('Row data'!$J508)</f>
        <v>2019</v>
      </c>
      <c r="L508" s="38">
        <v>32001</v>
      </c>
      <c r="M508" s="35" t="str">
        <f ca="1">IF('Row data'!$J508="",DATEDIF('Row data'!$L508,TODAY(),"y"),"0")</f>
        <v>0</v>
      </c>
      <c r="N508" s="35" t="s">
        <v>75</v>
      </c>
      <c r="O508" s="35" t="s">
        <v>553</v>
      </c>
      <c r="P508" s="39" t="s">
        <v>554</v>
      </c>
      <c r="Q508" s="39">
        <v>13405</v>
      </c>
      <c r="R508" s="39">
        <v>13405</v>
      </c>
      <c r="S508" s="39">
        <v>7303</v>
      </c>
      <c r="T508" s="39">
        <v>3652</v>
      </c>
      <c r="U508" s="39">
        <v>750</v>
      </c>
      <c r="V508" s="39">
        <v>450</v>
      </c>
      <c r="W508" s="39">
        <v>0</v>
      </c>
      <c r="X508" s="39">
        <v>0</v>
      </c>
      <c r="Y508" s="39">
        <v>1250</v>
      </c>
      <c r="Z508" s="39">
        <v>450</v>
      </c>
      <c r="AA508" s="39">
        <v>350</v>
      </c>
      <c r="AB508" s="39">
        <v>0</v>
      </c>
      <c r="AC508" s="39">
        <v>0</v>
      </c>
      <c r="AD508" s="39">
        <v>0</v>
      </c>
      <c r="AE508" s="39">
        <v>0</v>
      </c>
      <c r="AF508" s="39">
        <v>0</v>
      </c>
      <c r="AG508" s="39">
        <v>0</v>
      </c>
      <c r="AH508" s="39">
        <v>0</v>
      </c>
      <c r="AI508" s="39">
        <v>0</v>
      </c>
      <c r="AJ508" s="39">
        <f>'Row data'!$S508+'Row data'!$T508+'Row data'!$U508+'Row data'!$W508+'Row data'!$X508+'Row data'!$Y508+'Row data'!$Z508+'Row data'!$AA508+'Row data'!$AB508+'Row data'!$AD508-'Row data'!$AC508-'Row data'!$AE508-'Row data'!$AF508-'Row data'!$AG508-'Row data'!$AH508-'Row data'!$AI508</f>
        <v>13755</v>
      </c>
      <c r="AK508" s="39">
        <v>13755</v>
      </c>
      <c r="AL508" s="39">
        <v>0</v>
      </c>
    </row>
    <row r="509" spans="1:38" x14ac:dyDescent="0.3">
      <c r="A509" s="40">
        <v>508</v>
      </c>
      <c r="B509" s="35" t="s">
        <v>237</v>
      </c>
      <c r="C509" s="35">
        <v>5578181</v>
      </c>
      <c r="D509" s="36" t="s">
        <v>877</v>
      </c>
      <c r="E509" s="35" t="s">
        <v>38</v>
      </c>
      <c r="F509" s="35" t="s">
        <v>352</v>
      </c>
      <c r="G509" s="35" t="s">
        <v>50</v>
      </c>
      <c r="H509" s="37" t="s">
        <v>767</v>
      </c>
      <c r="I509" s="38">
        <v>44381</v>
      </c>
      <c r="J509" s="38"/>
      <c r="K509" s="17"/>
      <c r="L509" s="38">
        <v>37043</v>
      </c>
      <c r="M509" s="35">
        <f ca="1">IF('Row data'!$J509="",DATEDIF('Row data'!$L509,TODAY(),"y"),"0")</f>
        <v>25</v>
      </c>
      <c r="N509" s="35" t="s">
        <v>75</v>
      </c>
      <c r="O509" s="35" t="s">
        <v>553</v>
      </c>
      <c r="P509" s="39" t="s">
        <v>554</v>
      </c>
      <c r="Q509" s="39">
        <v>13405</v>
      </c>
      <c r="R509" s="39">
        <v>12883</v>
      </c>
      <c r="S509" s="39">
        <v>7303</v>
      </c>
      <c r="T509" s="39">
        <v>3652</v>
      </c>
      <c r="U509" s="39">
        <v>750</v>
      </c>
      <c r="V509" s="39">
        <v>450</v>
      </c>
      <c r="W509" s="39">
        <v>0</v>
      </c>
      <c r="X509" s="39">
        <v>0</v>
      </c>
      <c r="Y509" s="39">
        <v>1250</v>
      </c>
      <c r="Z509" s="39">
        <v>450</v>
      </c>
      <c r="AA509" s="39">
        <v>0</v>
      </c>
      <c r="AB509" s="39">
        <v>0</v>
      </c>
      <c r="AC509" s="39">
        <v>0</v>
      </c>
      <c r="AD509" s="39">
        <v>0</v>
      </c>
      <c r="AE509" s="39">
        <v>522</v>
      </c>
      <c r="AF509" s="39">
        <v>0</v>
      </c>
      <c r="AG509" s="39">
        <v>0</v>
      </c>
      <c r="AH509" s="39">
        <v>0</v>
      </c>
      <c r="AI509" s="39">
        <v>0</v>
      </c>
      <c r="AJ509" s="39">
        <f>'Row data'!$S509+'Row data'!$T509+'Row data'!$U509+'Row data'!$W509+'Row data'!$X509+'Row data'!$Y509+'Row data'!$Z509+'Row data'!$AA509+'Row data'!$AB509+'Row data'!$AD509-'Row data'!$AC509-'Row data'!$AE509-'Row data'!$AF509-'Row data'!$AG509-'Row data'!$AH509-'Row data'!$AI509</f>
        <v>12883</v>
      </c>
      <c r="AK509" s="39">
        <v>12883</v>
      </c>
      <c r="AL509" s="39">
        <v>0</v>
      </c>
    </row>
    <row r="510" spans="1:38" x14ac:dyDescent="0.3">
      <c r="A510" s="40">
        <v>509</v>
      </c>
      <c r="B510" s="35" t="s">
        <v>237</v>
      </c>
      <c r="C510" s="35">
        <v>7682415</v>
      </c>
      <c r="D510" s="36" t="s">
        <v>878</v>
      </c>
      <c r="E510" s="35" t="s">
        <v>38</v>
      </c>
      <c r="F510" s="35" t="s">
        <v>352</v>
      </c>
      <c r="G510" s="35" t="s">
        <v>50</v>
      </c>
      <c r="H510" s="37" t="s">
        <v>793</v>
      </c>
      <c r="I510" s="38">
        <v>44382</v>
      </c>
      <c r="J510" s="38"/>
      <c r="K510" s="17"/>
      <c r="L510" s="38">
        <v>33241</v>
      </c>
      <c r="M510" s="35">
        <f ca="1">IF('Row data'!$J510="",DATEDIF('Row data'!$L510,TODAY(),"y"),"0")</f>
        <v>35</v>
      </c>
      <c r="N510" s="35" t="s">
        <v>75</v>
      </c>
      <c r="O510" s="35" t="s">
        <v>553</v>
      </c>
      <c r="P510" s="39" t="s">
        <v>554</v>
      </c>
      <c r="Q510" s="39">
        <v>13405</v>
      </c>
      <c r="R510" s="39">
        <v>12883</v>
      </c>
      <c r="S510" s="39">
        <v>7303</v>
      </c>
      <c r="T510" s="39">
        <v>3652</v>
      </c>
      <c r="U510" s="39">
        <v>750</v>
      </c>
      <c r="V510" s="39">
        <v>450</v>
      </c>
      <c r="W510" s="39">
        <v>0</v>
      </c>
      <c r="X510" s="39">
        <v>0</v>
      </c>
      <c r="Y510" s="39">
        <v>1250</v>
      </c>
      <c r="Z510" s="39">
        <v>450</v>
      </c>
      <c r="AA510" s="39">
        <v>0</v>
      </c>
      <c r="AB510" s="39">
        <v>0</v>
      </c>
      <c r="AC510" s="39">
        <v>0</v>
      </c>
      <c r="AD510" s="39">
        <v>0</v>
      </c>
      <c r="AE510" s="39">
        <v>522</v>
      </c>
      <c r="AF510" s="39">
        <v>0</v>
      </c>
      <c r="AG510" s="39">
        <v>0</v>
      </c>
      <c r="AH510" s="39">
        <v>0</v>
      </c>
      <c r="AI510" s="39">
        <v>0</v>
      </c>
      <c r="AJ510" s="39">
        <f>'Row data'!$S510+'Row data'!$T510+'Row data'!$U510+'Row data'!$W510+'Row data'!$X510+'Row data'!$Y510+'Row data'!$Z510+'Row data'!$AA510+'Row data'!$AB510+'Row data'!$AD510-'Row data'!$AC510-'Row data'!$AE510-'Row data'!$AF510-'Row data'!$AG510-'Row data'!$AH510-'Row data'!$AI510</f>
        <v>12883</v>
      </c>
      <c r="AK510" s="39">
        <v>12883</v>
      </c>
      <c r="AL510" s="39">
        <v>0</v>
      </c>
    </row>
    <row r="511" spans="1:38" x14ac:dyDescent="0.3">
      <c r="A511" s="40">
        <v>510</v>
      </c>
      <c r="B511" s="35" t="s">
        <v>237</v>
      </c>
      <c r="C511" s="35">
        <v>5706718</v>
      </c>
      <c r="D511" s="36" t="s">
        <v>879</v>
      </c>
      <c r="E511" s="35" t="s">
        <v>38</v>
      </c>
      <c r="F511" s="35" t="s">
        <v>352</v>
      </c>
      <c r="G511" s="35" t="s">
        <v>170</v>
      </c>
      <c r="H511" s="37" t="s">
        <v>746</v>
      </c>
      <c r="I511" s="38">
        <v>44268</v>
      </c>
      <c r="J511" s="38"/>
      <c r="K511" s="17"/>
      <c r="L511" s="38">
        <v>33970</v>
      </c>
      <c r="M511" s="35">
        <f ca="1">IF('Row data'!$J511="",DATEDIF('Row data'!$L511,TODAY(),"y"),"0")</f>
        <v>33</v>
      </c>
      <c r="N511" s="35" t="s">
        <v>75</v>
      </c>
      <c r="O511" s="35" t="s">
        <v>553</v>
      </c>
      <c r="P511" s="39" t="s">
        <v>554</v>
      </c>
      <c r="Q511" s="39">
        <v>13405</v>
      </c>
      <c r="R511" s="39">
        <v>13405</v>
      </c>
      <c r="S511" s="39">
        <v>7303</v>
      </c>
      <c r="T511" s="39">
        <v>3652</v>
      </c>
      <c r="U511" s="39">
        <v>750</v>
      </c>
      <c r="V511" s="39">
        <v>450</v>
      </c>
      <c r="W511" s="39">
        <v>0</v>
      </c>
      <c r="X511" s="39">
        <v>0</v>
      </c>
      <c r="Y511" s="39">
        <v>1250</v>
      </c>
      <c r="Z511" s="39">
        <v>450</v>
      </c>
      <c r="AA511" s="39">
        <v>350</v>
      </c>
      <c r="AB511" s="39">
        <v>0</v>
      </c>
      <c r="AC511" s="39">
        <v>0</v>
      </c>
      <c r="AD511" s="39">
        <v>0</v>
      </c>
      <c r="AE511" s="39">
        <v>0</v>
      </c>
      <c r="AF511" s="39">
        <v>0</v>
      </c>
      <c r="AG511" s="39">
        <v>0</v>
      </c>
      <c r="AH511" s="39">
        <v>0</v>
      </c>
      <c r="AI511" s="39">
        <v>0</v>
      </c>
      <c r="AJ511" s="39">
        <f>'Row data'!$S511+'Row data'!$T511+'Row data'!$U511+'Row data'!$W511+'Row data'!$X511+'Row data'!$Y511+'Row data'!$Z511+'Row data'!$AA511+'Row data'!$AB511+'Row data'!$AD511-'Row data'!$AC511-'Row data'!$AE511-'Row data'!$AF511-'Row data'!$AG511-'Row data'!$AH511-'Row data'!$AI511</f>
        <v>13755</v>
      </c>
      <c r="AK511" s="39">
        <v>13755</v>
      </c>
      <c r="AL511" s="39">
        <v>0</v>
      </c>
    </row>
    <row r="512" spans="1:38" x14ac:dyDescent="0.3">
      <c r="A512" s="40">
        <v>511</v>
      </c>
      <c r="B512" s="35" t="s">
        <v>237</v>
      </c>
      <c r="C512" s="35">
        <v>8171056</v>
      </c>
      <c r="D512" s="36" t="s">
        <v>880</v>
      </c>
      <c r="E512" s="35" t="s">
        <v>38</v>
      </c>
      <c r="F512" s="35" t="s">
        <v>352</v>
      </c>
      <c r="G512" s="35" t="s">
        <v>170</v>
      </c>
      <c r="H512" s="37" t="s">
        <v>789</v>
      </c>
      <c r="I512" s="38">
        <v>44268</v>
      </c>
      <c r="J512" s="38"/>
      <c r="K512" s="17"/>
      <c r="L512" s="38">
        <v>36161</v>
      </c>
      <c r="M512" s="35">
        <f ca="1">IF('Row data'!$J512="",DATEDIF('Row data'!$L512,TODAY(),"y"),"0")</f>
        <v>27</v>
      </c>
      <c r="N512" s="35" t="s">
        <v>75</v>
      </c>
      <c r="O512" s="35" t="s">
        <v>553</v>
      </c>
      <c r="P512" s="39" t="s">
        <v>554</v>
      </c>
      <c r="Q512" s="39">
        <v>13405</v>
      </c>
      <c r="R512" s="39">
        <v>13405</v>
      </c>
      <c r="S512" s="39">
        <v>7303</v>
      </c>
      <c r="T512" s="39">
        <v>3652</v>
      </c>
      <c r="U512" s="39">
        <v>750</v>
      </c>
      <c r="V512" s="39">
        <v>450</v>
      </c>
      <c r="W512" s="39">
        <v>0</v>
      </c>
      <c r="X512" s="39">
        <v>0</v>
      </c>
      <c r="Y512" s="39">
        <v>1250</v>
      </c>
      <c r="Z512" s="39">
        <v>450</v>
      </c>
      <c r="AA512" s="39">
        <v>0</v>
      </c>
      <c r="AB512" s="39">
        <v>0</v>
      </c>
      <c r="AC512" s="39">
        <v>0</v>
      </c>
      <c r="AD512" s="39">
        <v>0</v>
      </c>
      <c r="AE512" s="39">
        <v>0</v>
      </c>
      <c r="AF512" s="39">
        <v>0</v>
      </c>
      <c r="AG512" s="39">
        <v>0</v>
      </c>
      <c r="AH512" s="39">
        <v>0</v>
      </c>
      <c r="AI512" s="39">
        <v>0</v>
      </c>
      <c r="AJ512" s="39">
        <f>'Row data'!$S512+'Row data'!$T512+'Row data'!$U512+'Row data'!$W512+'Row data'!$X512+'Row data'!$Y512+'Row data'!$Z512+'Row data'!$AA512+'Row data'!$AB512+'Row data'!$AD512-'Row data'!$AC512-'Row data'!$AE512-'Row data'!$AF512-'Row data'!$AG512-'Row data'!$AH512-'Row data'!$AI512</f>
        <v>13405</v>
      </c>
      <c r="AK512" s="39">
        <v>13405</v>
      </c>
      <c r="AL512" s="39">
        <v>0</v>
      </c>
    </row>
    <row r="513" spans="1:38" x14ac:dyDescent="0.3">
      <c r="A513" s="40">
        <v>512</v>
      </c>
      <c r="B513" s="35" t="s">
        <v>237</v>
      </c>
      <c r="C513" s="35">
        <v>6846799</v>
      </c>
      <c r="D513" s="36" t="s">
        <v>881</v>
      </c>
      <c r="E513" s="35" t="s">
        <v>38</v>
      </c>
      <c r="F513" s="35" t="s">
        <v>352</v>
      </c>
      <c r="G513" s="35" t="s">
        <v>164</v>
      </c>
      <c r="H513" s="37" t="s">
        <v>746</v>
      </c>
      <c r="I513" s="38">
        <v>40211</v>
      </c>
      <c r="J513" s="38">
        <v>43713</v>
      </c>
      <c r="K513" s="17">
        <f>YEAR('Row data'!$J513)</f>
        <v>2019</v>
      </c>
      <c r="L513" s="38">
        <v>32391</v>
      </c>
      <c r="M513" s="35" t="str">
        <f ca="1">IF('Row data'!$J513="",DATEDIF('Row data'!$L513,TODAY(),"y"),"0")</f>
        <v>0</v>
      </c>
      <c r="N513" s="35" t="s">
        <v>75</v>
      </c>
      <c r="O513" s="35" t="s">
        <v>553</v>
      </c>
      <c r="P513" s="39" t="s">
        <v>554</v>
      </c>
      <c r="Q513" s="39">
        <v>16642</v>
      </c>
      <c r="R513" s="39">
        <v>16642</v>
      </c>
      <c r="S513" s="39">
        <v>9461</v>
      </c>
      <c r="T513" s="39">
        <v>4731</v>
      </c>
      <c r="U513" s="39">
        <v>750</v>
      </c>
      <c r="V513" s="39">
        <v>450</v>
      </c>
      <c r="W513" s="39">
        <v>0</v>
      </c>
      <c r="X513" s="39">
        <v>0</v>
      </c>
      <c r="Y513" s="39">
        <v>1250</v>
      </c>
      <c r="Z513" s="39">
        <v>450</v>
      </c>
      <c r="AA513" s="39">
        <v>350</v>
      </c>
      <c r="AB513" s="39">
        <v>0</v>
      </c>
      <c r="AC513" s="39">
        <v>0</v>
      </c>
      <c r="AD513" s="39">
        <v>0</v>
      </c>
      <c r="AE513" s="39">
        <v>0</v>
      </c>
      <c r="AF513" s="39">
        <v>0</v>
      </c>
      <c r="AG513" s="39">
        <v>0</v>
      </c>
      <c r="AH513" s="39">
        <v>0</v>
      </c>
      <c r="AI513" s="39">
        <v>0</v>
      </c>
      <c r="AJ513" s="39">
        <f>'Row data'!$S513+'Row data'!$T513+'Row data'!$U513+'Row data'!$W513+'Row data'!$X513+'Row data'!$Y513+'Row data'!$Z513+'Row data'!$AA513+'Row data'!$AB513+'Row data'!$AD513-'Row data'!$AC513-'Row data'!$AE513-'Row data'!$AF513-'Row data'!$AG513-'Row data'!$AH513-'Row data'!$AI513</f>
        <v>16992</v>
      </c>
      <c r="AK513" s="39">
        <v>16992</v>
      </c>
      <c r="AL513" s="39">
        <v>0</v>
      </c>
    </row>
    <row r="514" spans="1:38" x14ac:dyDescent="0.3">
      <c r="A514" s="40">
        <v>513</v>
      </c>
      <c r="B514" s="35" t="s">
        <v>237</v>
      </c>
      <c r="C514" s="35">
        <v>8268033</v>
      </c>
      <c r="D514" s="36" t="s">
        <v>882</v>
      </c>
      <c r="E514" s="35" t="s">
        <v>38</v>
      </c>
      <c r="F514" s="35" t="s">
        <v>352</v>
      </c>
      <c r="G514" s="35" t="s">
        <v>170</v>
      </c>
      <c r="H514" s="37" t="s">
        <v>793</v>
      </c>
      <c r="I514" s="38">
        <v>42095</v>
      </c>
      <c r="J514" s="38"/>
      <c r="K514" s="17"/>
      <c r="L514" s="38">
        <v>30750</v>
      </c>
      <c r="M514" s="35">
        <f ca="1">IF('Row data'!$J514="",DATEDIF('Row data'!$L514,TODAY(),"y"),"0")</f>
        <v>42</v>
      </c>
      <c r="N514" s="35" t="s">
        <v>75</v>
      </c>
      <c r="O514" s="35" t="s">
        <v>553</v>
      </c>
      <c r="P514" s="39" t="s">
        <v>554</v>
      </c>
      <c r="Q514" s="39">
        <v>13732</v>
      </c>
      <c r="R514" s="39">
        <v>13732</v>
      </c>
      <c r="S514" s="39">
        <v>7521</v>
      </c>
      <c r="T514" s="39">
        <v>3761</v>
      </c>
      <c r="U514" s="39">
        <v>750</v>
      </c>
      <c r="V514" s="39">
        <v>450</v>
      </c>
      <c r="W514" s="39">
        <v>0</v>
      </c>
      <c r="X514" s="39">
        <v>0</v>
      </c>
      <c r="Y514" s="39">
        <v>1250</v>
      </c>
      <c r="Z514" s="39">
        <v>450</v>
      </c>
      <c r="AA514" s="39">
        <v>350</v>
      </c>
      <c r="AB514" s="39">
        <v>0</v>
      </c>
      <c r="AC514" s="39">
        <v>0</v>
      </c>
      <c r="AD514" s="39">
        <v>0</v>
      </c>
      <c r="AE514" s="39">
        <v>0</v>
      </c>
      <c r="AF514" s="39">
        <v>0</v>
      </c>
      <c r="AG514" s="39">
        <v>0</v>
      </c>
      <c r="AH514" s="39">
        <v>0</v>
      </c>
      <c r="AI514" s="39">
        <v>0</v>
      </c>
      <c r="AJ514" s="39">
        <f>'Row data'!$S514+'Row data'!$T514+'Row data'!$U514+'Row data'!$W514+'Row data'!$X514+'Row data'!$Y514+'Row data'!$Z514+'Row data'!$AA514+'Row data'!$AB514+'Row data'!$AD514-'Row data'!$AC514-'Row data'!$AE514-'Row data'!$AF514-'Row data'!$AG514-'Row data'!$AH514-'Row data'!$AI514</f>
        <v>14082</v>
      </c>
      <c r="AK514" s="39">
        <v>14082</v>
      </c>
      <c r="AL514" s="39">
        <v>0</v>
      </c>
    </row>
    <row r="515" spans="1:38" x14ac:dyDescent="0.3">
      <c r="A515" s="40">
        <v>514</v>
      </c>
      <c r="B515" s="35" t="s">
        <v>237</v>
      </c>
      <c r="C515" s="35">
        <v>9591750</v>
      </c>
      <c r="D515" s="36" t="s">
        <v>883</v>
      </c>
      <c r="E515" s="35" t="s">
        <v>38</v>
      </c>
      <c r="F515" s="35" t="s">
        <v>352</v>
      </c>
      <c r="G515" s="35" t="s">
        <v>164</v>
      </c>
      <c r="H515" s="37" t="s">
        <v>782</v>
      </c>
      <c r="I515" s="38">
        <v>37843</v>
      </c>
      <c r="J515" s="38">
        <v>43466</v>
      </c>
      <c r="K515" s="17">
        <f>YEAR('Row data'!$J515)</f>
        <v>2019</v>
      </c>
      <c r="L515" s="38">
        <v>32143</v>
      </c>
      <c r="M515" s="35" t="str">
        <f ca="1">IF('Row data'!$J515="",DATEDIF('Row data'!$L515,TODAY(),"y"),"0")</f>
        <v>0</v>
      </c>
      <c r="N515" s="35" t="s">
        <v>75</v>
      </c>
      <c r="O515" s="35" t="s">
        <v>553</v>
      </c>
      <c r="P515" s="39" t="s">
        <v>554</v>
      </c>
      <c r="Q515" s="39">
        <v>18331</v>
      </c>
      <c r="R515" s="39">
        <v>18331</v>
      </c>
      <c r="S515" s="39">
        <v>10587</v>
      </c>
      <c r="T515" s="39">
        <v>5294</v>
      </c>
      <c r="U515" s="39">
        <v>750</v>
      </c>
      <c r="V515" s="39">
        <v>450</v>
      </c>
      <c r="W515" s="39">
        <v>0</v>
      </c>
      <c r="X515" s="39">
        <v>0</v>
      </c>
      <c r="Y515" s="39">
        <v>1250</v>
      </c>
      <c r="Z515" s="39">
        <v>450</v>
      </c>
      <c r="AA515" s="39">
        <v>350</v>
      </c>
      <c r="AB515" s="39">
        <v>0</v>
      </c>
      <c r="AC515" s="39">
        <v>0</v>
      </c>
      <c r="AD515" s="39">
        <v>0</v>
      </c>
      <c r="AE515" s="39">
        <v>0</v>
      </c>
      <c r="AF515" s="39">
        <v>0</v>
      </c>
      <c r="AG515" s="39">
        <v>0</v>
      </c>
      <c r="AH515" s="39">
        <v>0</v>
      </c>
      <c r="AI515" s="39">
        <v>0</v>
      </c>
      <c r="AJ515" s="39">
        <f>'Row data'!$S515+'Row data'!$T515+'Row data'!$U515+'Row data'!$W515+'Row data'!$X515+'Row data'!$Y515+'Row data'!$Z515+'Row data'!$AA515+'Row data'!$AB515+'Row data'!$AD515-'Row data'!$AC515-'Row data'!$AE515-'Row data'!$AF515-'Row data'!$AG515-'Row data'!$AH515-'Row data'!$AI515</f>
        <v>18681</v>
      </c>
      <c r="AK515" s="39">
        <v>18681</v>
      </c>
      <c r="AL515" s="39">
        <v>0</v>
      </c>
    </row>
    <row r="516" spans="1:38" x14ac:dyDescent="0.3">
      <c r="A516" s="40">
        <v>515</v>
      </c>
      <c r="B516" s="35" t="s">
        <v>237</v>
      </c>
      <c r="C516" s="35">
        <v>7663306</v>
      </c>
      <c r="D516" s="36" t="s">
        <v>884</v>
      </c>
      <c r="E516" s="35" t="s">
        <v>38</v>
      </c>
      <c r="F516" s="35" t="s">
        <v>352</v>
      </c>
      <c r="G516" s="35" t="s">
        <v>164</v>
      </c>
      <c r="H516" s="37" t="s">
        <v>752</v>
      </c>
      <c r="I516" s="38">
        <v>41345</v>
      </c>
      <c r="J516" s="38"/>
      <c r="K516" s="17"/>
      <c r="L516" s="38">
        <v>35098</v>
      </c>
      <c r="M516" s="35">
        <f ca="1">IF('Row data'!$J516="",DATEDIF('Row data'!$L516,TODAY(),"y"),"0")</f>
        <v>30</v>
      </c>
      <c r="N516" s="35" t="s">
        <v>75</v>
      </c>
      <c r="O516" s="35" t="s">
        <v>553</v>
      </c>
      <c r="P516" s="39" t="s">
        <v>554</v>
      </c>
      <c r="Q516" s="39">
        <v>15337</v>
      </c>
      <c r="R516" s="39">
        <v>15337</v>
      </c>
      <c r="S516" s="39">
        <v>8591</v>
      </c>
      <c r="T516" s="39">
        <v>4296</v>
      </c>
      <c r="U516" s="39">
        <v>750</v>
      </c>
      <c r="V516" s="39">
        <v>450</v>
      </c>
      <c r="W516" s="39">
        <v>0</v>
      </c>
      <c r="X516" s="39">
        <v>0</v>
      </c>
      <c r="Y516" s="39">
        <v>1250</v>
      </c>
      <c r="Z516" s="39">
        <v>450</v>
      </c>
      <c r="AA516" s="39">
        <v>250</v>
      </c>
      <c r="AB516" s="39">
        <v>0</v>
      </c>
      <c r="AC516" s="39">
        <v>0</v>
      </c>
      <c r="AD516" s="39">
        <v>0</v>
      </c>
      <c r="AE516" s="39">
        <v>0</v>
      </c>
      <c r="AF516" s="39">
        <v>0</v>
      </c>
      <c r="AG516" s="39">
        <v>0</v>
      </c>
      <c r="AH516" s="39">
        <v>0</v>
      </c>
      <c r="AI516" s="39">
        <v>0</v>
      </c>
      <c r="AJ516" s="39">
        <f>'Row data'!$S516+'Row data'!$T516+'Row data'!$U516+'Row data'!$W516+'Row data'!$X516+'Row data'!$Y516+'Row data'!$Z516+'Row data'!$AA516+'Row data'!$AB516+'Row data'!$AD516-'Row data'!$AC516-'Row data'!$AE516-'Row data'!$AF516-'Row data'!$AG516-'Row data'!$AH516-'Row data'!$AI516</f>
        <v>15587</v>
      </c>
      <c r="AK516" s="39">
        <v>15587</v>
      </c>
      <c r="AL516" s="39">
        <v>0</v>
      </c>
    </row>
    <row r="517" spans="1:38" x14ac:dyDescent="0.3">
      <c r="A517" s="40">
        <v>516</v>
      </c>
      <c r="B517" s="35" t="s">
        <v>237</v>
      </c>
      <c r="C517" s="35">
        <v>7983430</v>
      </c>
      <c r="D517" s="36" t="s">
        <v>885</v>
      </c>
      <c r="E517" s="35" t="s">
        <v>38</v>
      </c>
      <c r="F517" s="35" t="s">
        <v>352</v>
      </c>
      <c r="G517" s="35" t="s">
        <v>649</v>
      </c>
      <c r="H517" s="37" t="s">
        <v>748</v>
      </c>
      <c r="I517" s="38">
        <v>40969</v>
      </c>
      <c r="J517" s="38"/>
      <c r="K517" s="17"/>
      <c r="L517" s="38">
        <v>26882</v>
      </c>
      <c r="M517" s="35">
        <f ca="1">IF('Row data'!$J517="",DATEDIF('Row data'!$L517,TODAY(),"y"),"0")</f>
        <v>53</v>
      </c>
      <c r="N517" s="35" t="s">
        <v>75</v>
      </c>
      <c r="O517" s="35" t="s">
        <v>553</v>
      </c>
      <c r="P517" s="39" t="s">
        <v>554</v>
      </c>
      <c r="Q517" s="39">
        <v>16606</v>
      </c>
      <c r="R517" s="39">
        <v>16606</v>
      </c>
      <c r="S517" s="39">
        <v>9437</v>
      </c>
      <c r="T517" s="39">
        <v>4719</v>
      </c>
      <c r="U517" s="39">
        <v>750</v>
      </c>
      <c r="V517" s="39">
        <v>450</v>
      </c>
      <c r="W517" s="39">
        <v>0</v>
      </c>
      <c r="X517" s="39">
        <v>0</v>
      </c>
      <c r="Y517" s="39">
        <v>1250</v>
      </c>
      <c r="Z517" s="39">
        <v>450</v>
      </c>
      <c r="AA517" s="39">
        <v>350</v>
      </c>
      <c r="AB517" s="39">
        <v>0</v>
      </c>
      <c r="AC517" s="39">
        <v>0</v>
      </c>
      <c r="AD517" s="39">
        <v>0</v>
      </c>
      <c r="AE517" s="39">
        <v>0</v>
      </c>
      <c r="AF517" s="39">
        <v>0</v>
      </c>
      <c r="AG517" s="39">
        <v>0</v>
      </c>
      <c r="AH517" s="39">
        <v>0</v>
      </c>
      <c r="AI517" s="39">
        <v>0</v>
      </c>
      <c r="AJ517" s="39">
        <f>'Row data'!$S517+'Row data'!$T517+'Row data'!$U517+'Row data'!$W517+'Row data'!$X517+'Row data'!$Y517+'Row data'!$Z517+'Row data'!$AA517+'Row data'!$AB517+'Row data'!$AD517-'Row data'!$AC517-'Row data'!$AE517-'Row data'!$AF517-'Row data'!$AG517-'Row data'!$AH517-'Row data'!$AI517</f>
        <v>16956</v>
      </c>
      <c r="AK517" s="39">
        <v>16956</v>
      </c>
      <c r="AL517" s="39">
        <v>0</v>
      </c>
    </row>
    <row r="518" spans="1:38" x14ac:dyDescent="0.3">
      <c r="A518" s="40">
        <v>517</v>
      </c>
      <c r="B518" s="35" t="s">
        <v>237</v>
      </c>
      <c r="C518" s="35">
        <v>7413675</v>
      </c>
      <c r="D518" s="36" t="s">
        <v>886</v>
      </c>
      <c r="E518" s="35" t="s">
        <v>38</v>
      </c>
      <c r="F518" s="35" t="s">
        <v>352</v>
      </c>
      <c r="G518" s="35" t="s">
        <v>164</v>
      </c>
      <c r="H518" s="37" t="s">
        <v>782</v>
      </c>
      <c r="I518" s="38">
        <v>40244</v>
      </c>
      <c r="J518" s="38"/>
      <c r="K518" s="17"/>
      <c r="L518" s="38">
        <v>34833</v>
      </c>
      <c r="M518" s="35">
        <f ca="1">IF('Row data'!$J518="",DATEDIF('Row data'!$L518,TODAY(),"y"),"0")</f>
        <v>31</v>
      </c>
      <c r="N518" s="35" t="s">
        <v>75</v>
      </c>
      <c r="O518" s="35" t="s">
        <v>553</v>
      </c>
      <c r="P518" s="39" t="s">
        <v>554</v>
      </c>
      <c r="Q518" s="39">
        <v>16519</v>
      </c>
      <c r="R518" s="39">
        <v>16519</v>
      </c>
      <c r="S518" s="39">
        <v>9379</v>
      </c>
      <c r="T518" s="39">
        <v>4690</v>
      </c>
      <c r="U518" s="39">
        <v>750</v>
      </c>
      <c r="V518" s="39">
        <v>450</v>
      </c>
      <c r="W518" s="39">
        <v>0</v>
      </c>
      <c r="X518" s="39">
        <v>0</v>
      </c>
      <c r="Y518" s="39">
        <v>1250</v>
      </c>
      <c r="Z518" s="39">
        <v>450</v>
      </c>
      <c r="AA518" s="39">
        <v>350</v>
      </c>
      <c r="AB518" s="39">
        <v>0</v>
      </c>
      <c r="AC518" s="39">
        <v>0</v>
      </c>
      <c r="AD518" s="39">
        <v>0</v>
      </c>
      <c r="AE518" s="39">
        <v>0</v>
      </c>
      <c r="AF518" s="39">
        <v>0</v>
      </c>
      <c r="AG518" s="39">
        <v>0</v>
      </c>
      <c r="AH518" s="39">
        <v>0</v>
      </c>
      <c r="AI518" s="39">
        <v>0</v>
      </c>
      <c r="AJ518" s="39">
        <f>'Row data'!$S518+'Row data'!$T518+'Row data'!$U518+'Row data'!$W518+'Row data'!$X518+'Row data'!$Y518+'Row data'!$Z518+'Row data'!$AA518+'Row data'!$AB518+'Row data'!$AD518-'Row data'!$AC518-'Row data'!$AE518-'Row data'!$AF518-'Row data'!$AG518-'Row data'!$AH518-'Row data'!$AI518</f>
        <v>16869</v>
      </c>
      <c r="AK518" s="39">
        <v>16869</v>
      </c>
      <c r="AL518" s="39">
        <v>0</v>
      </c>
    </row>
    <row r="519" spans="1:38" x14ac:dyDescent="0.3">
      <c r="A519" s="40">
        <v>518</v>
      </c>
      <c r="B519" s="35" t="s">
        <v>237</v>
      </c>
      <c r="C519" s="35">
        <v>8931729</v>
      </c>
      <c r="D519" s="36" t="s">
        <v>887</v>
      </c>
      <c r="E519" s="35" t="s">
        <v>38</v>
      </c>
      <c r="F519" s="35" t="s">
        <v>352</v>
      </c>
      <c r="G519" s="35" t="s">
        <v>649</v>
      </c>
      <c r="H519" s="37" t="s">
        <v>746</v>
      </c>
      <c r="I519" s="38">
        <v>39200</v>
      </c>
      <c r="J519" s="38"/>
      <c r="K519" s="17"/>
      <c r="L519" s="38">
        <v>30937</v>
      </c>
      <c r="M519" s="35">
        <f ca="1">IF('Row data'!$J519="",DATEDIF('Row data'!$L519,TODAY(),"y"),"0")</f>
        <v>42</v>
      </c>
      <c r="N519" s="35" t="s">
        <v>75</v>
      </c>
      <c r="O519" s="35" t="s">
        <v>553</v>
      </c>
      <c r="P519" s="39" t="s">
        <v>554</v>
      </c>
      <c r="Q519" s="39">
        <v>16661</v>
      </c>
      <c r="R519" s="39">
        <v>16661</v>
      </c>
      <c r="S519" s="39">
        <v>9474</v>
      </c>
      <c r="T519" s="39">
        <v>4737</v>
      </c>
      <c r="U519" s="39">
        <v>750</v>
      </c>
      <c r="V519" s="39">
        <v>450</v>
      </c>
      <c r="W519" s="39">
        <v>0</v>
      </c>
      <c r="X519" s="39">
        <v>0</v>
      </c>
      <c r="Y519" s="39">
        <v>1250</v>
      </c>
      <c r="Z519" s="39">
        <v>450</v>
      </c>
      <c r="AA519" s="39">
        <v>350</v>
      </c>
      <c r="AB519" s="39">
        <v>0</v>
      </c>
      <c r="AC519" s="39">
        <v>0</v>
      </c>
      <c r="AD519" s="39">
        <v>0</v>
      </c>
      <c r="AE519" s="39">
        <v>0</v>
      </c>
      <c r="AF519" s="39">
        <v>0</v>
      </c>
      <c r="AG519" s="39">
        <v>0</v>
      </c>
      <c r="AH519" s="39">
        <v>0</v>
      </c>
      <c r="AI519" s="39">
        <v>0</v>
      </c>
      <c r="AJ519" s="39">
        <f>'Row data'!$S519+'Row data'!$T519+'Row data'!$U519+'Row data'!$W519+'Row data'!$X519+'Row data'!$Y519+'Row data'!$Z519+'Row data'!$AA519+'Row data'!$AB519+'Row data'!$AD519-'Row data'!$AC519-'Row data'!$AE519-'Row data'!$AF519-'Row data'!$AG519-'Row data'!$AH519-'Row data'!$AI519</f>
        <v>17011</v>
      </c>
      <c r="AK519" s="39">
        <v>17011</v>
      </c>
      <c r="AL519" s="39">
        <v>0</v>
      </c>
    </row>
    <row r="520" spans="1:38" x14ac:dyDescent="0.3">
      <c r="A520" s="40">
        <v>519</v>
      </c>
      <c r="B520" s="35" t="s">
        <v>237</v>
      </c>
      <c r="C520" s="35">
        <v>7309528</v>
      </c>
      <c r="D520" s="36" t="s">
        <v>888</v>
      </c>
      <c r="E520" s="35" t="s">
        <v>38</v>
      </c>
      <c r="F520" s="35" t="s">
        <v>352</v>
      </c>
      <c r="G520" s="35" t="s">
        <v>164</v>
      </c>
      <c r="H520" s="37" t="s">
        <v>789</v>
      </c>
      <c r="I520" s="38">
        <v>37818</v>
      </c>
      <c r="J520" s="38"/>
      <c r="K520" s="17"/>
      <c r="L520" s="38">
        <v>29079</v>
      </c>
      <c r="M520" s="35">
        <f ca="1">IF('Row data'!$J520="",DATEDIF('Row data'!$L520,TODAY(),"y"),"0")</f>
        <v>47</v>
      </c>
      <c r="N520" s="35" t="s">
        <v>75</v>
      </c>
      <c r="O520" s="35" t="s">
        <v>553</v>
      </c>
      <c r="P520" s="39" t="s">
        <v>554</v>
      </c>
      <c r="Q520" s="39">
        <v>18388</v>
      </c>
      <c r="R520" s="39">
        <v>18388</v>
      </c>
      <c r="S520" s="39">
        <v>10625</v>
      </c>
      <c r="T520" s="39">
        <v>5313</v>
      </c>
      <c r="U520" s="39">
        <v>750</v>
      </c>
      <c r="V520" s="39">
        <v>450</v>
      </c>
      <c r="W520" s="39">
        <v>0</v>
      </c>
      <c r="X520" s="39">
        <v>0</v>
      </c>
      <c r="Y520" s="39">
        <v>1250</v>
      </c>
      <c r="Z520" s="39">
        <v>450</v>
      </c>
      <c r="AA520" s="39">
        <v>350</v>
      </c>
      <c r="AB520" s="39">
        <v>0</v>
      </c>
      <c r="AC520" s="39">
        <v>0</v>
      </c>
      <c r="AD520" s="39">
        <v>0</v>
      </c>
      <c r="AE520" s="39">
        <v>0</v>
      </c>
      <c r="AF520" s="39">
        <v>0</v>
      </c>
      <c r="AG520" s="39">
        <v>0</v>
      </c>
      <c r="AH520" s="39">
        <v>0</v>
      </c>
      <c r="AI520" s="39">
        <v>0</v>
      </c>
      <c r="AJ520" s="39">
        <f>'Row data'!$S520+'Row data'!$T520+'Row data'!$U520+'Row data'!$W520+'Row data'!$X520+'Row data'!$Y520+'Row data'!$Z520+'Row data'!$AA520+'Row data'!$AB520+'Row data'!$AD520-'Row data'!$AC520-'Row data'!$AE520-'Row data'!$AF520-'Row data'!$AG520-'Row data'!$AH520-'Row data'!$AI520</f>
        <v>18738</v>
      </c>
      <c r="AK520" s="39">
        <v>18738</v>
      </c>
      <c r="AL520" s="39">
        <v>0</v>
      </c>
    </row>
    <row r="521" spans="1:38" x14ac:dyDescent="0.3">
      <c r="A521" s="40">
        <v>520</v>
      </c>
      <c r="B521" s="35" t="s">
        <v>237</v>
      </c>
      <c r="C521" s="35">
        <v>9048200</v>
      </c>
      <c r="D521" s="36" t="s">
        <v>889</v>
      </c>
      <c r="E521" s="35" t="s">
        <v>38</v>
      </c>
      <c r="F521" s="35" t="s">
        <v>352</v>
      </c>
      <c r="G521" s="35" t="s">
        <v>164</v>
      </c>
      <c r="H521" s="37" t="s">
        <v>789</v>
      </c>
      <c r="I521" s="38">
        <v>37817</v>
      </c>
      <c r="J521" s="38"/>
      <c r="K521" s="17"/>
      <c r="L521" s="38">
        <v>29222</v>
      </c>
      <c r="M521" s="35">
        <f ca="1">IF('Row data'!$J521="",DATEDIF('Row data'!$L521,TODAY(),"y"),"0")</f>
        <v>46</v>
      </c>
      <c r="N521" s="35" t="s">
        <v>75</v>
      </c>
      <c r="O521" s="35" t="s">
        <v>553</v>
      </c>
      <c r="P521" s="39" t="s">
        <v>554</v>
      </c>
      <c r="Q521" s="39">
        <v>18388</v>
      </c>
      <c r="R521" s="39">
        <v>18388</v>
      </c>
      <c r="S521" s="39">
        <v>10625</v>
      </c>
      <c r="T521" s="39">
        <v>5313</v>
      </c>
      <c r="U521" s="39">
        <v>750</v>
      </c>
      <c r="V521" s="39">
        <v>450</v>
      </c>
      <c r="W521" s="39">
        <v>0</v>
      </c>
      <c r="X521" s="39">
        <v>0</v>
      </c>
      <c r="Y521" s="39">
        <v>1250</v>
      </c>
      <c r="Z521" s="39">
        <v>450</v>
      </c>
      <c r="AA521" s="39">
        <v>0</v>
      </c>
      <c r="AB521" s="39">
        <v>0</v>
      </c>
      <c r="AC521" s="39">
        <v>0</v>
      </c>
      <c r="AD521" s="39">
        <v>0</v>
      </c>
      <c r="AE521" s="39">
        <v>0</v>
      </c>
      <c r="AF521" s="39">
        <v>0</v>
      </c>
      <c r="AG521" s="39">
        <v>0</v>
      </c>
      <c r="AH521" s="39">
        <v>0</v>
      </c>
      <c r="AI521" s="39">
        <v>0</v>
      </c>
      <c r="AJ521" s="39">
        <f>'Row data'!$S521+'Row data'!$T521+'Row data'!$U521+'Row data'!$W521+'Row data'!$X521+'Row data'!$Y521+'Row data'!$Z521+'Row data'!$AA521+'Row data'!$AB521+'Row data'!$AD521-'Row data'!$AC521-'Row data'!$AE521-'Row data'!$AF521-'Row data'!$AG521-'Row data'!$AH521-'Row data'!$AI521</f>
        <v>18388</v>
      </c>
      <c r="AK521" s="39">
        <v>18388</v>
      </c>
      <c r="AL521" s="39">
        <v>0</v>
      </c>
    </row>
    <row r="522" spans="1:38" x14ac:dyDescent="0.3">
      <c r="A522" s="40">
        <v>521</v>
      </c>
      <c r="B522" s="35" t="s">
        <v>237</v>
      </c>
      <c r="C522" s="35">
        <v>7047074</v>
      </c>
      <c r="D522" s="36" t="s">
        <v>890</v>
      </c>
      <c r="E522" s="35" t="s">
        <v>38</v>
      </c>
      <c r="F522" s="35" t="s">
        <v>352</v>
      </c>
      <c r="G522" s="35" t="s">
        <v>164</v>
      </c>
      <c r="H522" s="37" t="s">
        <v>748</v>
      </c>
      <c r="I522" s="38">
        <v>40714</v>
      </c>
      <c r="J522" s="38"/>
      <c r="K522" s="17"/>
      <c r="L522" s="38">
        <v>26579</v>
      </c>
      <c r="M522" s="35">
        <f ca="1">IF('Row data'!$J522="",DATEDIF('Row data'!$L522,TODAY(),"y"),"0")</f>
        <v>53</v>
      </c>
      <c r="N522" s="35" t="s">
        <v>75</v>
      </c>
      <c r="O522" s="35" t="s">
        <v>553</v>
      </c>
      <c r="P522" s="39" t="s">
        <v>554</v>
      </c>
      <c r="Q522" s="39">
        <v>15337</v>
      </c>
      <c r="R522" s="39">
        <v>15337</v>
      </c>
      <c r="S522" s="39">
        <v>8591</v>
      </c>
      <c r="T522" s="39">
        <v>4296</v>
      </c>
      <c r="U522" s="39">
        <v>750</v>
      </c>
      <c r="V522" s="39">
        <v>450</v>
      </c>
      <c r="W522" s="39">
        <v>0</v>
      </c>
      <c r="X522" s="39">
        <v>0</v>
      </c>
      <c r="Y522" s="39">
        <v>1250</v>
      </c>
      <c r="Z522" s="39">
        <v>450</v>
      </c>
      <c r="AA522" s="39">
        <v>250</v>
      </c>
      <c r="AB522" s="39">
        <v>0</v>
      </c>
      <c r="AC522" s="39">
        <v>0</v>
      </c>
      <c r="AD522" s="39">
        <v>0</v>
      </c>
      <c r="AE522" s="39">
        <v>0</v>
      </c>
      <c r="AF522" s="39">
        <v>0</v>
      </c>
      <c r="AG522" s="39">
        <v>0</v>
      </c>
      <c r="AH522" s="39">
        <v>0</v>
      </c>
      <c r="AI522" s="39">
        <v>0</v>
      </c>
      <c r="AJ522" s="39">
        <f>'Row data'!$S522+'Row data'!$T522+'Row data'!$U522+'Row data'!$W522+'Row data'!$X522+'Row data'!$Y522+'Row data'!$Z522+'Row data'!$AA522+'Row data'!$AB522+'Row data'!$AD522-'Row data'!$AC522-'Row data'!$AE522-'Row data'!$AF522-'Row data'!$AG522-'Row data'!$AH522-'Row data'!$AI522</f>
        <v>15587</v>
      </c>
      <c r="AK522" s="39">
        <v>15587</v>
      </c>
      <c r="AL522" s="39">
        <v>0</v>
      </c>
    </row>
    <row r="523" spans="1:38" x14ac:dyDescent="0.3">
      <c r="A523" s="40">
        <v>522</v>
      </c>
      <c r="B523" s="35" t="s">
        <v>237</v>
      </c>
      <c r="C523" s="35">
        <v>6842956</v>
      </c>
      <c r="D523" s="36" t="s">
        <v>891</v>
      </c>
      <c r="E523" s="35" t="s">
        <v>38</v>
      </c>
      <c r="F523" s="35" t="s">
        <v>352</v>
      </c>
      <c r="G523" s="35" t="s">
        <v>170</v>
      </c>
      <c r="H523" s="37" t="s">
        <v>774</v>
      </c>
      <c r="I523" s="38">
        <v>42248</v>
      </c>
      <c r="J523" s="38"/>
      <c r="K523" s="17"/>
      <c r="L523" s="38">
        <v>26502</v>
      </c>
      <c r="M523" s="35">
        <f ca="1">IF('Row data'!$J523="",DATEDIF('Row data'!$L523,TODAY(),"y"),"0")</f>
        <v>54</v>
      </c>
      <c r="N523" s="35" t="s">
        <v>75</v>
      </c>
      <c r="O523" s="35" t="s">
        <v>553</v>
      </c>
      <c r="P523" s="39" t="s">
        <v>554</v>
      </c>
      <c r="Q523" s="39">
        <v>13622</v>
      </c>
      <c r="R523" s="39">
        <v>13622</v>
      </c>
      <c r="S523" s="39">
        <v>7448</v>
      </c>
      <c r="T523" s="39">
        <v>3724</v>
      </c>
      <c r="U523" s="39">
        <v>750</v>
      </c>
      <c r="V523" s="39">
        <v>450</v>
      </c>
      <c r="W523" s="39">
        <v>0</v>
      </c>
      <c r="X523" s="39">
        <v>0</v>
      </c>
      <c r="Y523" s="39">
        <v>1250</v>
      </c>
      <c r="Z523" s="39">
        <v>450</v>
      </c>
      <c r="AA523" s="39">
        <v>0</v>
      </c>
      <c r="AB523" s="39">
        <v>0</v>
      </c>
      <c r="AC523" s="39">
        <v>0</v>
      </c>
      <c r="AD523" s="39">
        <v>0</v>
      </c>
      <c r="AE523" s="39">
        <v>0</v>
      </c>
      <c r="AF523" s="39">
        <v>0</v>
      </c>
      <c r="AG523" s="39">
        <v>0</v>
      </c>
      <c r="AH523" s="39">
        <v>0</v>
      </c>
      <c r="AI523" s="39">
        <v>0</v>
      </c>
      <c r="AJ523" s="39">
        <f>'Row data'!$S523+'Row data'!$T523+'Row data'!$U523+'Row data'!$W523+'Row data'!$X523+'Row data'!$Y523+'Row data'!$Z523+'Row data'!$AA523+'Row data'!$AB523+'Row data'!$AD523-'Row data'!$AC523-'Row data'!$AE523-'Row data'!$AF523-'Row data'!$AG523-'Row data'!$AH523-'Row data'!$AI523</f>
        <v>13622</v>
      </c>
      <c r="AK523" s="39">
        <v>13622</v>
      </c>
      <c r="AL523" s="39">
        <v>0</v>
      </c>
    </row>
    <row r="524" spans="1:38" x14ac:dyDescent="0.3">
      <c r="A524" s="40">
        <v>523</v>
      </c>
      <c r="B524" s="35" t="s">
        <v>237</v>
      </c>
      <c r="C524" s="35">
        <v>5610236</v>
      </c>
      <c r="D524" s="36" t="s">
        <v>892</v>
      </c>
      <c r="E524" s="35" t="s">
        <v>38</v>
      </c>
      <c r="F524" s="35" t="s">
        <v>352</v>
      </c>
      <c r="G524" s="35" t="s">
        <v>164</v>
      </c>
      <c r="H524" s="37" t="s">
        <v>758</v>
      </c>
      <c r="I524" s="38">
        <v>39387</v>
      </c>
      <c r="J524" s="38"/>
      <c r="K524" s="17"/>
      <c r="L524" s="38">
        <v>34472</v>
      </c>
      <c r="M524" s="35">
        <f ca="1">IF('Row data'!$J524="",DATEDIF('Row data'!$L524,TODAY(),"y"),"0")</f>
        <v>32</v>
      </c>
      <c r="N524" s="35" t="s">
        <v>75</v>
      </c>
      <c r="O524" s="35" t="s">
        <v>553</v>
      </c>
      <c r="P524" s="39" t="s">
        <v>554</v>
      </c>
      <c r="Q524" s="39">
        <v>16642</v>
      </c>
      <c r="R524" s="39">
        <v>16642</v>
      </c>
      <c r="S524" s="39">
        <v>9461</v>
      </c>
      <c r="T524" s="39">
        <v>4731</v>
      </c>
      <c r="U524" s="39">
        <v>750</v>
      </c>
      <c r="V524" s="39">
        <v>450</v>
      </c>
      <c r="W524" s="39">
        <v>0</v>
      </c>
      <c r="X524" s="39">
        <v>0</v>
      </c>
      <c r="Y524" s="39">
        <v>1250</v>
      </c>
      <c r="Z524" s="39">
        <v>450</v>
      </c>
      <c r="AA524" s="39">
        <v>350</v>
      </c>
      <c r="AB524" s="39">
        <v>0</v>
      </c>
      <c r="AC524" s="39">
        <v>0</v>
      </c>
      <c r="AD524" s="39">
        <v>0</v>
      </c>
      <c r="AE524" s="39">
        <v>0</v>
      </c>
      <c r="AF524" s="39">
        <v>0</v>
      </c>
      <c r="AG524" s="39">
        <v>0</v>
      </c>
      <c r="AH524" s="39">
        <v>0</v>
      </c>
      <c r="AI524" s="39">
        <v>0</v>
      </c>
      <c r="AJ524" s="39">
        <f>'Row data'!$S524+'Row data'!$T524+'Row data'!$U524+'Row data'!$W524+'Row data'!$X524+'Row data'!$Y524+'Row data'!$Z524+'Row data'!$AA524+'Row data'!$AB524+'Row data'!$AD524-'Row data'!$AC524-'Row data'!$AE524-'Row data'!$AF524-'Row data'!$AG524-'Row data'!$AH524-'Row data'!$AI524</f>
        <v>16992</v>
      </c>
      <c r="AK524" s="39">
        <v>16992</v>
      </c>
      <c r="AL524" s="39">
        <v>0</v>
      </c>
    </row>
    <row r="525" spans="1:38" x14ac:dyDescent="0.3">
      <c r="A525" s="40">
        <v>524</v>
      </c>
      <c r="B525" s="35" t="s">
        <v>237</v>
      </c>
      <c r="C525" s="35">
        <v>6186293</v>
      </c>
      <c r="D525" s="36" t="s">
        <v>893</v>
      </c>
      <c r="E525" s="35" t="s">
        <v>38</v>
      </c>
      <c r="F525" s="35" t="s">
        <v>352</v>
      </c>
      <c r="G525" s="35" t="s">
        <v>164</v>
      </c>
      <c r="H525" s="37" t="s">
        <v>748</v>
      </c>
      <c r="I525" s="38">
        <v>42989</v>
      </c>
      <c r="J525" s="38"/>
      <c r="K525" s="17"/>
      <c r="L525" s="38">
        <v>31079</v>
      </c>
      <c r="M525" s="35">
        <f ca="1">IF('Row data'!$J525="",DATEDIF('Row data'!$L525,TODAY(),"y"),"0")</f>
        <v>41</v>
      </c>
      <c r="N525" s="35" t="s">
        <v>75</v>
      </c>
      <c r="O525" s="35" t="s">
        <v>553</v>
      </c>
      <c r="P525" s="39" t="s">
        <v>554</v>
      </c>
      <c r="Q525" s="39">
        <v>15337</v>
      </c>
      <c r="R525" s="39">
        <v>15337</v>
      </c>
      <c r="S525" s="39">
        <v>8591</v>
      </c>
      <c r="T525" s="39">
        <v>4296</v>
      </c>
      <c r="U525" s="39">
        <v>750</v>
      </c>
      <c r="V525" s="39">
        <v>450</v>
      </c>
      <c r="W525" s="39">
        <v>0</v>
      </c>
      <c r="X525" s="39">
        <v>0</v>
      </c>
      <c r="Y525" s="39">
        <v>1250</v>
      </c>
      <c r="Z525" s="39">
        <v>450</v>
      </c>
      <c r="AA525" s="39">
        <v>0</v>
      </c>
      <c r="AB525" s="39">
        <v>0</v>
      </c>
      <c r="AC525" s="39">
        <v>0</v>
      </c>
      <c r="AD525" s="39">
        <v>0</v>
      </c>
      <c r="AE525" s="39">
        <v>0</v>
      </c>
      <c r="AF525" s="39">
        <v>0</v>
      </c>
      <c r="AG525" s="39">
        <v>0</v>
      </c>
      <c r="AH525" s="39">
        <v>0</v>
      </c>
      <c r="AI525" s="39">
        <v>0</v>
      </c>
      <c r="AJ525" s="39">
        <f>'Row data'!$S525+'Row data'!$T525+'Row data'!$U525+'Row data'!$W525+'Row data'!$X525+'Row data'!$Y525+'Row data'!$Z525+'Row data'!$AA525+'Row data'!$AB525+'Row data'!$AD525-'Row data'!$AC525-'Row data'!$AE525-'Row data'!$AF525-'Row data'!$AG525-'Row data'!$AH525-'Row data'!$AI525</f>
        <v>15337</v>
      </c>
      <c r="AK525" s="39">
        <v>15337</v>
      </c>
      <c r="AL525" s="39">
        <v>0</v>
      </c>
    </row>
    <row r="526" spans="1:38" x14ac:dyDescent="0.3">
      <c r="A526" s="40">
        <v>525</v>
      </c>
      <c r="B526" s="35" t="s">
        <v>237</v>
      </c>
      <c r="C526" s="35">
        <v>9634565</v>
      </c>
      <c r="D526" s="36" t="s">
        <v>894</v>
      </c>
      <c r="E526" s="35" t="s">
        <v>38</v>
      </c>
      <c r="F526" s="35" t="s">
        <v>352</v>
      </c>
      <c r="G526" s="35" t="s">
        <v>164</v>
      </c>
      <c r="H526" s="37" t="s">
        <v>793</v>
      </c>
      <c r="I526" s="38">
        <v>40242</v>
      </c>
      <c r="J526" s="38"/>
      <c r="K526" s="17"/>
      <c r="L526" s="38">
        <v>32509</v>
      </c>
      <c r="M526" s="35">
        <f ca="1">IF('Row data'!$J526="",DATEDIF('Row data'!$L526,TODAY(),"y"),"0")</f>
        <v>37</v>
      </c>
      <c r="N526" s="35" t="s">
        <v>75</v>
      </c>
      <c r="O526" s="35" t="s">
        <v>553</v>
      </c>
      <c r="P526" s="39" t="s">
        <v>554</v>
      </c>
      <c r="Q526" s="39">
        <v>15337</v>
      </c>
      <c r="R526" s="39">
        <v>15337</v>
      </c>
      <c r="S526" s="39">
        <v>8591</v>
      </c>
      <c r="T526" s="39">
        <v>4296</v>
      </c>
      <c r="U526" s="39">
        <v>750</v>
      </c>
      <c r="V526" s="39">
        <v>450</v>
      </c>
      <c r="W526" s="39">
        <v>0</v>
      </c>
      <c r="X526" s="39">
        <v>0</v>
      </c>
      <c r="Y526" s="39">
        <v>1250</v>
      </c>
      <c r="Z526" s="39">
        <v>450</v>
      </c>
      <c r="AA526" s="39">
        <v>350</v>
      </c>
      <c r="AB526" s="39">
        <v>0</v>
      </c>
      <c r="AC526" s="39">
        <v>0</v>
      </c>
      <c r="AD526" s="39">
        <v>0</v>
      </c>
      <c r="AE526" s="39">
        <v>0</v>
      </c>
      <c r="AF526" s="39">
        <v>0</v>
      </c>
      <c r="AG526" s="39">
        <v>0</v>
      </c>
      <c r="AH526" s="39">
        <v>0</v>
      </c>
      <c r="AI526" s="39">
        <v>0</v>
      </c>
      <c r="AJ526" s="39">
        <f>'Row data'!$S526+'Row data'!$T526+'Row data'!$U526+'Row data'!$W526+'Row data'!$X526+'Row data'!$Y526+'Row data'!$Z526+'Row data'!$AA526+'Row data'!$AB526+'Row data'!$AD526-'Row data'!$AC526-'Row data'!$AE526-'Row data'!$AF526-'Row data'!$AG526-'Row data'!$AH526-'Row data'!$AI526</f>
        <v>15687</v>
      </c>
      <c r="AK526" s="39">
        <v>15687</v>
      </c>
      <c r="AL526" s="39">
        <v>0</v>
      </c>
    </row>
    <row r="527" spans="1:38" x14ac:dyDescent="0.3">
      <c r="A527" s="40">
        <v>526</v>
      </c>
      <c r="B527" s="35" t="s">
        <v>237</v>
      </c>
      <c r="C527" s="35">
        <v>9894284</v>
      </c>
      <c r="D527" s="36" t="s">
        <v>895</v>
      </c>
      <c r="E527" s="35" t="s">
        <v>38</v>
      </c>
      <c r="F527" s="35" t="s">
        <v>352</v>
      </c>
      <c r="G527" s="35" t="s">
        <v>164</v>
      </c>
      <c r="H527" s="37" t="s">
        <v>793</v>
      </c>
      <c r="I527" s="38">
        <v>40347</v>
      </c>
      <c r="J527" s="38">
        <v>43481</v>
      </c>
      <c r="K527" s="17">
        <f>YEAR('Row data'!$J527)</f>
        <v>2019</v>
      </c>
      <c r="L527" s="38">
        <v>32158</v>
      </c>
      <c r="M527" s="35" t="str">
        <f ca="1">IF('Row data'!$J527="",DATEDIF('Row data'!$L527,TODAY(),"y"),"0")</f>
        <v>0</v>
      </c>
      <c r="N527" s="35" t="s">
        <v>75</v>
      </c>
      <c r="O527" s="35" t="s">
        <v>553</v>
      </c>
      <c r="P527" s="39" t="s">
        <v>554</v>
      </c>
      <c r="Q527" s="39">
        <v>15337</v>
      </c>
      <c r="R527" s="39">
        <v>15337</v>
      </c>
      <c r="S527" s="39">
        <v>8591</v>
      </c>
      <c r="T527" s="39">
        <v>4296</v>
      </c>
      <c r="U527" s="39">
        <v>750</v>
      </c>
      <c r="V527" s="39">
        <v>450</v>
      </c>
      <c r="W527" s="39">
        <v>0</v>
      </c>
      <c r="X527" s="39">
        <v>0</v>
      </c>
      <c r="Y527" s="39">
        <v>1250</v>
      </c>
      <c r="Z527" s="39">
        <v>450</v>
      </c>
      <c r="AA527" s="39">
        <v>350</v>
      </c>
      <c r="AB527" s="39">
        <v>0</v>
      </c>
      <c r="AC527" s="39">
        <v>0</v>
      </c>
      <c r="AD527" s="39">
        <v>0</v>
      </c>
      <c r="AE527" s="39">
        <v>0</v>
      </c>
      <c r="AF527" s="39">
        <v>0</v>
      </c>
      <c r="AG527" s="39">
        <v>0</v>
      </c>
      <c r="AH527" s="39">
        <v>0</v>
      </c>
      <c r="AI527" s="39">
        <v>0</v>
      </c>
      <c r="AJ527" s="39">
        <f>'Row data'!$S527+'Row data'!$T527+'Row data'!$U527+'Row data'!$W527+'Row data'!$X527+'Row data'!$Y527+'Row data'!$Z527+'Row data'!$AA527+'Row data'!$AB527+'Row data'!$AD527-'Row data'!$AC527-'Row data'!$AE527-'Row data'!$AF527-'Row data'!$AG527-'Row data'!$AH527-'Row data'!$AI527</f>
        <v>15687</v>
      </c>
      <c r="AK527" s="39">
        <v>15687</v>
      </c>
      <c r="AL527" s="39">
        <v>0</v>
      </c>
    </row>
    <row r="528" spans="1:38" x14ac:dyDescent="0.3">
      <c r="A528" s="40">
        <v>527</v>
      </c>
      <c r="B528" s="35" t="s">
        <v>237</v>
      </c>
      <c r="C528" s="35">
        <v>7566362</v>
      </c>
      <c r="D528" s="36" t="s">
        <v>896</v>
      </c>
      <c r="E528" s="35" t="s">
        <v>38</v>
      </c>
      <c r="F528" s="35" t="s">
        <v>352</v>
      </c>
      <c r="G528" s="35" t="s">
        <v>170</v>
      </c>
      <c r="H528" s="37" t="s">
        <v>782</v>
      </c>
      <c r="I528" s="38">
        <v>41249</v>
      </c>
      <c r="J528" s="38">
        <v>43475</v>
      </c>
      <c r="K528" s="17">
        <f>YEAR('Row data'!$J528)</f>
        <v>2019</v>
      </c>
      <c r="L528" s="38">
        <v>33613</v>
      </c>
      <c r="M528" s="35" t="str">
        <f ca="1">IF('Row data'!$J528="",DATEDIF('Row data'!$L528,TODAY(),"y"),"0")</f>
        <v>0</v>
      </c>
      <c r="N528" s="35" t="s">
        <v>75</v>
      </c>
      <c r="O528" s="35" t="s">
        <v>553</v>
      </c>
      <c r="P528" s="39" t="s">
        <v>554</v>
      </c>
      <c r="Q528" s="39">
        <v>14663</v>
      </c>
      <c r="R528" s="39">
        <v>14663</v>
      </c>
      <c r="S528" s="39">
        <v>8142</v>
      </c>
      <c r="T528" s="39">
        <v>4071</v>
      </c>
      <c r="U528" s="39">
        <v>750</v>
      </c>
      <c r="V528" s="39">
        <v>450</v>
      </c>
      <c r="W528" s="39">
        <v>0</v>
      </c>
      <c r="X528" s="39">
        <v>0</v>
      </c>
      <c r="Y528" s="39">
        <v>1250</v>
      </c>
      <c r="Z528" s="39">
        <v>450</v>
      </c>
      <c r="AA528" s="39">
        <v>350</v>
      </c>
      <c r="AB528" s="39">
        <v>0</v>
      </c>
      <c r="AC528" s="39">
        <v>0</v>
      </c>
      <c r="AD528" s="39">
        <v>0</v>
      </c>
      <c r="AE528" s="39">
        <v>0</v>
      </c>
      <c r="AF528" s="39">
        <v>0</v>
      </c>
      <c r="AG528" s="39">
        <v>0</v>
      </c>
      <c r="AH528" s="39">
        <v>0</v>
      </c>
      <c r="AI528" s="39">
        <v>0</v>
      </c>
      <c r="AJ528" s="39">
        <f>'Row data'!$S528+'Row data'!$T528+'Row data'!$U528+'Row data'!$W528+'Row data'!$X528+'Row data'!$Y528+'Row data'!$Z528+'Row data'!$AA528+'Row data'!$AB528+'Row data'!$AD528-'Row data'!$AC528-'Row data'!$AE528-'Row data'!$AF528-'Row data'!$AG528-'Row data'!$AH528-'Row data'!$AI528</f>
        <v>15013</v>
      </c>
      <c r="AK528" s="39">
        <v>15013</v>
      </c>
      <c r="AL528" s="39">
        <v>0</v>
      </c>
    </row>
    <row r="529" spans="1:38" x14ac:dyDescent="0.3">
      <c r="A529" s="40">
        <v>528</v>
      </c>
      <c r="B529" s="35" t="s">
        <v>237</v>
      </c>
      <c r="C529" s="35">
        <v>7790075</v>
      </c>
      <c r="D529" s="36" t="s">
        <v>897</v>
      </c>
      <c r="E529" s="35" t="s">
        <v>38</v>
      </c>
      <c r="F529" s="35" t="s">
        <v>352</v>
      </c>
      <c r="G529" s="35" t="s">
        <v>164</v>
      </c>
      <c r="H529" s="37" t="s">
        <v>752</v>
      </c>
      <c r="I529" s="38">
        <v>37869</v>
      </c>
      <c r="J529" s="38"/>
      <c r="K529" s="17"/>
      <c r="L529" s="38">
        <v>30317</v>
      </c>
      <c r="M529" s="35">
        <f ca="1">IF('Row data'!$J529="",DATEDIF('Row data'!$L529,TODAY(),"y"),"0")</f>
        <v>43</v>
      </c>
      <c r="N529" s="35" t="s">
        <v>75</v>
      </c>
      <c r="O529" s="35" t="s">
        <v>553</v>
      </c>
      <c r="P529" s="39" t="s">
        <v>554</v>
      </c>
      <c r="Q529" s="39">
        <v>17824</v>
      </c>
      <c r="R529" s="39">
        <v>17824</v>
      </c>
      <c r="S529" s="39">
        <v>10249</v>
      </c>
      <c r="T529" s="39">
        <v>5125</v>
      </c>
      <c r="U529" s="39">
        <v>750</v>
      </c>
      <c r="V529" s="39">
        <v>450</v>
      </c>
      <c r="W529" s="39">
        <v>0</v>
      </c>
      <c r="X529" s="39">
        <v>0</v>
      </c>
      <c r="Y529" s="39">
        <v>1250</v>
      </c>
      <c r="Z529" s="39">
        <v>450</v>
      </c>
      <c r="AA529" s="39">
        <v>350</v>
      </c>
      <c r="AB529" s="39">
        <v>0</v>
      </c>
      <c r="AC529" s="39">
        <v>0</v>
      </c>
      <c r="AD529" s="39">
        <v>0</v>
      </c>
      <c r="AE529" s="39">
        <v>0</v>
      </c>
      <c r="AF529" s="39">
        <v>0</v>
      </c>
      <c r="AG529" s="39">
        <v>0</v>
      </c>
      <c r="AH529" s="39">
        <v>0</v>
      </c>
      <c r="AI529" s="39">
        <v>0</v>
      </c>
      <c r="AJ529" s="39">
        <f>'Row data'!$S529+'Row data'!$T529+'Row data'!$U529+'Row data'!$W529+'Row data'!$X529+'Row data'!$Y529+'Row data'!$Z529+'Row data'!$AA529+'Row data'!$AB529+'Row data'!$AD529-'Row data'!$AC529-'Row data'!$AE529-'Row data'!$AF529-'Row data'!$AG529-'Row data'!$AH529-'Row data'!$AI529</f>
        <v>18174</v>
      </c>
      <c r="AK529" s="39">
        <v>18174</v>
      </c>
      <c r="AL529" s="39">
        <v>0</v>
      </c>
    </row>
    <row r="530" spans="1:38" x14ac:dyDescent="0.3">
      <c r="A530" s="40">
        <v>529</v>
      </c>
      <c r="B530" s="35" t="s">
        <v>375</v>
      </c>
      <c r="C530" s="35">
        <v>8078286</v>
      </c>
      <c r="D530" s="36" t="s">
        <v>898</v>
      </c>
      <c r="E530" s="35" t="s">
        <v>71</v>
      </c>
      <c r="F530" s="35" t="s">
        <v>587</v>
      </c>
      <c r="G530" s="35" t="s">
        <v>745</v>
      </c>
      <c r="H530" s="37"/>
      <c r="I530" s="38">
        <v>45214</v>
      </c>
      <c r="J530" s="38">
        <v>44562</v>
      </c>
      <c r="K530" s="17">
        <f>YEAR('Row data'!$J530)</f>
        <v>2022</v>
      </c>
      <c r="L530" s="38">
        <v>38189</v>
      </c>
      <c r="M530" s="35" t="str">
        <f ca="1">IF('Row data'!$J530="",DATEDIF('Row data'!$L530,TODAY(),"y"),"0")</f>
        <v>0</v>
      </c>
      <c r="N530" s="35" t="s">
        <v>42</v>
      </c>
      <c r="O530" s="35" t="s">
        <v>553</v>
      </c>
      <c r="P530" s="39" t="s">
        <v>554</v>
      </c>
      <c r="Q530" s="39">
        <v>14059</v>
      </c>
      <c r="R530" s="39">
        <v>13506</v>
      </c>
      <c r="S530" s="39">
        <v>7739</v>
      </c>
      <c r="T530" s="39">
        <v>3870</v>
      </c>
      <c r="U530" s="39">
        <v>750</v>
      </c>
      <c r="V530" s="39">
        <v>450</v>
      </c>
      <c r="W530" s="39">
        <v>0</v>
      </c>
      <c r="X530" s="39">
        <v>0</v>
      </c>
      <c r="Y530" s="39">
        <v>1250</v>
      </c>
      <c r="Z530" s="39">
        <v>450</v>
      </c>
      <c r="AA530" s="39">
        <v>0</v>
      </c>
      <c r="AB530" s="39">
        <v>0</v>
      </c>
      <c r="AC530" s="39">
        <v>0</v>
      </c>
      <c r="AD530" s="39">
        <v>0</v>
      </c>
      <c r="AE530" s="39">
        <v>553</v>
      </c>
      <c r="AF530" s="39">
        <v>0</v>
      </c>
      <c r="AG530" s="39">
        <v>0</v>
      </c>
      <c r="AH530" s="39">
        <v>0</v>
      </c>
      <c r="AI530" s="39">
        <v>0</v>
      </c>
      <c r="AJ530" s="39">
        <f>'Row data'!$S530+'Row data'!$T530+'Row data'!$U530+'Row data'!$W530+'Row data'!$X530+'Row data'!$Y530+'Row data'!$Z530+'Row data'!$AA530+'Row data'!$AB530+'Row data'!$AD530-'Row data'!$AC530-'Row data'!$AE530-'Row data'!$AF530-'Row data'!$AG530-'Row data'!$AH530-'Row data'!$AI530</f>
        <v>13506</v>
      </c>
      <c r="AK530" s="39">
        <v>13506</v>
      </c>
      <c r="AL530" s="39">
        <v>0</v>
      </c>
    </row>
    <row r="531" spans="1:38" x14ac:dyDescent="0.3">
      <c r="A531" s="40">
        <v>530</v>
      </c>
      <c r="B531" s="35" t="s">
        <v>375</v>
      </c>
      <c r="C531" s="35">
        <v>9114080</v>
      </c>
      <c r="D531" s="36" t="s">
        <v>899</v>
      </c>
      <c r="E531" s="35" t="s">
        <v>71</v>
      </c>
      <c r="F531" s="35" t="s">
        <v>587</v>
      </c>
      <c r="G531" s="35" t="s">
        <v>588</v>
      </c>
      <c r="H531" s="37"/>
      <c r="I531" s="38">
        <v>41457</v>
      </c>
      <c r="J531" s="38">
        <v>44562</v>
      </c>
      <c r="K531" s="17">
        <f>YEAR('Row data'!$J531)</f>
        <v>2022</v>
      </c>
      <c r="L531" s="38">
        <v>27744</v>
      </c>
      <c r="M531" s="35" t="str">
        <f ca="1">IF('Row data'!$J531="",DATEDIF('Row data'!$L531,TODAY(),"y"),"0")</f>
        <v>0</v>
      </c>
      <c r="N531" s="35" t="s">
        <v>75</v>
      </c>
      <c r="O531" s="35" t="s">
        <v>553</v>
      </c>
      <c r="P531" s="39" t="s">
        <v>554</v>
      </c>
      <c r="Q531" s="39">
        <v>13732</v>
      </c>
      <c r="R531" s="39">
        <v>13732</v>
      </c>
      <c r="S531" s="39">
        <v>7521</v>
      </c>
      <c r="T531" s="39">
        <v>3761</v>
      </c>
      <c r="U531" s="39">
        <v>750</v>
      </c>
      <c r="V531" s="39">
        <v>450</v>
      </c>
      <c r="W531" s="39">
        <v>0</v>
      </c>
      <c r="X531" s="39">
        <v>0</v>
      </c>
      <c r="Y531" s="39">
        <v>1250</v>
      </c>
      <c r="Z531" s="39">
        <v>450</v>
      </c>
      <c r="AA531" s="39">
        <v>350</v>
      </c>
      <c r="AB531" s="39">
        <v>0</v>
      </c>
      <c r="AC531" s="39">
        <v>0</v>
      </c>
      <c r="AD531" s="39">
        <v>0</v>
      </c>
      <c r="AE531" s="39">
        <v>0</v>
      </c>
      <c r="AF531" s="39">
        <v>0</v>
      </c>
      <c r="AG531" s="39">
        <v>0</v>
      </c>
      <c r="AH531" s="39">
        <v>0</v>
      </c>
      <c r="AI531" s="39">
        <v>0</v>
      </c>
      <c r="AJ531" s="39">
        <f>'Row data'!$S531+'Row data'!$T531+'Row data'!$U531+'Row data'!$W531+'Row data'!$X531+'Row data'!$Y531+'Row data'!$Z531+'Row data'!$AA531+'Row data'!$AB531+'Row data'!$AD531-'Row data'!$AC531-'Row data'!$AE531-'Row data'!$AF531-'Row data'!$AG531-'Row data'!$AH531-'Row data'!$AI531</f>
        <v>14082</v>
      </c>
      <c r="AK531" s="39">
        <v>14082</v>
      </c>
      <c r="AL531" s="39">
        <v>0</v>
      </c>
    </row>
    <row r="532" spans="1:38" x14ac:dyDescent="0.3">
      <c r="A532" s="40">
        <v>531</v>
      </c>
      <c r="B532" s="35" t="s">
        <v>375</v>
      </c>
      <c r="C532" s="35">
        <v>5737934</v>
      </c>
      <c r="D532" s="36" t="s">
        <v>900</v>
      </c>
      <c r="E532" s="35" t="s">
        <v>71</v>
      </c>
      <c r="F532" s="35" t="s">
        <v>94</v>
      </c>
      <c r="G532" s="35" t="s">
        <v>901</v>
      </c>
      <c r="H532" s="37"/>
      <c r="I532" s="38">
        <v>44937</v>
      </c>
      <c r="J532" s="38">
        <v>44562</v>
      </c>
      <c r="K532" s="17">
        <f>YEAR('Row data'!$J532)</f>
        <v>2022</v>
      </c>
      <c r="L532" s="38">
        <v>26246</v>
      </c>
      <c r="M532" s="35" t="str">
        <f ca="1">IF('Row data'!$J532="",DATEDIF('Row data'!$L532,TODAY(),"y"),"0")</f>
        <v>0</v>
      </c>
      <c r="N532" s="35" t="s">
        <v>42</v>
      </c>
      <c r="O532" s="35" t="s">
        <v>553</v>
      </c>
      <c r="P532" s="39" t="s">
        <v>554</v>
      </c>
      <c r="Q532" s="39">
        <v>13405</v>
      </c>
      <c r="R532" s="39">
        <v>13405</v>
      </c>
      <c r="S532" s="39">
        <v>7303</v>
      </c>
      <c r="T532" s="39">
        <v>3652</v>
      </c>
      <c r="U532" s="39">
        <v>750</v>
      </c>
      <c r="V532" s="39">
        <v>450</v>
      </c>
      <c r="W532" s="39">
        <v>0</v>
      </c>
      <c r="X532" s="39">
        <v>0</v>
      </c>
      <c r="Y532" s="39">
        <v>1250</v>
      </c>
      <c r="Z532" s="39">
        <v>450</v>
      </c>
      <c r="AA532" s="39">
        <v>350</v>
      </c>
      <c r="AB532" s="39">
        <v>0</v>
      </c>
      <c r="AC532" s="39">
        <v>0</v>
      </c>
      <c r="AD532" s="39">
        <v>0</v>
      </c>
      <c r="AE532" s="39">
        <v>0</v>
      </c>
      <c r="AF532" s="39">
        <v>0</v>
      </c>
      <c r="AG532" s="39">
        <v>0</v>
      </c>
      <c r="AH532" s="39">
        <v>0</v>
      </c>
      <c r="AI532" s="39">
        <v>0</v>
      </c>
      <c r="AJ532" s="39">
        <f>'Row data'!$S532+'Row data'!$T532+'Row data'!$U532+'Row data'!$W532+'Row data'!$X532+'Row data'!$Y532+'Row data'!$Z532+'Row data'!$AA532+'Row data'!$AB532+'Row data'!$AD532-'Row data'!$AC532-'Row data'!$AE532-'Row data'!$AF532-'Row data'!$AG532-'Row data'!$AH532-'Row data'!$AI532</f>
        <v>13755</v>
      </c>
      <c r="AK532" s="39">
        <v>13755</v>
      </c>
      <c r="AL532" s="39">
        <v>0</v>
      </c>
    </row>
    <row r="533" spans="1:38" x14ac:dyDescent="0.3">
      <c r="A533" s="40">
        <v>532</v>
      </c>
      <c r="B533" s="35" t="s">
        <v>375</v>
      </c>
      <c r="C533" s="35">
        <v>6943865</v>
      </c>
      <c r="D533" s="36" t="s">
        <v>902</v>
      </c>
      <c r="E533" s="35" t="s">
        <v>71</v>
      </c>
      <c r="F533" s="35" t="s">
        <v>106</v>
      </c>
      <c r="G533" s="35" t="s">
        <v>903</v>
      </c>
      <c r="H533" s="37"/>
      <c r="I533" s="38">
        <v>44348</v>
      </c>
      <c r="J533" s="38">
        <v>44562</v>
      </c>
      <c r="K533" s="17">
        <f>YEAR('Row data'!$J533)</f>
        <v>2022</v>
      </c>
      <c r="L533" s="38">
        <v>30119</v>
      </c>
      <c r="M533" s="35" t="str">
        <f ca="1">IF('Row data'!$J533="",DATEDIF('Row data'!$L533,TODAY(),"y"),"0")</f>
        <v>0</v>
      </c>
      <c r="N533" s="35" t="s">
        <v>42</v>
      </c>
      <c r="O533" s="35" t="s">
        <v>553</v>
      </c>
      <c r="P533" s="39" t="s">
        <v>554</v>
      </c>
      <c r="Q533" s="39">
        <v>13405</v>
      </c>
      <c r="R533" s="39">
        <v>13405</v>
      </c>
      <c r="S533" s="39">
        <v>7303</v>
      </c>
      <c r="T533" s="39">
        <v>3652</v>
      </c>
      <c r="U533" s="39">
        <v>750</v>
      </c>
      <c r="V533" s="39">
        <v>450</v>
      </c>
      <c r="W533" s="39">
        <v>0</v>
      </c>
      <c r="X533" s="39">
        <v>0</v>
      </c>
      <c r="Y533" s="39">
        <v>1250</v>
      </c>
      <c r="Z533" s="39">
        <v>450</v>
      </c>
      <c r="AA533" s="39">
        <v>0</v>
      </c>
      <c r="AB533" s="39">
        <v>0</v>
      </c>
      <c r="AC533" s="39">
        <v>0</v>
      </c>
      <c r="AD533" s="39">
        <v>0</v>
      </c>
      <c r="AE533" s="39">
        <v>0</v>
      </c>
      <c r="AF533" s="39">
        <v>0</v>
      </c>
      <c r="AG533" s="39">
        <v>0</v>
      </c>
      <c r="AH533" s="39">
        <v>0</v>
      </c>
      <c r="AI533" s="39">
        <v>0</v>
      </c>
      <c r="AJ533" s="39">
        <f>'Row data'!$S533+'Row data'!$T533+'Row data'!$U533+'Row data'!$W533+'Row data'!$X533+'Row data'!$Y533+'Row data'!$Z533+'Row data'!$AA533+'Row data'!$AB533+'Row data'!$AD533-'Row data'!$AC533-'Row data'!$AE533-'Row data'!$AF533-'Row data'!$AG533-'Row data'!$AH533-'Row data'!$AI533</f>
        <v>13405</v>
      </c>
      <c r="AK533" s="39">
        <v>13405</v>
      </c>
      <c r="AL533" s="39">
        <v>0</v>
      </c>
    </row>
    <row r="534" spans="1:38" x14ac:dyDescent="0.3">
      <c r="A534" s="40">
        <v>533</v>
      </c>
      <c r="B534" s="35" t="s">
        <v>375</v>
      </c>
      <c r="C534" s="35">
        <v>9399493</v>
      </c>
      <c r="D534" s="36" t="s">
        <v>904</v>
      </c>
      <c r="E534" s="35" t="s">
        <v>71</v>
      </c>
      <c r="F534" s="35" t="s">
        <v>106</v>
      </c>
      <c r="G534" s="35" t="s">
        <v>450</v>
      </c>
      <c r="H534" s="37"/>
      <c r="I534" s="38">
        <v>45172</v>
      </c>
      <c r="J534" s="38"/>
      <c r="K534" s="17"/>
      <c r="L534" s="38">
        <v>37259</v>
      </c>
      <c r="M534" s="35">
        <f ca="1">IF('Row data'!$J534="",DATEDIF('Row data'!$L534,TODAY(),"y"),"0")</f>
        <v>24</v>
      </c>
      <c r="N534" s="35" t="s">
        <v>42</v>
      </c>
      <c r="O534" s="35" t="s">
        <v>43</v>
      </c>
      <c r="P534" s="39" t="s">
        <v>554</v>
      </c>
      <c r="Q534" s="39">
        <v>14276</v>
      </c>
      <c r="R534" s="39">
        <v>13994</v>
      </c>
      <c r="S534" s="39">
        <v>7884</v>
      </c>
      <c r="T534" s="39">
        <v>3942</v>
      </c>
      <c r="U534" s="39">
        <v>750</v>
      </c>
      <c r="V534" s="39">
        <v>450</v>
      </c>
      <c r="W534" s="39">
        <v>0</v>
      </c>
      <c r="X534" s="39">
        <v>0</v>
      </c>
      <c r="Y534" s="39">
        <v>1250</v>
      </c>
      <c r="Z534" s="39">
        <v>450</v>
      </c>
      <c r="AA534" s="39">
        <v>0</v>
      </c>
      <c r="AB534" s="39">
        <v>0</v>
      </c>
      <c r="AC534" s="39">
        <v>0</v>
      </c>
      <c r="AD534" s="39">
        <v>0</v>
      </c>
      <c r="AE534" s="39">
        <v>282</v>
      </c>
      <c r="AF534" s="39">
        <v>0</v>
      </c>
      <c r="AG534" s="39">
        <v>0</v>
      </c>
      <c r="AH534" s="39">
        <v>0</v>
      </c>
      <c r="AI534" s="39">
        <v>0</v>
      </c>
      <c r="AJ534" s="39">
        <f>'Row data'!$S534+'Row data'!$T534+'Row data'!$U534+'Row data'!$W534+'Row data'!$X534+'Row data'!$Y534+'Row data'!$Z534+'Row data'!$AA534+'Row data'!$AB534+'Row data'!$AD534-'Row data'!$AC534-'Row data'!$AE534-'Row data'!$AF534-'Row data'!$AG534-'Row data'!$AH534-'Row data'!$AI534</f>
        <v>13994</v>
      </c>
      <c r="AK534" s="39">
        <v>13994</v>
      </c>
      <c r="AL534" s="39">
        <v>0</v>
      </c>
    </row>
    <row r="535" spans="1:38" x14ac:dyDescent="0.3">
      <c r="A535" s="40">
        <v>534</v>
      </c>
      <c r="B535" s="35" t="s">
        <v>375</v>
      </c>
      <c r="C535" s="35">
        <v>5350694</v>
      </c>
      <c r="D535" s="36" t="s">
        <v>905</v>
      </c>
      <c r="E535" s="35" t="s">
        <v>38</v>
      </c>
      <c r="F535" s="35" t="s">
        <v>474</v>
      </c>
      <c r="G535" s="35" t="s">
        <v>50</v>
      </c>
      <c r="H535" s="37"/>
      <c r="I535" s="38">
        <v>45172</v>
      </c>
      <c r="J535" s="38">
        <v>44562</v>
      </c>
      <c r="K535" s="17">
        <f>YEAR('Row data'!$J535)</f>
        <v>2022</v>
      </c>
      <c r="L535" s="38">
        <v>37549</v>
      </c>
      <c r="M535" s="35" t="str">
        <f ca="1">IF('Row data'!$J535="",DATEDIF('Row data'!$L535,TODAY(),"y"),"0")</f>
        <v>0</v>
      </c>
      <c r="N535" s="35" t="s">
        <v>42</v>
      </c>
      <c r="O535" s="35" t="s">
        <v>553</v>
      </c>
      <c r="P535" s="39" t="s">
        <v>554</v>
      </c>
      <c r="Q535" s="39">
        <v>13405</v>
      </c>
      <c r="R535" s="39">
        <v>13144</v>
      </c>
      <c r="S535" s="39">
        <v>7303</v>
      </c>
      <c r="T535" s="39">
        <v>3652</v>
      </c>
      <c r="U535" s="39">
        <v>750</v>
      </c>
      <c r="V535" s="39">
        <v>450</v>
      </c>
      <c r="W535" s="39">
        <v>0</v>
      </c>
      <c r="X535" s="39">
        <v>0</v>
      </c>
      <c r="Y535" s="39">
        <v>1250</v>
      </c>
      <c r="Z535" s="39">
        <v>450</v>
      </c>
      <c r="AA535" s="39">
        <v>0</v>
      </c>
      <c r="AB535" s="39">
        <v>0</v>
      </c>
      <c r="AC535" s="39">
        <v>0</v>
      </c>
      <c r="AD535" s="39">
        <v>0</v>
      </c>
      <c r="AE535" s="39">
        <v>261</v>
      </c>
      <c r="AF535" s="39">
        <v>0</v>
      </c>
      <c r="AG535" s="39">
        <v>0</v>
      </c>
      <c r="AH535" s="39">
        <v>0</v>
      </c>
      <c r="AI535" s="39">
        <v>0</v>
      </c>
      <c r="AJ535" s="39">
        <f>'Row data'!$S535+'Row data'!$T535+'Row data'!$U535+'Row data'!$W535+'Row data'!$X535+'Row data'!$Y535+'Row data'!$Z535+'Row data'!$AA535+'Row data'!$AB535+'Row data'!$AD535-'Row data'!$AC535-'Row data'!$AE535-'Row data'!$AF535-'Row data'!$AG535-'Row data'!$AH535-'Row data'!$AI535</f>
        <v>13144</v>
      </c>
      <c r="AK535" s="39">
        <v>13144</v>
      </c>
      <c r="AL535" s="39">
        <v>0</v>
      </c>
    </row>
    <row r="536" spans="1:38" x14ac:dyDescent="0.3">
      <c r="A536" s="40">
        <v>535</v>
      </c>
      <c r="B536" s="35" t="s">
        <v>375</v>
      </c>
      <c r="C536" s="35">
        <v>7676595</v>
      </c>
      <c r="D536" s="36" t="s">
        <v>906</v>
      </c>
      <c r="E536" s="35" t="s">
        <v>38</v>
      </c>
      <c r="F536" s="35" t="s">
        <v>474</v>
      </c>
      <c r="G536" s="35" t="s">
        <v>50</v>
      </c>
      <c r="H536" s="37"/>
      <c r="I536" s="38">
        <v>45117</v>
      </c>
      <c r="J536" s="38">
        <v>44562</v>
      </c>
      <c r="K536" s="17">
        <f>YEAR('Row data'!$J536)</f>
        <v>2022</v>
      </c>
      <c r="L536" s="38">
        <v>36911</v>
      </c>
      <c r="M536" s="35" t="str">
        <f ca="1">IF('Row data'!$J536="",DATEDIF('Row data'!$L536,TODAY(),"y"),"0")</f>
        <v>0</v>
      </c>
      <c r="N536" s="35" t="s">
        <v>42</v>
      </c>
      <c r="O536" s="35" t="s">
        <v>553</v>
      </c>
      <c r="P536" s="39" t="s">
        <v>554</v>
      </c>
      <c r="Q536" s="39">
        <v>13405</v>
      </c>
      <c r="R536" s="39">
        <v>13405</v>
      </c>
      <c r="S536" s="39">
        <v>7303</v>
      </c>
      <c r="T536" s="39">
        <v>3652</v>
      </c>
      <c r="U536" s="39">
        <v>750</v>
      </c>
      <c r="V536" s="39">
        <v>450</v>
      </c>
      <c r="W536" s="39">
        <v>0</v>
      </c>
      <c r="X536" s="39">
        <v>0</v>
      </c>
      <c r="Y536" s="39">
        <v>1250</v>
      </c>
      <c r="Z536" s="39">
        <v>450</v>
      </c>
      <c r="AA536" s="39">
        <v>350</v>
      </c>
      <c r="AB536" s="39">
        <v>0</v>
      </c>
      <c r="AC536" s="39">
        <v>0</v>
      </c>
      <c r="AD536" s="39">
        <v>0</v>
      </c>
      <c r="AE536" s="39">
        <v>0</v>
      </c>
      <c r="AF536" s="39">
        <v>0</v>
      </c>
      <c r="AG536" s="39">
        <v>0</v>
      </c>
      <c r="AH536" s="39">
        <v>0</v>
      </c>
      <c r="AI536" s="39">
        <v>0</v>
      </c>
      <c r="AJ536" s="39">
        <f>'Row data'!$S536+'Row data'!$T536+'Row data'!$U536+'Row data'!$W536+'Row data'!$X536+'Row data'!$Y536+'Row data'!$Z536+'Row data'!$AA536+'Row data'!$AB536+'Row data'!$AD536-'Row data'!$AC536-'Row data'!$AE536-'Row data'!$AF536-'Row data'!$AG536-'Row data'!$AH536-'Row data'!$AI536</f>
        <v>13755</v>
      </c>
      <c r="AK536" s="39">
        <v>13755</v>
      </c>
      <c r="AL536" s="39">
        <v>0</v>
      </c>
    </row>
    <row r="537" spans="1:38" x14ac:dyDescent="0.3">
      <c r="A537" s="40">
        <v>536</v>
      </c>
      <c r="B537" s="35" t="s">
        <v>375</v>
      </c>
      <c r="C537" s="35">
        <v>7624333</v>
      </c>
      <c r="D537" s="36" t="s">
        <v>907</v>
      </c>
      <c r="E537" s="35" t="s">
        <v>38</v>
      </c>
      <c r="F537" s="35" t="s">
        <v>474</v>
      </c>
      <c r="G537" s="35" t="s">
        <v>50</v>
      </c>
      <c r="H537" s="37"/>
      <c r="I537" s="38">
        <v>45141</v>
      </c>
      <c r="J537" s="38">
        <v>44562</v>
      </c>
      <c r="K537" s="17">
        <f>YEAR('Row data'!$J537)</f>
        <v>2022</v>
      </c>
      <c r="L537" s="38">
        <v>35217</v>
      </c>
      <c r="M537" s="35" t="str">
        <f ca="1">IF('Row data'!$J537="",DATEDIF('Row data'!$L537,TODAY(),"y"),"0")</f>
        <v>0</v>
      </c>
      <c r="N537" s="35" t="s">
        <v>42</v>
      </c>
      <c r="O537" s="35" t="s">
        <v>553</v>
      </c>
      <c r="P537" s="39" t="s">
        <v>554</v>
      </c>
      <c r="Q537" s="39">
        <v>13405</v>
      </c>
      <c r="R537" s="39">
        <v>13144</v>
      </c>
      <c r="S537" s="39">
        <v>7303</v>
      </c>
      <c r="T537" s="39">
        <v>3652</v>
      </c>
      <c r="U537" s="39">
        <v>750</v>
      </c>
      <c r="V537" s="39">
        <v>450</v>
      </c>
      <c r="W537" s="39">
        <v>0</v>
      </c>
      <c r="X537" s="39">
        <v>0</v>
      </c>
      <c r="Y537" s="39">
        <v>1250</v>
      </c>
      <c r="Z537" s="39">
        <v>450</v>
      </c>
      <c r="AA537" s="39">
        <v>0</v>
      </c>
      <c r="AB537" s="39">
        <v>0</v>
      </c>
      <c r="AC537" s="39">
        <v>0</v>
      </c>
      <c r="AD537" s="39">
        <v>0</v>
      </c>
      <c r="AE537" s="39">
        <v>261</v>
      </c>
      <c r="AF537" s="39">
        <v>0</v>
      </c>
      <c r="AG537" s="39">
        <v>0</v>
      </c>
      <c r="AH537" s="39">
        <v>0</v>
      </c>
      <c r="AI537" s="39">
        <v>0</v>
      </c>
      <c r="AJ537" s="39">
        <f>'Row data'!$S537+'Row data'!$T537+'Row data'!$U537+'Row data'!$W537+'Row data'!$X537+'Row data'!$Y537+'Row data'!$Z537+'Row data'!$AA537+'Row data'!$AB537+'Row data'!$AD537-'Row data'!$AC537-'Row data'!$AE537-'Row data'!$AF537-'Row data'!$AG537-'Row data'!$AH537-'Row data'!$AI537</f>
        <v>13144</v>
      </c>
      <c r="AK537" s="39">
        <v>13144</v>
      </c>
      <c r="AL537" s="39">
        <v>0</v>
      </c>
    </row>
    <row r="538" spans="1:38" x14ac:dyDescent="0.3">
      <c r="A538" s="40">
        <v>537</v>
      </c>
      <c r="B538" s="35" t="s">
        <v>375</v>
      </c>
      <c r="C538" s="35">
        <v>6531627</v>
      </c>
      <c r="D538" s="36" t="s">
        <v>908</v>
      </c>
      <c r="E538" s="35" t="s">
        <v>38</v>
      </c>
      <c r="F538" s="35" t="s">
        <v>474</v>
      </c>
      <c r="G538" s="35" t="s">
        <v>50</v>
      </c>
      <c r="H538" s="37"/>
      <c r="I538" s="38">
        <v>44959</v>
      </c>
      <c r="J538" s="38">
        <v>44562</v>
      </c>
      <c r="K538" s="17">
        <f>YEAR('Row data'!$J538)</f>
        <v>2022</v>
      </c>
      <c r="L538" s="38">
        <v>31868</v>
      </c>
      <c r="M538" s="35" t="str">
        <f ca="1">IF('Row data'!$J538="",DATEDIF('Row data'!$L538,TODAY(),"y"),"0")</f>
        <v>0</v>
      </c>
      <c r="N538" s="35" t="s">
        <v>42</v>
      </c>
      <c r="O538" s="35" t="s">
        <v>553</v>
      </c>
      <c r="P538" s="39" t="s">
        <v>554</v>
      </c>
      <c r="Q538" s="39">
        <v>13405</v>
      </c>
      <c r="R538" s="39">
        <v>13144</v>
      </c>
      <c r="S538" s="39">
        <v>7303</v>
      </c>
      <c r="T538" s="39">
        <v>3652</v>
      </c>
      <c r="U538" s="39">
        <v>750</v>
      </c>
      <c r="V538" s="39">
        <v>450</v>
      </c>
      <c r="W538" s="39">
        <v>0</v>
      </c>
      <c r="X538" s="39">
        <v>0</v>
      </c>
      <c r="Y538" s="39">
        <v>1250</v>
      </c>
      <c r="Z538" s="39">
        <v>450</v>
      </c>
      <c r="AA538" s="39">
        <v>0</v>
      </c>
      <c r="AB538" s="39">
        <v>0</v>
      </c>
      <c r="AC538" s="39">
        <v>0</v>
      </c>
      <c r="AD538" s="39">
        <v>0</v>
      </c>
      <c r="AE538" s="39">
        <v>261</v>
      </c>
      <c r="AF538" s="39">
        <v>0</v>
      </c>
      <c r="AG538" s="39">
        <v>0</v>
      </c>
      <c r="AH538" s="39">
        <v>0</v>
      </c>
      <c r="AI538" s="39">
        <v>0</v>
      </c>
      <c r="AJ538" s="39">
        <f>'Row data'!$S538+'Row data'!$T538+'Row data'!$U538+'Row data'!$W538+'Row data'!$X538+'Row data'!$Y538+'Row data'!$Z538+'Row data'!$AA538+'Row data'!$AB538+'Row data'!$AD538-'Row data'!$AC538-'Row data'!$AE538-'Row data'!$AF538-'Row data'!$AG538-'Row data'!$AH538-'Row data'!$AI538</f>
        <v>13144</v>
      </c>
      <c r="AK538" s="39">
        <v>13144</v>
      </c>
      <c r="AL538" s="39">
        <v>0</v>
      </c>
    </row>
    <row r="539" spans="1:38" x14ac:dyDescent="0.3">
      <c r="A539" s="40">
        <v>538</v>
      </c>
      <c r="B539" s="35" t="s">
        <v>375</v>
      </c>
      <c r="C539" s="35">
        <v>8830958</v>
      </c>
      <c r="D539" s="36" t="s">
        <v>909</v>
      </c>
      <c r="E539" s="35" t="s">
        <v>38</v>
      </c>
      <c r="F539" s="35" t="s">
        <v>474</v>
      </c>
      <c r="G539" s="35" t="s">
        <v>160</v>
      </c>
      <c r="H539" s="37"/>
      <c r="I539" s="38">
        <v>44713</v>
      </c>
      <c r="J539" s="38"/>
      <c r="K539" s="17"/>
      <c r="L539" s="38">
        <v>33953</v>
      </c>
      <c r="M539" s="35">
        <f ca="1">IF('Row data'!$J539="",DATEDIF('Row data'!$L539,TODAY(),"y"),"0")</f>
        <v>33</v>
      </c>
      <c r="N539" s="35" t="s">
        <v>42</v>
      </c>
      <c r="O539" s="35" t="s">
        <v>553</v>
      </c>
      <c r="P539" s="39" t="s">
        <v>554</v>
      </c>
      <c r="Q539" s="39">
        <v>15337</v>
      </c>
      <c r="R539" s="39">
        <v>15337</v>
      </c>
      <c r="S539" s="39">
        <v>8591</v>
      </c>
      <c r="T539" s="39">
        <v>4296</v>
      </c>
      <c r="U539" s="39">
        <v>750</v>
      </c>
      <c r="V539" s="39">
        <v>450</v>
      </c>
      <c r="W539" s="39">
        <v>0</v>
      </c>
      <c r="X539" s="39">
        <v>0</v>
      </c>
      <c r="Y539" s="39">
        <v>1250</v>
      </c>
      <c r="Z539" s="39">
        <v>450</v>
      </c>
      <c r="AA539" s="39">
        <v>350</v>
      </c>
      <c r="AB539" s="39">
        <v>0</v>
      </c>
      <c r="AC539" s="39">
        <v>0</v>
      </c>
      <c r="AD539" s="39">
        <v>0</v>
      </c>
      <c r="AE539" s="39">
        <v>0</v>
      </c>
      <c r="AF539" s="39">
        <v>0</v>
      </c>
      <c r="AG539" s="39">
        <v>0</v>
      </c>
      <c r="AH539" s="39">
        <v>0</v>
      </c>
      <c r="AI539" s="39">
        <v>0</v>
      </c>
      <c r="AJ539" s="39">
        <f>'Row data'!$S539+'Row data'!$T539+'Row data'!$U539+'Row data'!$W539+'Row data'!$X539+'Row data'!$Y539+'Row data'!$Z539+'Row data'!$AA539+'Row data'!$AB539+'Row data'!$AD539-'Row data'!$AC539-'Row data'!$AE539-'Row data'!$AF539-'Row data'!$AG539-'Row data'!$AH539-'Row data'!$AI539</f>
        <v>15687</v>
      </c>
      <c r="AK539" s="39">
        <v>15687</v>
      </c>
      <c r="AL539" s="39">
        <v>0</v>
      </c>
    </row>
    <row r="540" spans="1:38" x14ac:dyDescent="0.3">
      <c r="A540" s="40">
        <v>539</v>
      </c>
      <c r="B540" s="35" t="s">
        <v>375</v>
      </c>
      <c r="C540" s="35">
        <v>6873298</v>
      </c>
      <c r="D540" s="36" t="s">
        <v>910</v>
      </c>
      <c r="E540" s="35" t="s">
        <v>38</v>
      </c>
      <c r="F540" s="35" t="s">
        <v>474</v>
      </c>
      <c r="G540" s="35" t="s">
        <v>50</v>
      </c>
      <c r="H540" s="37"/>
      <c r="I540" s="38">
        <v>44695</v>
      </c>
      <c r="J540" s="38"/>
      <c r="K540" s="17"/>
      <c r="L540" s="38">
        <v>37425</v>
      </c>
      <c r="M540" s="35">
        <f ca="1">IF('Row data'!$J540="",DATEDIF('Row data'!$L540,TODAY(),"y"),"0")</f>
        <v>24</v>
      </c>
      <c r="N540" s="35" t="s">
        <v>42</v>
      </c>
      <c r="O540" s="35" t="s">
        <v>553</v>
      </c>
      <c r="P540" s="39" t="s">
        <v>554</v>
      </c>
      <c r="Q540" s="39">
        <v>13405</v>
      </c>
      <c r="R540" s="39">
        <v>13405</v>
      </c>
      <c r="S540" s="39">
        <v>7303</v>
      </c>
      <c r="T540" s="39">
        <v>3652</v>
      </c>
      <c r="U540" s="39">
        <v>750</v>
      </c>
      <c r="V540" s="39">
        <v>450</v>
      </c>
      <c r="W540" s="39">
        <v>0</v>
      </c>
      <c r="X540" s="39">
        <v>0</v>
      </c>
      <c r="Y540" s="39">
        <v>1250</v>
      </c>
      <c r="Z540" s="39">
        <v>450</v>
      </c>
      <c r="AA540" s="39">
        <v>350</v>
      </c>
      <c r="AB540" s="39">
        <v>0</v>
      </c>
      <c r="AC540" s="39">
        <v>0</v>
      </c>
      <c r="AD540" s="39">
        <v>0</v>
      </c>
      <c r="AE540" s="39">
        <v>0</v>
      </c>
      <c r="AF540" s="39">
        <v>0</v>
      </c>
      <c r="AG540" s="39">
        <v>0</v>
      </c>
      <c r="AH540" s="39">
        <v>0</v>
      </c>
      <c r="AI540" s="39">
        <v>0</v>
      </c>
      <c r="AJ540" s="39">
        <f>'Row data'!$S540+'Row data'!$T540+'Row data'!$U540+'Row data'!$W540+'Row data'!$X540+'Row data'!$Y540+'Row data'!$Z540+'Row data'!$AA540+'Row data'!$AB540+'Row data'!$AD540-'Row data'!$AC540-'Row data'!$AE540-'Row data'!$AF540-'Row data'!$AG540-'Row data'!$AH540-'Row data'!$AI540</f>
        <v>13755</v>
      </c>
      <c r="AK540" s="39">
        <v>13755</v>
      </c>
      <c r="AL540" s="39">
        <v>0</v>
      </c>
    </row>
    <row r="541" spans="1:38" x14ac:dyDescent="0.3">
      <c r="A541" s="40">
        <v>540</v>
      </c>
      <c r="B541" s="35" t="s">
        <v>375</v>
      </c>
      <c r="C541" s="35">
        <v>8837890</v>
      </c>
      <c r="D541" s="36" t="s">
        <v>911</v>
      </c>
      <c r="E541" s="35" t="s">
        <v>38</v>
      </c>
      <c r="F541" s="35" t="s">
        <v>474</v>
      </c>
      <c r="G541" s="35" t="s">
        <v>50</v>
      </c>
      <c r="H541" s="37"/>
      <c r="I541" s="38">
        <v>44507</v>
      </c>
      <c r="J541" s="38">
        <v>44646</v>
      </c>
      <c r="K541" s="17">
        <f>YEAR('Row data'!$J541)</f>
        <v>2022</v>
      </c>
      <c r="L541" s="38">
        <v>31862</v>
      </c>
      <c r="M541" s="35" t="str">
        <f ca="1">IF('Row data'!$J541="",DATEDIF('Row data'!$L541,TODAY(),"y"),"0")</f>
        <v>0</v>
      </c>
      <c r="N541" s="35" t="s">
        <v>42</v>
      </c>
      <c r="O541" s="35" t="s">
        <v>553</v>
      </c>
      <c r="P541" s="39" t="s">
        <v>554</v>
      </c>
      <c r="Q541" s="39">
        <v>13405</v>
      </c>
      <c r="R541" s="39">
        <v>13405</v>
      </c>
      <c r="S541" s="39">
        <v>7303</v>
      </c>
      <c r="T541" s="39">
        <v>3652</v>
      </c>
      <c r="U541" s="39">
        <v>750</v>
      </c>
      <c r="V541" s="39">
        <v>450</v>
      </c>
      <c r="W541" s="39">
        <v>0</v>
      </c>
      <c r="X541" s="39">
        <v>0</v>
      </c>
      <c r="Y541" s="39">
        <v>1250</v>
      </c>
      <c r="Z541" s="39">
        <v>450</v>
      </c>
      <c r="AA541" s="39">
        <v>350</v>
      </c>
      <c r="AB541" s="39">
        <v>0</v>
      </c>
      <c r="AC541" s="39">
        <v>0</v>
      </c>
      <c r="AD541" s="39">
        <v>0</v>
      </c>
      <c r="AE541" s="39">
        <v>0</v>
      </c>
      <c r="AF541" s="39">
        <v>0</v>
      </c>
      <c r="AG541" s="39">
        <v>0</v>
      </c>
      <c r="AH541" s="39">
        <v>0</v>
      </c>
      <c r="AI541" s="39">
        <v>0</v>
      </c>
      <c r="AJ541" s="39">
        <f>'Row data'!$S541+'Row data'!$T541+'Row data'!$U541+'Row data'!$W541+'Row data'!$X541+'Row data'!$Y541+'Row data'!$Z541+'Row data'!$AA541+'Row data'!$AB541+'Row data'!$AD541-'Row data'!$AC541-'Row data'!$AE541-'Row data'!$AF541-'Row data'!$AG541-'Row data'!$AH541-'Row data'!$AI541</f>
        <v>13755</v>
      </c>
      <c r="AK541" s="39">
        <v>13755</v>
      </c>
      <c r="AL541" s="39">
        <v>0</v>
      </c>
    </row>
    <row r="542" spans="1:38" x14ac:dyDescent="0.3">
      <c r="A542" s="40">
        <v>541</v>
      </c>
      <c r="B542" s="35" t="s">
        <v>375</v>
      </c>
      <c r="C542" s="35">
        <v>9478337</v>
      </c>
      <c r="D542" s="36" t="s">
        <v>912</v>
      </c>
      <c r="E542" s="35" t="s">
        <v>38</v>
      </c>
      <c r="F542" s="35" t="s">
        <v>474</v>
      </c>
      <c r="G542" s="35" t="s">
        <v>164</v>
      </c>
      <c r="H542" s="37"/>
      <c r="I542" s="38">
        <v>42218</v>
      </c>
      <c r="J542" s="38"/>
      <c r="K542" s="17"/>
      <c r="L542" s="38">
        <v>27944</v>
      </c>
      <c r="M542" s="35">
        <f ca="1">IF('Row data'!$J542="",DATEDIF('Row data'!$L542,TODAY(),"y"),"0")</f>
        <v>50</v>
      </c>
      <c r="N542" s="35" t="s">
        <v>42</v>
      </c>
      <c r="O542" s="35" t="s">
        <v>553</v>
      </c>
      <c r="P542" s="39" t="s">
        <v>554</v>
      </c>
      <c r="Q542" s="39">
        <v>15337</v>
      </c>
      <c r="R542" s="39">
        <v>15337</v>
      </c>
      <c r="S542" s="39">
        <v>8591</v>
      </c>
      <c r="T542" s="39">
        <v>4296</v>
      </c>
      <c r="U542" s="39">
        <v>750</v>
      </c>
      <c r="V542" s="39">
        <v>450</v>
      </c>
      <c r="W542" s="39">
        <v>0</v>
      </c>
      <c r="X542" s="39">
        <v>0</v>
      </c>
      <c r="Y542" s="39">
        <v>1250</v>
      </c>
      <c r="Z542" s="39">
        <v>450</v>
      </c>
      <c r="AA542" s="39">
        <v>350</v>
      </c>
      <c r="AB542" s="39">
        <v>0</v>
      </c>
      <c r="AC542" s="39">
        <v>0</v>
      </c>
      <c r="AD542" s="39">
        <v>0</v>
      </c>
      <c r="AE542" s="39">
        <v>0</v>
      </c>
      <c r="AF542" s="39">
        <v>0</v>
      </c>
      <c r="AG542" s="39">
        <v>2500</v>
      </c>
      <c r="AH542" s="39">
        <v>0</v>
      </c>
      <c r="AI542" s="39">
        <v>0</v>
      </c>
      <c r="AJ542" s="39">
        <f>'Row data'!$S542+'Row data'!$T542+'Row data'!$U542+'Row data'!$W542+'Row data'!$X542+'Row data'!$Y542+'Row data'!$Z542+'Row data'!$AA542+'Row data'!$AB542+'Row data'!$AD542-'Row data'!$AC542-'Row data'!$AE542-'Row data'!$AF542-'Row data'!$AG542-'Row data'!$AH542-'Row data'!$AI542</f>
        <v>13187</v>
      </c>
      <c r="AK542" s="39">
        <v>13187</v>
      </c>
      <c r="AL542" s="39">
        <v>0</v>
      </c>
    </row>
    <row r="543" spans="1:38" x14ac:dyDescent="0.3">
      <c r="A543" s="40">
        <v>542</v>
      </c>
      <c r="B543" s="35" t="s">
        <v>375</v>
      </c>
      <c r="C543" s="35">
        <v>7962460</v>
      </c>
      <c r="D543" s="36" t="s">
        <v>913</v>
      </c>
      <c r="E543" s="35" t="s">
        <v>38</v>
      </c>
      <c r="F543" s="35" t="s">
        <v>474</v>
      </c>
      <c r="G543" s="35" t="s">
        <v>914</v>
      </c>
      <c r="H543" s="37"/>
      <c r="I543" s="38">
        <v>44826</v>
      </c>
      <c r="J543" s="38"/>
      <c r="K543" s="17"/>
      <c r="L543" s="38">
        <v>36392</v>
      </c>
      <c r="M543" s="35">
        <f ca="1">IF('Row data'!$J543="",DATEDIF('Row data'!$L543,TODAY(),"y"),"0")</f>
        <v>27</v>
      </c>
      <c r="N543" s="35" t="s">
        <v>42</v>
      </c>
      <c r="O543" s="35" t="s">
        <v>553</v>
      </c>
      <c r="P543" s="39" t="s">
        <v>554</v>
      </c>
      <c r="Q543" s="39">
        <v>14549</v>
      </c>
      <c r="R543" s="39">
        <v>14549</v>
      </c>
      <c r="S543" s="39">
        <v>8066</v>
      </c>
      <c r="T543" s="39">
        <v>4033</v>
      </c>
      <c r="U543" s="39">
        <v>750</v>
      </c>
      <c r="V543" s="39">
        <v>450</v>
      </c>
      <c r="W543" s="39">
        <v>0</v>
      </c>
      <c r="X543" s="39">
        <v>0</v>
      </c>
      <c r="Y543" s="39">
        <v>1250</v>
      </c>
      <c r="Z543" s="39">
        <v>450</v>
      </c>
      <c r="AA543" s="39">
        <v>350</v>
      </c>
      <c r="AB543" s="39">
        <v>0</v>
      </c>
      <c r="AC543" s="39">
        <v>0</v>
      </c>
      <c r="AD543" s="39">
        <v>0</v>
      </c>
      <c r="AE543" s="39">
        <v>0</v>
      </c>
      <c r="AF543" s="39">
        <v>0</v>
      </c>
      <c r="AG543" s="39">
        <v>0</v>
      </c>
      <c r="AH543" s="39">
        <v>0</v>
      </c>
      <c r="AI543" s="39">
        <v>0</v>
      </c>
      <c r="AJ543" s="39">
        <f>'Row data'!$S543+'Row data'!$T543+'Row data'!$U543+'Row data'!$W543+'Row data'!$X543+'Row data'!$Y543+'Row data'!$Z543+'Row data'!$AA543+'Row data'!$AB543+'Row data'!$AD543-'Row data'!$AC543-'Row data'!$AE543-'Row data'!$AF543-'Row data'!$AG543-'Row data'!$AH543-'Row data'!$AI543</f>
        <v>14899</v>
      </c>
      <c r="AK543" s="39">
        <v>14899</v>
      </c>
      <c r="AL543" s="39">
        <v>0</v>
      </c>
    </row>
    <row r="544" spans="1:38" x14ac:dyDescent="0.3">
      <c r="A544" s="40">
        <v>543</v>
      </c>
      <c r="B544" s="35" t="s">
        <v>375</v>
      </c>
      <c r="C544" s="35">
        <v>7060357</v>
      </c>
      <c r="D544" s="36" t="s">
        <v>915</v>
      </c>
      <c r="E544" s="35" t="s">
        <v>38</v>
      </c>
      <c r="F544" s="35" t="s">
        <v>474</v>
      </c>
      <c r="G544" s="35" t="s">
        <v>50</v>
      </c>
      <c r="H544" s="37"/>
      <c r="I544" s="38">
        <v>44867</v>
      </c>
      <c r="J544" s="38"/>
      <c r="K544" s="17"/>
      <c r="L544" s="38">
        <v>34820</v>
      </c>
      <c r="M544" s="35">
        <f ca="1">IF('Row data'!$J544="",DATEDIF('Row data'!$L544,TODAY(),"y"),"0")</f>
        <v>31</v>
      </c>
      <c r="N544" s="35" t="s">
        <v>42</v>
      </c>
      <c r="O544" s="35" t="s">
        <v>553</v>
      </c>
      <c r="P544" s="39" t="s">
        <v>554</v>
      </c>
      <c r="Q544" s="39">
        <v>13405</v>
      </c>
      <c r="R544" s="39">
        <v>13405</v>
      </c>
      <c r="S544" s="39">
        <v>7303</v>
      </c>
      <c r="T544" s="39">
        <v>3652</v>
      </c>
      <c r="U544" s="39">
        <v>750</v>
      </c>
      <c r="V544" s="39">
        <v>450</v>
      </c>
      <c r="W544" s="39">
        <v>0</v>
      </c>
      <c r="X544" s="39">
        <v>0</v>
      </c>
      <c r="Y544" s="39">
        <v>1250</v>
      </c>
      <c r="Z544" s="39">
        <v>450</v>
      </c>
      <c r="AA544" s="39">
        <v>0</v>
      </c>
      <c r="AB544" s="39">
        <v>0</v>
      </c>
      <c r="AC544" s="39">
        <v>0</v>
      </c>
      <c r="AD544" s="39">
        <v>0</v>
      </c>
      <c r="AE544" s="39">
        <v>0</v>
      </c>
      <c r="AF544" s="39">
        <v>0</v>
      </c>
      <c r="AG544" s="39">
        <v>0</v>
      </c>
      <c r="AH544" s="39">
        <v>0</v>
      </c>
      <c r="AI544" s="39">
        <v>0</v>
      </c>
      <c r="AJ544" s="39">
        <f>'Row data'!$S544+'Row data'!$T544+'Row data'!$U544+'Row data'!$W544+'Row data'!$X544+'Row data'!$Y544+'Row data'!$Z544+'Row data'!$AA544+'Row data'!$AB544+'Row data'!$AD544-'Row data'!$AC544-'Row data'!$AE544-'Row data'!$AF544-'Row data'!$AG544-'Row data'!$AH544-'Row data'!$AI544</f>
        <v>13405</v>
      </c>
      <c r="AK544" s="39">
        <v>13405</v>
      </c>
      <c r="AL544" s="39">
        <v>0</v>
      </c>
    </row>
    <row r="545" spans="1:38" x14ac:dyDescent="0.3">
      <c r="A545" s="40">
        <v>544</v>
      </c>
      <c r="B545" s="35" t="s">
        <v>375</v>
      </c>
      <c r="C545" s="35">
        <v>7539413</v>
      </c>
      <c r="D545" s="36" t="s">
        <v>916</v>
      </c>
      <c r="E545" s="35" t="s">
        <v>38</v>
      </c>
      <c r="F545" s="35" t="s">
        <v>474</v>
      </c>
      <c r="G545" s="35" t="s">
        <v>50</v>
      </c>
      <c r="H545" s="37"/>
      <c r="I545" s="38">
        <v>44593</v>
      </c>
      <c r="J545" s="38"/>
      <c r="K545" s="17"/>
      <c r="L545" s="38">
        <v>34566</v>
      </c>
      <c r="M545" s="35">
        <f ca="1">IF('Row data'!$J545="",DATEDIF('Row data'!$L545,TODAY(),"y"),"0")</f>
        <v>32</v>
      </c>
      <c r="N545" s="35" t="s">
        <v>42</v>
      </c>
      <c r="O545" s="35" t="s">
        <v>553</v>
      </c>
      <c r="P545" s="39" t="s">
        <v>554</v>
      </c>
      <c r="Q545" s="39">
        <v>13405</v>
      </c>
      <c r="R545" s="39">
        <v>12101</v>
      </c>
      <c r="S545" s="39">
        <v>7303</v>
      </c>
      <c r="T545" s="39">
        <v>3652</v>
      </c>
      <c r="U545" s="39">
        <v>750</v>
      </c>
      <c r="V545" s="39">
        <v>450</v>
      </c>
      <c r="W545" s="39">
        <v>0</v>
      </c>
      <c r="X545" s="39">
        <v>0</v>
      </c>
      <c r="Y545" s="39">
        <v>1250</v>
      </c>
      <c r="Z545" s="39">
        <v>450</v>
      </c>
      <c r="AA545" s="39">
        <v>0</v>
      </c>
      <c r="AB545" s="39">
        <v>0</v>
      </c>
      <c r="AC545" s="39">
        <v>0</v>
      </c>
      <c r="AD545" s="39">
        <v>0</v>
      </c>
      <c r="AE545" s="39">
        <v>1304</v>
      </c>
      <c r="AF545" s="39">
        <v>0</v>
      </c>
      <c r="AG545" s="39">
        <v>0</v>
      </c>
      <c r="AH545" s="39">
        <v>0</v>
      </c>
      <c r="AI545" s="39">
        <v>0</v>
      </c>
      <c r="AJ545" s="39">
        <f>'Row data'!$S545+'Row data'!$T545+'Row data'!$U545+'Row data'!$W545+'Row data'!$X545+'Row data'!$Y545+'Row data'!$Z545+'Row data'!$AA545+'Row data'!$AB545+'Row data'!$AD545-'Row data'!$AC545-'Row data'!$AE545-'Row data'!$AF545-'Row data'!$AG545-'Row data'!$AH545-'Row data'!$AI545</f>
        <v>12101</v>
      </c>
      <c r="AK545" s="39">
        <v>12101</v>
      </c>
      <c r="AL545" s="39">
        <v>0</v>
      </c>
    </row>
    <row r="546" spans="1:38" x14ac:dyDescent="0.3">
      <c r="A546" s="40">
        <v>545</v>
      </c>
      <c r="B546" s="35" t="s">
        <v>375</v>
      </c>
      <c r="C546" s="35">
        <v>9167224</v>
      </c>
      <c r="D546" s="36" t="s">
        <v>917</v>
      </c>
      <c r="E546" s="35" t="s">
        <v>38</v>
      </c>
      <c r="F546" s="35" t="s">
        <v>474</v>
      </c>
      <c r="G546" s="35" t="s">
        <v>164</v>
      </c>
      <c r="H546" s="37"/>
      <c r="I546" s="38">
        <v>43365</v>
      </c>
      <c r="J546" s="38">
        <v>44562</v>
      </c>
      <c r="K546" s="17">
        <f>YEAR('Row data'!$J546)</f>
        <v>2022</v>
      </c>
      <c r="L546" s="38">
        <v>26002</v>
      </c>
      <c r="M546" s="35" t="str">
        <f ca="1">IF('Row data'!$J546="",DATEDIF('Row data'!$L546,TODAY(),"y"),"0")</f>
        <v>0</v>
      </c>
      <c r="N546" s="35" t="s">
        <v>42</v>
      </c>
      <c r="O546" s="35" t="s">
        <v>553</v>
      </c>
      <c r="P546" s="39" t="s">
        <v>554</v>
      </c>
      <c r="Q546" s="39">
        <v>15337</v>
      </c>
      <c r="R546" s="39">
        <v>15337</v>
      </c>
      <c r="S546" s="39">
        <v>8591</v>
      </c>
      <c r="T546" s="39">
        <v>4296</v>
      </c>
      <c r="U546" s="39">
        <v>750</v>
      </c>
      <c r="V546" s="39">
        <v>450</v>
      </c>
      <c r="W546" s="39">
        <v>0</v>
      </c>
      <c r="X546" s="39">
        <v>0</v>
      </c>
      <c r="Y546" s="39">
        <v>1250</v>
      </c>
      <c r="Z546" s="39">
        <v>450</v>
      </c>
      <c r="AA546" s="39">
        <v>0</v>
      </c>
      <c r="AB546" s="39">
        <v>0</v>
      </c>
      <c r="AC546" s="39">
        <v>0</v>
      </c>
      <c r="AD546" s="39">
        <v>0</v>
      </c>
      <c r="AE546" s="39">
        <v>0</v>
      </c>
      <c r="AF546" s="39">
        <v>0</v>
      </c>
      <c r="AG546" s="39">
        <v>0</v>
      </c>
      <c r="AH546" s="39">
        <v>0</v>
      </c>
      <c r="AI546" s="39">
        <v>0</v>
      </c>
      <c r="AJ546" s="39">
        <f>'Row data'!$S546+'Row data'!$T546+'Row data'!$U546+'Row data'!$W546+'Row data'!$X546+'Row data'!$Y546+'Row data'!$Z546+'Row data'!$AA546+'Row data'!$AB546+'Row data'!$AD546-'Row data'!$AC546-'Row data'!$AE546-'Row data'!$AF546-'Row data'!$AG546-'Row data'!$AH546-'Row data'!$AI546</f>
        <v>15337</v>
      </c>
      <c r="AK546" s="39">
        <v>15337</v>
      </c>
      <c r="AL546" s="39">
        <v>0</v>
      </c>
    </row>
    <row r="547" spans="1:38" x14ac:dyDescent="0.3">
      <c r="A547" s="40">
        <v>546</v>
      </c>
      <c r="B547" s="35" t="s">
        <v>375</v>
      </c>
      <c r="C547" s="35">
        <v>7864772</v>
      </c>
      <c r="D547" s="36" t="s">
        <v>918</v>
      </c>
      <c r="E547" s="35" t="s">
        <v>38</v>
      </c>
      <c r="F547" s="35" t="s">
        <v>474</v>
      </c>
      <c r="G547" s="35" t="s">
        <v>919</v>
      </c>
      <c r="H547" s="37"/>
      <c r="I547" s="38">
        <v>41986</v>
      </c>
      <c r="J547" s="38">
        <v>44562</v>
      </c>
      <c r="K547" s="17">
        <f>YEAR('Row data'!$J547)</f>
        <v>2022</v>
      </c>
      <c r="L547" s="38">
        <v>33117</v>
      </c>
      <c r="M547" s="35" t="str">
        <f ca="1">IF('Row data'!$J547="",DATEDIF('Row data'!$L547,TODAY(),"y"),"0")</f>
        <v>0</v>
      </c>
      <c r="N547" s="35" t="s">
        <v>42</v>
      </c>
      <c r="O547" s="35" t="s">
        <v>553</v>
      </c>
      <c r="P547" s="39" t="s">
        <v>554</v>
      </c>
      <c r="Q547" s="39">
        <v>14549</v>
      </c>
      <c r="R547" s="39">
        <v>14549</v>
      </c>
      <c r="S547" s="39">
        <v>8066</v>
      </c>
      <c r="T547" s="39">
        <v>4033</v>
      </c>
      <c r="U547" s="39">
        <v>750</v>
      </c>
      <c r="V547" s="39">
        <v>450</v>
      </c>
      <c r="W547" s="39">
        <v>0</v>
      </c>
      <c r="X547" s="39">
        <v>0</v>
      </c>
      <c r="Y547" s="39">
        <v>1250</v>
      </c>
      <c r="Z547" s="39">
        <v>450</v>
      </c>
      <c r="AA547" s="39">
        <v>350</v>
      </c>
      <c r="AB547" s="39">
        <v>4653</v>
      </c>
      <c r="AC547" s="39">
        <v>0</v>
      </c>
      <c r="AD547" s="39">
        <v>0</v>
      </c>
      <c r="AE547" s="39">
        <v>0</v>
      </c>
      <c r="AF547" s="39">
        <v>0</v>
      </c>
      <c r="AG547" s="39">
        <v>0</v>
      </c>
      <c r="AH547" s="39">
        <v>0</v>
      </c>
      <c r="AI547" s="39">
        <v>0</v>
      </c>
      <c r="AJ547" s="39">
        <f>'Row data'!$S547+'Row data'!$T547+'Row data'!$U547+'Row data'!$W547+'Row data'!$X547+'Row data'!$Y547+'Row data'!$Z547+'Row data'!$AA547+'Row data'!$AB547+'Row data'!$AD547-'Row data'!$AC547-'Row data'!$AE547-'Row data'!$AF547-'Row data'!$AG547-'Row data'!$AH547-'Row data'!$AI547</f>
        <v>19552</v>
      </c>
      <c r="AK547" s="39">
        <v>19552</v>
      </c>
      <c r="AL547" s="39">
        <v>0</v>
      </c>
    </row>
    <row r="548" spans="1:38" x14ac:dyDescent="0.3">
      <c r="A548" s="40">
        <v>547</v>
      </c>
      <c r="B548" s="35" t="s">
        <v>375</v>
      </c>
      <c r="C548" s="35">
        <v>7668555</v>
      </c>
      <c r="D548" s="36" t="s">
        <v>920</v>
      </c>
      <c r="E548" s="35" t="s">
        <v>38</v>
      </c>
      <c r="F548" s="35" t="s">
        <v>474</v>
      </c>
      <c r="G548" s="35" t="s">
        <v>598</v>
      </c>
      <c r="H548" s="37"/>
      <c r="I548" s="38">
        <v>42918</v>
      </c>
      <c r="J548" s="38">
        <v>44562</v>
      </c>
      <c r="K548" s="17">
        <f>YEAR('Row data'!$J548)</f>
        <v>2022</v>
      </c>
      <c r="L548" s="38">
        <v>28915</v>
      </c>
      <c r="M548" s="35" t="str">
        <f ca="1">IF('Row data'!$J548="",DATEDIF('Row data'!$L548,TODAY(),"y"),"0")</f>
        <v>0</v>
      </c>
      <c r="N548" s="35" t="s">
        <v>42</v>
      </c>
      <c r="O548" s="35" t="s">
        <v>553</v>
      </c>
      <c r="P548" s="39" t="s">
        <v>554</v>
      </c>
      <c r="Q548" s="39">
        <v>13458</v>
      </c>
      <c r="R548" s="39">
        <v>13458</v>
      </c>
      <c r="S548" s="39">
        <v>7339</v>
      </c>
      <c r="T548" s="39">
        <v>3669</v>
      </c>
      <c r="U548" s="39">
        <v>750</v>
      </c>
      <c r="V548" s="39">
        <v>450</v>
      </c>
      <c r="W548" s="39">
        <v>0</v>
      </c>
      <c r="X548" s="39">
        <v>0</v>
      </c>
      <c r="Y548" s="39">
        <v>1250</v>
      </c>
      <c r="Z548" s="39">
        <v>450</v>
      </c>
      <c r="AA548" s="39">
        <v>350</v>
      </c>
      <c r="AB548" s="39">
        <v>0</v>
      </c>
      <c r="AC548" s="39">
        <v>0</v>
      </c>
      <c r="AD548" s="39">
        <v>0</v>
      </c>
      <c r="AE548" s="39">
        <v>0</v>
      </c>
      <c r="AF548" s="39">
        <v>0</v>
      </c>
      <c r="AG548" s="39">
        <v>0</v>
      </c>
      <c r="AH548" s="39">
        <v>0</v>
      </c>
      <c r="AI548" s="39">
        <v>0</v>
      </c>
      <c r="AJ548" s="39">
        <f>'Row data'!$S548+'Row data'!$T548+'Row data'!$U548+'Row data'!$W548+'Row data'!$X548+'Row data'!$Y548+'Row data'!$Z548+'Row data'!$AA548+'Row data'!$AB548+'Row data'!$AD548-'Row data'!$AC548-'Row data'!$AE548-'Row data'!$AF548-'Row data'!$AG548-'Row data'!$AH548-'Row data'!$AI548</f>
        <v>13808</v>
      </c>
      <c r="AK548" s="39">
        <v>13808</v>
      </c>
      <c r="AL548" s="39">
        <v>0</v>
      </c>
    </row>
    <row r="549" spans="1:38" x14ac:dyDescent="0.3">
      <c r="A549" s="40">
        <v>548</v>
      </c>
      <c r="B549" s="35" t="s">
        <v>375</v>
      </c>
      <c r="C549" s="35">
        <v>9311190</v>
      </c>
      <c r="D549" s="36" t="s">
        <v>921</v>
      </c>
      <c r="E549" s="35" t="s">
        <v>38</v>
      </c>
      <c r="F549" s="35" t="s">
        <v>474</v>
      </c>
      <c r="G549" s="35" t="s">
        <v>598</v>
      </c>
      <c r="H549" s="37"/>
      <c r="I549" s="38">
        <v>40515</v>
      </c>
      <c r="J549" s="38">
        <v>44562</v>
      </c>
      <c r="K549" s="17">
        <f>YEAR('Row data'!$J549)</f>
        <v>2022</v>
      </c>
      <c r="L549" s="38">
        <v>32873</v>
      </c>
      <c r="M549" s="35" t="str">
        <f ca="1">IF('Row data'!$J549="",DATEDIF('Row data'!$L549,TODAY(),"y"),"0")</f>
        <v>0</v>
      </c>
      <c r="N549" s="35" t="s">
        <v>42</v>
      </c>
      <c r="O549" s="35" t="s">
        <v>553</v>
      </c>
      <c r="P549" s="39" t="s">
        <v>554</v>
      </c>
      <c r="Q549" s="39">
        <v>16133</v>
      </c>
      <c r="R549" s="39">
        <v>15807</v>
      </c>
      <c r="S549" s="39">
        <v>9122</v>
      </c>
      <c r="T549" s="39">
        <v>4561</v>
      </c>
      <c r="U549" s="39">
        <v>750</v>
      </c>
      <c r="V549" s="39">
        <v>450</v>
      </c>
      <c r="W549" s="39">
        <v>0</v>
      </c>
      <c r="X549" s="39">
        <v>0</v>
      </c>
      <c r="Y549" s="39">
        <v>1250</v>
      </c>
      <c r="Z549" s="39">
        <v>450</v>
      </c>
      <c r="AA549" s="39">
        <v>0</v>
      </c>
      <c r="AB549" s="39">
        <v>0</v>
      </c>
      <c r="AC549" s="39">
        <v>0</v>
      </c>
      <c r="AD549" s="39">
        <v>0</v>
      </c>
      <c r="AE549" s="39">
        <v>326</v>
      </c>
      <c r="AF549" s="39">
        <v>0</v>
      </c>
      <c r="AG549" s="39">
        <v>0</v>
      </c>
      <c r="AH549" s="39">
        <v>0</v>
      </c>
      <c r="AI549" s="39">
        <v>0</v>
      </c>
      <c r="AJ549" s="39">
        <f>'Row data'!$S549+'Row data'!$T549+'Row data'!$U549+'Row data'!$W549+'Row data'!$X549+'Row data'!$Y549+'Row data'!$Z549+'Row data'!$AA549+'Row data'!$AB549+'Row data'!$AD549-'Row data'!$AC549-'Row data'!$AE549-'Row data'!$AF549-'Row data'!$AG549-'Row data'!$AH549-'Row data'!$AI549</f>
        <v>15807</v>
      </c>
      <c r="AK549" s="39">
        <v>15807</v>
      </c>
      <c r="AL549" s="39">
        <v>0</v>
      </c>
    </row>
    <row r="550" spans="1:38" x14ac:dyDescent="0.3">
      <c r="A550" s="40">
        <v>549</v>
      </c>
      <c r="B550" s="35" t="s">
        <v>375</v>
      </c>
      <c r="C550" s="35">
        <v>7692670</v>
      </c>
      <c r="D550" s="36" t="s">
        <v>922</v>
      </c>
      <c r="E550" s="35" t="s">
        <v>38</v>
      </c>
      <c r="F550" s="35" t="s">
        <v>474</v>
      </c>
      <c r="G550" s="35" t="s">
        <v>923</v>
      </c>
      <c r="H550" s="37"/>
      <c r="I550" s="38">
        <v>42221</v>
      </c>
      <c r="J550" s="38">
        <v>44562</v>
      </c>
      <c r="K550" s="17">
        <f>YEAR('Row data'!$J550)</f>
        <v>2022</v>
      </c>
      <c r="L550" s="38">
        <v>28312</v>
      </c>
      <c r="M550" s="35" t="str">
        <f ca="1">IF('Row data'!$J550="",DATEDIF('Row data'!$L550,TODAY(),"y"),"0")</f>
        <v>0</v>
      </c>
      <c r="N550" s="35" t="s">
        <v>42</v>
      </c>
      <c r="O550" s="35" t="s">
        <v>553</v>
      </c>
      <c r="P550" s="39" t="s">
        <v>554</v>
      </c>
      <c r="Q550" s="39">
        <v>15337</v>
      </c>
      <c r="R550" s="39">
        <v>15337</v>
      </c>
      <c r="S550" s="39">
        <v>8591</v>
      </c>
      <c r="T550" s="39">
        <v>4296</v>
      </c>
      <c r="U550" s="39">
        <v>750</v>
      </c>
      <c r="V550" s="39">
        <v>450</v>
      </c>
      <c r="W550" s="39">
        <v>0</v>
      </c>
      <c r="X550" s="39">
        <v>0</v>
      </c>
      <c r="Y550" s="39">
        <v>1250</v>
      </c>
      <c r="Z550" s="39">
        <v>450</v>
      </c>
      <c r="AA550" s="39">
        <v>350</v>
      </c>
      <c r="AB550" s="39">
        <v>0</v>
      </c>
      <c r="AC550" s="39">
        <v>0</v>
      </c>
      <c r="AD550" s="39">
        <v>0</v>
      </c>
      <c r="AE550" s="39">
        <v>0</v>
      </c>
      <c r="AF550" s="39">
        <v>0</v>
      </c>
      <c r="AG550" s="39">
        <v>0</v>
      </c>
      <c r="AH550" s="39">
        <v>0</v>
      </c>
      <c r="AI550" s="39">
        <v>0</v>
      </c>
      <c r="AJ550" s="39">
        <f>'Row data'!$S550+'Row data'!$T550+'Row data'!$U550+'Row data'!$W550+'Row data'!$X550+'Row data'!$Y550+'Row data'!$Z550+'Row data'!$AA550+'Row data'!$AB550+'Row data'!$AD550-'Row data'!$AC550-'Row data'!$AE550-'Row data'!$AF550-'Row data'!$AG550-'Row data'!$AH550-'Row data'!$AI550</f>
        <v>15687</v>
      </c>
      <c r="AK550" s="39">
        <v>15687</v>
      </c>
      <c r="AL550" s="39">
        <v>0</v>
      </c>
    </row>
    <row r="551" spans="1:38" x14ac:dyDescent="0.3">
      <c r="A551" s="40">
        <v>550</v>
      </c>
      <c r="B551" s="35" t="s">
        <v>375</v>
      </c>
      <c r="C551" s="35">
        <v>9680087</v>
      </c>
      <c r="D551" s="36" t="s">
        <v>1054</v>
      </c>
      <c r="E551" s="35" t="s">
        <v>38</v>
      </c>
      <c r="F551" s="35" t="s">
        <v>474</v>
      </c>
      <c r="G551" s="35" t="s">
        <v>924</v>
      </c>
      <c r="H551" s="37"/>
      <c r="I551" s="38">
        <v>37288</v>
      </c>
      <c r="J551" s="38">
        <v>44562</v>
      </c>
      <c r="K551" s="17">
        <f>YEAR('Row data'!$J551)</f>
        <v>2022</v>
      </c>
      <c r="L551" s="38">
        <v>24056</v>
      </c>
      <c r="M551" s="35" t="str">
        <f ca="1">IF('Row data'!$J551="",DATEDIF('Row data'!$L551,TODAY(),"y"),"0")</f>
        <v>0</v>
      </c>
      <c r="N551" s="35" t="s">
        <v>42</v>
      </c>
      <c r="O551" s="35" t="s">
        <v>553</v>
      </c>
      <c r="P551" s="39" t="s">
        <v>554</v>
      </c>
      <c r="Q551" s="39">
        <v>18388</v>
      </c>
      <c r="R551" s="39">
        <v>18388</v>
      </c>
      <c r="S551" s="39">
        <v>10625</v>
      </c>
      <c r="T551" s="39">
        <v>5313</v>
      </c>
      <c r="U551" s="39">
        <v>750</v>
      </c>
      <c r="V551" s="39">
        <v>450</v>
      </c>
      <c r="W551" s="39">
        <v>0</v>
      </c>
      <c r="X551" s="39">
        <v>0</v>
      </c>
      <c r="Y551" s="39">
        <v>1250</v>
      </c>
      <c r="Z551" s="39">
        <v>450</v>
      </c>
      <c r="AA551" s="39">
        <v>350</v>
      </c>
      <c r="AB551" s="39">
        <v>6743</v>
      </c>
      <c r="AC551" s="39">
        <v>0</v>
      </c>
      <c r="AD551" s="39">
        <v>0</v>
      </c>
      <c r="AE551" s="39">
        <v>0</v>
      </c>
      <c r="AF551" s="39">
        <v>0</v>
      </c>
      <c r="AG551" s="39">
        <v>1000</v>
      </c>
      <c r="AH551" s="39">
        <v>0</v>
      </c>
      <c r="AI551" s="39">
        <v>0</v>
      </c>
      <c r="AJ551" s="39">
        <f>'Row data'!$S551+'Row data'!$T551+'Row data'!$U551+'Row data'!$W551+'Row data'!$X551+'Row data'!$Y551+'Row data'!$Z551+'Row data'!$AA551+'Row data'!$AB551+'Row data'!$AD551-'Row data'!$AC551-'Row data'!$AE551-'Row data'!$AF551-'Row data'!$AG551-'Row data'!$AH551-'Row data'!$AI551</f>
        <v>24481</v>
      </c>
      <c r="AK551" s="39">
        <v>24481</v>
      </c>
      <c r="AL551" s="39">
        <v>0</v>
      </c>
    </row>
    <row r="552" spans="1:38" x14ac:dyDescent="0.3">
      <c r="A552" s="40">
        <v>551</v>
      </c>
      <c r="B552" s="35" t="s">
        <v>375</v>
      </c>
      <c r="C552" s="35">
        <v>7538701</v>
      </c>
      <c r="D552" s="36" t="s">
        <v>925</v>
      </c>
      <c r="E552" s="35" t="s">
        <v>38</v>
      </c>
      <c r="F552" s="35" t="s">
        <v>474</v>
      </c>
      <c r="G552" s="35" t="s">
        <v>50</v>
      </c>
      <c r="H552" s="37"/>
      <c r="I552" s="38">
        <v>44263</v>
      </c>
      <c r="J552" s="38">
        <v>44565</v>
      </c>
      <c r="K552" s="17">
        <f>YEAR('Row data'!$J552)</f>
        <v>2022</v>
      </c>
      <c r="L552" s="38">
        <v>31416</v>
      </c>
      <c r="M552" s="35" t="str">
        <f ca="1">IF('Row data'!$J552="",DATEDIF('Row data'!$L552,TODAY(),"y"),"0")</f>
        <v>0</v>
      </c>
      <c r="N552" s="35" t="s">
        <v>42</v>
      </c>
      <c r="O552" s="35" t="s">
        <v>553</v>
      </c>
      <c r="P552" s="39" t="s">
        <v>554</v>
      </c>
      <c r="Q552" s="39">
        <v>13405</v>
      </c>
      <c r="R552" s="39">
        <v>13405</v>
      </c>
      <c r="S552" s="39">
        <v>7303</v>
      </c>
      <c r="T552" s="39">
        <v>3652</v>
      </c>
      <c r="U552" s="39">
        <v>750</v>
      </c>
      <c r="V552" s="39">
        <v>450</v>
      </c>
      <c r="W552" s="39">
        <v>0</v>
      </c>
      <c r="X552" s="39">
        <v>0</v>
      </c>
      <c r="Y552" s="39">
        <v>1250</v>
      </c>
      <c r="Z552" s="39">
        <v>450</v>
      </c>
      <c r="AA552" s="39">
        <v>350</v>
      </c>
      <c r="AB552" s="39">
        <v>4634</v>
      </c>
      <c r="AC552" s="39">
        <v>0</v>
      </c>
      <c r="AD552" s="39">
        <v>0</v>
      </c>
      <c r="AE552" s="39">
        <v>0</v>
      </c>
      <c r="AF552" s="39">
        <v>0</v>
      </c>
      <c r="AG552" s="39">
        <v>0</v>
      </c>
      <c r="AH552" s="39">
        <v>0</v>
      </c>
      <c r="AI552" s="39">
        <v>0</v>
      </c>
      <c r="AJ552" s="39">
        <f>'Row data'!$S552+'Row data'!$T552+'Row data'!$U552+'Row data'!$W552+'Row data'!$X552+'Row data'!$Y552+'Row data'!$Z552+'Row data'!$AA552+'Row data'!$AB552+'Row data'!$AD552-'Row data'!$AC552-'Row data'!$AE552-'Row data'!$AF552-'Row data'!$AG552-'Row data'!$AH552-'Row data'!$AI552</f>
        <v>18389</v>
      </c>
      <c r="AK552" s="39">
        <v>18389</v>
      </c>
      <c r="AL552" s="39">
        <v>0</v>
      </c>
    </row>
    <row r="553" spans="1:38" x14ac:dyDescent="0.3">
      <c r="A553" s="40">
        <v>552</v>
      </c>
      <c r="B553" s="35" t="s">
        <v>375</v>
      </c>
      <c r="C553" s="35">
        <v>7894030</v>
      </c>
      <c r="D553" s="36" t="s">
        <v>926</v>
      </c>
      <c r="E553" s="35" t="s">
        <v>38</v>
      </c>
      <c r="F553" s="35" t="s">
        <v>474</v>
      </c>
      <c r="G553" s="35" t="s">
        <v>164</v>
      </c>
      <c r="H553" s="37"/>
      <c r="I553" s="38">
        <v>44237</v>
      </c>
      <c r="J553" s="38"/>
      <c r="K553" s="17"/>
      <c r="L553" s="38">
        <v>33239</v>
      </c>
      <c r="M553" s="35">
        <f ca="1">IF('Row data'!$J553="",DATEDIF('Row data'!$L553,TODAY(),"y"),"0")</f>
        <v>35</v>
      </c>
      <c r="N553" s="35" t="s">
        <v>42</v>
      </c>
      <c r="O553" s="35" t="s">
        <v>553</v>
      </c>
      <c r="P553" s="39" t="s">
        <v>554</v>
      </c>
      <c r="Q553" s="39">
        <v>15337</v>
      </c>
      <c r="R553" s="39">
        <v>15337</v>
      </c>
      <c r="S553" s="39">
        <v>8591</v>
      </c>
      <c r="T553" s="39">
        <v>4296</v>
      </c>
      <c r="U553" s="39">
        <v>750</v>
      </c>
      <c r="V553" s="39">
        <v>450</v>
      </c>
      <c r="W553" s="39">
        <v>0</v>
      </c>
      <c r="X553" s="39">
        <v>0</v>
      </c>
      <c r="Y553" s="39">
        <v>1250</v>
      </c>
      <c r="Z553" s="39">
        <v>450</v>
      </c>
      <c r="AA553" s="39">
        <v>350</v>
      </c>
      <c r="AB553" s="39">
        <v>4626</v>
      </c>
      <c r="AC553" s="39">
        <v>0</v>
      </c>
      <c r="AD553" s="39">
        <v>0</v>
      </c>
      <c r="AE553" s="39">
        <v>0</v>
      </c>
      <c r="AF553" s="39">
        <v>0</v>
      </c>
      <c r="AG553" s="39">
        <v>0</v>
      </c>
      <c r="AH553" s="39">
        <v>0</v>
      </c>
      <c r="AI553" s="39">
        <v>0</v>
      </c>
      <c r="AJ553" s="39">
        <f>'Row data'!$S553+'Row data'!$T553+'Row data'!$U553+'Row data'!$W553+'Row data'!$X553+'Row data'!$Y553+'Row data'!$Z553+'Row data'!$AA553+'Row data'!$AB553+'Row data'!$AD553-'Row data'!$AC553-'Row data'!$AE553-'Row data'!$AF553-'Row data'!$AG553-'Row data'!$AH553-'Row data'!$AI553</f>
        <v>20313</v>
      </c>
      <c r="AK553" s="39">
        <v>20313</v>
      </c>
      <c r="AL553" s="39">
        <v>0</v>
      </c>
    </row>
    <row r="554" spans="1:38" x14ac:dyDescent="0.3">
      <c r="A554" s="40">
        <v>553</v>
      </c>
      <c r="B554" s="35" t="s">
        <v>375</v>
      </c>
      <c r="C554" s="35">
        <v>7733562</v>
      </c>
      <c r="D554" s="36" t="s">
        <v>927</v>
      </c>
      <c r="E554" s="35" t="s">
        <v>38</v>
      </c>
      <c r="F554" s="35" t="s">
        <v>474</v>
      </c>
      <c r="G554" s="35" t="s">
        <v>50</v>
      </c>
      <c r="H554" s="37"/>
      <c r="I554" s="38">
        <v>44360</v>
      </c>
      <c r="J554" s="38"/>
      <c r="K554" s="17"/>
      <c r="L554" s="38">
        <v>36893</v>
      </c>
      <c r="M554" s="35">
        <f ca="1">IF('Row data'!$J554="",DATEDIF('Row data'!$L554,TODAY(),"y"),"0")</f>
        <v>25</v>
      </c>
      <c r="N554" s="35" t="s">
        <v>42</v>
      </c>
      <c r="O554" s="35" t="s">
        <v>553</v>
      </c>
      <c r="P554" s="39" t="s">
        <v>554</v>
      </c>
      <c r="Q554" s="39">
        <v>13405</v>
      </c>
      <c r="R554" s="39">
        <v>13405</v>
      </c>
      <c r="S554" s="39">
        <v>7303</v>
      </c>
      <c r="T554" s="39">
        <v>3652</v>
      </c>
      <c r="U554" s="39">
        <v>750</v>
      </c>
      <c r="V554" s="39">
        <v>450</v>
      </c>
      <c r="W554" s="39">
        <v>0</v>
      </c>
      <c r="X554" s="39">
        <v>0</v>
      </c>
      <c r="Y554" s="39">
        <v>1250</v>
      </c>
      <c r="Z554" s="39">
        <v>450</v>
      </c>
      <c r="AA554" s="39">
        <v>350</v>
      </c>
      <c r="AB554" s="39">
        <v>4634</v>
      </c>
      <c r="AC554" s="39">
        <v>0</v>
      </c>
      <c r="AD554" s="39">
        <v>0</v>
      </c>
      <c r="AE554" s="39">
        <v>0</v>
      </c>
      <c r="AF554" s="39">
        <v>0</v>
      </c>
      <c r="AG554" s="39">
        <v>0</v>
      </c>
      <c r="AH554" s="39">
        <v>0</v>
      </c>
      <c r="AI554" s="39">
        <v>0</v>
      </c>
      <c r="AJ554" s="39">
        <f>'Row data'!$S554+'Row data'!$T554+'Row data'!$U554+'Row data'!$W554+'Row data'!$X554+'Row data'!$Y554+'Row data'!$Z554+'Row data'!$AA554+'Row data'!$AB554+'Row data'!$AD554-'Row data'!$AC554-'Row data'!$AE554-'Row data'!$AF554-'Row data'!$AG554-'Row data'!$AH554-'Row data'!$AI554</f>
        <v>18389</v>
      </c>
      <c r="AK554" s="39">
        <v>18389</v>
      </c>
      <c r="AL554" s="39">
        <v>0</v>
      </c>
    </row>
    <row r="555" spans="1:38" x14ac:dyDescent="0.3">
      <c r="A555" s="40">
        <v>554</v>
      </c>
      <c r="B555" s="35" t="s">
        <v>375</v>
      </c>
      <c r="C555" s="35">
        <v>5110704</v>
      </c>
      <c r="D555" s="36" t="s">
        <v>928</v>
      </c>
      <c r="E555" s="35" t="s">
        <v>38</v>
      </c>
      <c r="F555" s="35" t="s">
        <v>474</v>
      </c>
      <c r="G555" s="35" t="s">
        <v>50</v>
      </c>
      <c r="H555" s="37"/>
      <c r="I555" s="38">
        <v>44362</v>
      </c>
      <c r="J555" s="38"/>
      <c r="K555" s="17"/>
      <c r="L555" s="38">
        <v>36901</v>
      </c>
      <c r="M555" s="35">
        <f ca="1">IF('Row data'!$J555="",DATEDIF('Row data'!$L555,TODAY(),"y"),"0")</f>
        <v>25</v>
      </c>
      <c r="N555" s="35" t="s">
        <v>42</v>
      </c>
      <c r="O555" s="35" t="s">
        <v>553</v>
      </c>
      <c r="P555" s="39" t="s">
        <v>554</v>
      </c>
      <c r="Q555" s="39">
        <v>13405</v>
      </c>
      <c r="R555" s="39">
        <v>13405</v>
      </c>
      <c r="S555" s="39">
        <v>7303</v>
      </c>
      <c r="T555" s="39">
        <v>3652</v>
      </c>
      <c r="U555" s="39">
        <v>750</v>
      </c>
      <c r="V555" s="39">
        <v>450</v>
      </c>
      <c r="W555" s="39">
        <v>0</v>
      </c>
      <c r="X555" s="39">
        <v>0</v>
      </c>
      <c r="Y555" s="39">
        <v>1250</v>
      </c>
      <c r="Z555" s="39">
        <v>450</v>
      </c>
      <c r="AA555" s="39">
        <v>0</v>
      </c>
      <c r="AB555" s="39">
        <v>0</v>
      </c>
      <c r="AC555" s="39">
        <v>0</v>
      </c>
      <c r="AD555" s="39">
        <v>0</v>
      </c>
      <c r="AE555" s="39">
        <v>0</v>
      </c>
      <c r="AF555" s="39">
        <v>0</v>
      </c>
      <c r="AG555" s="39">
        <v>0</v>
      </c>
      <c r="AH555" s="39">
        <v>0</v>
      </c>
      <c r="AI555" s="39">
        <v>0</v>
      </c>
      <c r="AJ555" s="39">
        <f>'Row data'!$S555+'Row data'!$T555+'Row data'!$U555+'Row data'!$W555+'Row data'!$X555+'Row data'!$Y555+'Row data'!$Z555+'Row data'!$AA555+'Row data'!$AB555+'Row data'!$AD555-'Row data'!$AC555-'Row data'!$AE555-'Row data'!$AF555-'Row data'!$AG555-'Row data'!$AH555-'Row data'!$AI555</f>
        <v>13405</v>
      </c>
      <c r="AK555" s="39">
        <v>13405</v>
      </c>
      <c r="AL555" s="39">
        <v>0</v>
      </c>
    </row>
    <row r="556" spans="1:38" x14ac:dyDescent="0.3">
      <c r="A556" s="40">
        <v>555</v>
      </c>
      <c r="B556" s="35" t="s">
        <v>375</v>
      </c>
      <c r="C556" s="35">
        <v>7799229</v>
      </c>
      <c r="D556" s="36" t="s">
        <v>929</v>
      </c>
      <c r="E556" s="35" t="s">
        <v>38</v>
      </c>
      <c r="F556" s="35" t="s">
        <v>474</v>
      </c>
      <c r="G556" s="35" t="s">
        <v>164</v>
      </c>
      <c r="H556" s="37"/>
      <c r="I556" s="38">
        <v>44382</v>
      </c>
      <c r="J556" s="38">
        <v>44562</v>
      </c>
      <c r="K556" s="17">
        <f>YEAR('Row data'!$J556)</f>
        <v>2022</v>
      </c>
      <c r="L556" s="38">
        <v>28856</v>
      </c>
      <c r="M556" s="35" t="str">
        <f ca="1">IF('Row data'!$J556="",DATEDIF('Row data'!$L556,TODAY(),"y"),"0")</f>
        <v>0</v>
      </c>
      <c r="N556" s="35" t="s">
        <v>42</v>
      </c>
      <c r="O556" s="35" t="s">
        <v>553</v>
      </c>
      <c r="P556" s="39" t="s">
        <v>554</v>
      </c>
      <c r="Q556" s="39">
        <v>15337</v>
      </c>
      <c r="R556" s="39">
        <v>14723</v>
      </c>
      <c r="S556" s="39">
        <v>8591</v>
      </c>
      <c r="T556" s="39">
        <v>4296</v>
      </c>
      <c r="U556" s="39">
        <v>750</v>
      </c>
      <c r="V556" s="39">
        <v>450</v>
      </c>
      <c r="W556" s="39">
        <v>0</v>
      </c>
      <c r="X556" s="39">
        <v>0</v>
      </c>
      <c r="Y556" s="39">
        <v>1250</v>
      </c>
      <c r="Z556" s="39">
        <v>450</v>
      </c>
      <c r="AA556" s="39">
        <v>0</v>
      </c>
      <c r="AB556" s="39">
        <v>0</v>
      </c>
      <c r="AC556" s="39">
        <v>0</v>
      </c>
      <c r="AD556" s="39">
        <v>0</v>
      </c>
      <c r="AE556" s="39">
        <v>614</v>
      </c>
      <c r="AF556" s="39">
        <v>0</v>
      </c>
      <c r="AG556" s="39">
        <v>500</v>
      </c>
      <c r="AH556" s="39">
        <v>0</v>
      </c>
      <c r="AI556" s="39">
        <v>0</v>
      </c>
      <c r="AJ556" s="39">
        <f>'Row data'!$S556+'Row data'!$T556+'Row data'!$U556+'Row data'!$W556+'Row data'!$X556+'Row data'!$Y556+'Row data'!$Z556+'Row data'!$AA556+'Row data'!$AB556+'Row data'!$AD556-'Row data'!$AC556-'Row data'!$AE556-'Row data'!$AF556-'Row data'!$AG556-'Row data'!$AH556-'Row data'!$AI556</f>
        <v>14223</v>
      </c>
      <c r="AK556" s="39">
        <v>14223</v>
      </c>
      <c r="AL556" s="39">
        <v>0</v>
      </c>
    </row>
    <row r="557" spans="1:38" x14ac:dyDescent="0.3">
      <c r="A557" s="40">
        <v>556</v>
      </c>
      <c r="B557" s="35" t="s">
        <v>375</v>
      </c>
      <c r="C557" s="35">
        <v>7176230</v>
      </c>
      <c r="D557" s="36" t="s">
        <v>930</v>
      </c>
      <c r="E557" s="35" t="s">
        <v>38</v>
      </c>
      <c r="F557" s="35" t="s">
        <v>474</v>
      </c>
      <c r="G557" s="35" t="s">
        <v>595</v>
      </c>
      <c r="H557" s="37"/>
      <c r="I557" s="38">
        <v>43010</v>
      </c>
      <c r="J557" s="38">
        <v>44595</v>
      </c>
      <c r="K557" s="17">
        <f>YEAR('Row data'!$J557)</f>
        <v>2022</v>
      </c>
      <c r="L557" s="38">
        <v>31811</v>
      </c>
      <c r="M557" s="35" t="str">
        <f ca="1">IF('Row data'!$J557="",DATEDIF('Row data'!$L557,TODAY(),"y"),"0")</f>
        <v>0</v>
      </c>
      <c r="N557" s="35" t="s">
        <v>42</v>
      </c>
      <c r="O557" s="35" t="s">
        <v>553</v>
      </c>
      <c r="P557" s="39" t="s">
        <v>554</v>
      </c>
      <c r="Q557" s="39">
        <v>13514</v>
      </c>
      <c r="R557" s="39">
        <v>13514</v>
      </c>
      <c r="S557" s="39">
        <v>7376</v>
      </c>
      <c r="T557" s="39">
        <v>3688</v>
      </c>
      <c r="U557" s="39">
        <v>750</v>
      </c>
      <c r="V557" s="39">
        <v>450</v>
      </c>
      <c r="W557" s="39">
        <v>0</v>
      </c>
      <c r="X557" s="39">
        <v>0</v>
      </c>
      <c r="Y557" s="39">
        <v>1250</v>
      </c>
      <c r="Z557" s="39">
        <v>450</v>
      </c>
      <c r="AA557" s="39">
        <v>0</v>
      </c>
      <c r="AB557" s="39">
        <v>0</v>
      </c>
      <c r="AC557" s="39">
        <v>0</v>
      </c>
      <c r="AD557" s="39">
        <v>0</v>
      </c>
      <c r="AE557" s="39">
        <v>0</v>
      </c>
      <c r="AF557" s="39">
        <v>0</v>
      </c>
      <c r="AG557" s="39">
        <v>500</v>
      </c>
      <c r="AH557" s="39">
        <v>0</v>
      </c>
      <c r="AI557" s="39">
        <v>0</v>
      </c>
      <c r="AJ557" s="39">
        <f>'Row data'!$S557+'Row data'!$T557+'Row data'!$U557+'Row data'!$W557+'Row data'!$X557+'Row data'!$Y557+'Row data'!$Z557+'Row data'!$AA557+'Row data'!$AB557+'Row data'!$AD557-'Row data'!$AC557-'Row data'!$AE557-'Row data'!$AF557-'Row data'!$AG557-'Row data'!$AH557-'Row data'!$AI557</f>
        <v>13014</v>
      </c>
      <c r="AK557" s="39">
        <v>13014</v>
      </c>
      <c r="AL557" s="39">
        <v>0</v>
      </c>
    </row>
    <row r="558" spans="1:38" x14ac:dyDescent="0.3">
      <c r="A558" s="40">
        <v>557</v>
      </c>
      <c r="B558" s="35" t="s">
        <v>375</v>
      </c>
      <c r="C558" s="35">
        <v>7182086</v>
      </c>
      <c r="D558" s="36" t="s">
        <v>931</v>
      </c>
      <c r="E558" s="35" t="s">
        <v>38</v>
      </c>
      <c r="F558" s="35" t="s">
        <v>474</v>
      </c>
      <c r="G558" s="35" t="s">
        <v>595</v>
      </c>
      <c r="H558" s="37"/>
      <c r="I558" s="38">
        <v>41762</v>
      </c>
      <c r="J558" s="38">
        <v>44839</v>
      </c>
      <c r="K558" s="17">
        <f>YEAR('Row data'!$J558)</f>
        <v>2022</v>
      </c>
      <c r="L558" s="38">
        <v>28403</v>
      </c>
      <c r="M558" s="35" t="str">
        <f ca="1">IF('Row data'!$J558="",DATEDIF('Row data'!$L558,TODAY(),"y"),"0")</f>
        <v>0</v>
      </c>
      <c r="N558" s="35" t="s">
        <v>42</v>
      </c>
      <c r="O558" s="35" t="s">
        <v>553</v>
      </c>
      <c r="P558" s="39" t="s">
        <v>554</v>
      </c>
      <c r="Q558" s="39">
        <v>14734</v>
      </c>
      <c r="R558" s="39">
        <v>14734</v>
      </c>
      <c r="S558" s="39">
        <v>8189</v>
      </c>
      <c r="T558" s="39">
        <v>4095</v>
      </c>
      <c r="U558" s="39">
        <v>750</v>
      </c>
      <c r="V558" s="39">
        <v>450</v>
      </c>
      <c r="W558" s="39">
        <v>0</v>
      </c>
      <c r="X558" s="39">
        <v>0</v>
      </c>
      <c r="Y558" s="39">
        <v>1250</v>
      </c>
      <c r="Z558" s="39">
        <v>450</v>
      </c>
      <c r="AA558" s="39">
        <v>350</v>
      </c>
      <c r="AB558" s="39">
        <v>0</v>
      </c>
      <c r="AC558" s="39">
        <v>0</v>
      </c>
      <c r="AD558" s="39">
        <v>0</v>
      </c>
      <c r="AE558" s="39">
        <v>0</v>
      </c>
      <c r="AF558" s="39">
        <v>0</v>
      </c>
      <c r="AG558" s="39">
        <v>0</v>
      </c>
      <c r="AH558" s="39">
        <v>0</v>
      </c>
      <c r="AI558" s="39">
        <v>0</v>
      </c>
      <c r="AJ558" s="39">
        <f>'Row data'!$S558+'Row data'!$T558+'Row data'!$U558+'Row data'!$W558+'Row data'!$X558+'Row data'!$Y558+'Row data'!$Z558+'Row data'!$AA558+'Row data'!$AB558+'Row data'!$AD558-'Row data'!$AC558-'Row data'!$AE558-'Row data'!$AF558-'Row data'!$AG558-'Row data'!$AH558-'Row data'!$AI558</f>
        <v>15084</v>
      </c>
      <c r="AK558" s="39">
        <v>15084</v>
      </c>
      <c r="AL558" s="39">
        <v>0</v>
      </c>
    </row>
    <row r="559" spans="1:38" x14ac:dyDescent="0.3">
      <c r="A559" s="40">
        <v>558</v>
      </c>
      <c r="B559" s="35" t="s">
        <v>375</v>
      </c>
      <c r="C559" s="35">
        <v>6586242</v>
      </c>
      <c r="D559" s="36" t="s">
        <v>932</v>
      </c>
      <c r="E559" s="35" t="s">
        <v>38</v>
      </c>
      <c r="F559" s="35" t="s">
        <v>474</v>
      </c>
      <c r="G559" s="35" t="s">
        <v>598</v>
      </c>
      <c r="H559" s="37"/>
      <c r="I559" s="38">
        <v>42675</v>
      </c>
      <c r="J559" s="38">
        <v>44562</v>
      </c>
      <c r="K559" s="17">
        <f>YEAR('Row data'!$J559)</f>
        <v>2022</v>
      </c>
      <c r="L559" s="38">
        <v>29587</v>
      </c>
      <c r="M559" s="35" t="str">
        <f ca="1">IF('Row data'!$J559="",DATEDIF('Row data'!$L559,TODAY(),"y"),"0")</f>
        <v>0</v>
      </c>
      <c r="N559" s="35" t="s">
        <v>42</v>
      </c>
      <c r="O559" s="35" t="s">
        <v>553</v>
      </c>
      <c r="P559" s="39" t="s">
        <v>554</v>
      </c>
      <c r="Q559" s="39">
        <v>13622</v>
      </c>
      <c r="R559" s="39">
        <v>13622</v>
      </c>
      <c r="S559" s="39">
        <v>7448</v>
      </c>
      <c r="T559" s="39">
        <v>3724</v>
      </c>
      <c r="U559" s="39">
        <v>750</v>
      </c>
      <c r="V559" s="39">
        <v>450</v>
      </c>
      <c r="W559" s="39">
        <v>0</v>
      </c>
      <c r="X559" s="39">
        <v>0</v>
      </c>
      <c r="Y559" s="39">
        <v>1250</v>
      </c>
      <c r="Z559" s="39">
        <v>450</v>
      </c>
      <c r="AA559" s="39">
        <v>350</v>
      </c>
      <c r="AB559" s="39">
        <v>0</v>
      </c>
      <c r="AC559" s="39">
        <v>0</v>
      </c>
      <c r="AD559" s="39">
        <v>0</v>
      </c>
      <c r="AE559" s="39">
        <v>0</v>
      </c>
      <c r="AF559" s="39">
        <v>0</v>
      </c>
      <c r="AG559" s="39">
        <v>0</v>
      </c>
      <c r="AH559" s="39">
        <v>0</v>
      </c>
      <c r="AI559" s="39">
        <v>0</v>
      </c>
      <c r="AJ559" s="39">
        <f>'Row data'!$S559+'Row data'!$T559+'Row data'!$U559+'Row data'!$W559+'Row data'!$X559+'Row data'!$Y559+'Row data'!$Z559+'Row data'!$AA559+'Row data'!$AB559+'Row data'!$AD559-'Row data'!$AC559-'Row data'!$AE559-'Row data'!$AF559-'Row data'!$AG559-'Row data'!$AH559-'Row data'!$AI559</f>
        <v>13972</v>
      </c>
      <c r="AK559" s="39">
        <v>13972</v>
      </c>
      <c r="AL559" s="39">
        <v>0</v>
      </c>
    </row>
    <row r="560" spans="1:38" x14ac:dyDescent="0.3">
      <c r="A560" s="40">
        <v>559</v>
      </c>
      <c r="B560" s="35" t="s">
        <v>375</v>
      </c>
      <c r="C560" s="35">
        <v>6765613</v>
      </c>
      <c r="D560" s="36" t="s">
        <v>933</v>
      </c>
      <c r="E560" s="35" t="s">
        <v>38</v>
      </c>
      <c r="F560" s="35" t="s">
        <v>474</v>
      </c>
      <c r="G560" s="35" t="s">
        <v>934</v>
      </c>
      <c r="H560" s="37"/>
      <c r="I560" s="38">
        <v>42675</v>
      </c>
      <c r="J560" s="38"/>
      <c r="K560" s="17"/>
      <c r="L560" s="38">
        <v>35797</v>
      </c>
      <c r="M560" s="35">
        <f ca="1">IF('Row data'!$J560="",DATEDIF('Row data'!$L560,TODAY(),"y"),"0")</f>
        <v>28</v>
      </c>
      <c r="N560" s="35" t="s">
        <v>42</v>
      </c>
      <c r="O560" s="35" t="s">
        <v>553</v>
      </c>
      <c r="P560" s="39" t="s">
        <v>554</v>
      </c>
      <c r="Q560" s="39">
        <v>14549</v>
      </c>
      <c r="R560" s="39">
        <v>14549</v>
      </c>
      <c r="S560" s="39">
        <v>8066</v>
      </c>
      <c r="T560" s="39">
        <v>4033</v>
      </c>
      <c r="U560" s="39">
        <v>750</v>
      </c>
      <c r="V560" s="39">
        <v>450</v>
      </c>
      <c r="W560" s="39">
        <v>0</v>
      </c>
      <c r="X560" s="39">
        <v>0</v>
      </c>
      <c r="Y560" s="39">
        <v>1250</v>
      </c>
      <c r="Z560" s="39">
        <v>450</v>
      </c>
      <c r="AA560" s="39">
        <v>0</v>
      </c>
      <c r="AB560" s="39">
        <v>0</v>
      </c>
      <c r="AC560" s="39">
        <v>0</v>
      </c>
      <c r="AD560" s="39">
        <v>0</v>
      </c>
      <c r="AE560" s="39">
        <v>0</v>
      </c>
      <c r="AF560" s="39">
        <v>0</v>
      </c>
      <c r="AG560" s="39">
        <v>0</v>
      </c>
      <c r="AH560" s="39">
        <v>0</v>
      </c>
      <c r="AI560" s="39">
        <v>0</v>
      </c>
      <c r="AJ560" s="39">
        <f>'Row data'!$S560+'Row data'!$T560+'Row data'!$U560+'Row data'!$W560+'Row data'!$X560+'Row data'!$Y560+'Row data'!$Z560+'Row data'!$AA560+'Row data'!$AB560+'Row data'!$AD560-'Row data'!$AC560-'Row data'!$AE560-'Row data'!$AF560-'Row data'!$AG560-'Row data'!$AH560-'Row data'!$AI560</f>
        <v>14549</v>
      </c>
      <c r="AK560" s="39">
        <v>14549</v>
      </c>
      <c r="AL560" s="39">
        <v>0</v>
      </c>
    </row>
    <row r="561" spans="1:38" x14ac:dyDescent="0.3">
      <c r="A561" s="40">
        <v>560</v>
      </c>
      <c r="B561" s="35" t="s">
        <v>375</v>
      </c>
      <c r="C561" s="35">
        <v>7667724</v>
      </c>
      <c r="D561" s="36" t="s">
        <v>935</v>
      </c>
      <c r="E561" s="35" t="s">
        <v>38</v>
      </c>
      <c r="F561" s="35" t="s">
        <v>488</v>
      </c>
      <c r="G561" s="35" t="s">
        <v>848</v>
      </c>
      <c r="H561" s="37"/>
      <c r="I561" s="38">
        <v>36312</v>
      </c>
      <c r="J561" s="38">
        <v>44562</v>
      </c>
      <c r="K561" s="17">
        <f>YEAR('Row data'!$J561)</f>
        <v>2022</v>
      </c>
      <c r="L561" s="38">
        <v>30387</v>
      </c>
      <c r="M561" s="35" t="str">
        <f ca="1">IF('Row data'!$J561="",DATEDIF('Row data'!$L561,TODAY(),"y"),"0")</f>
        <v>0</v>
      </c>
      <c r="N561" s="35" t="s">
        <v>75</v>
      </c>
      <c r="O561" s="35" t="s">
        <v>553</v>
      </c>
      <c r="P561" s="39" t="s">
        <v>554</v>
      </c>
      <c r="Q561" s="39">
        <v>18838</v>
      </c>
      <c r="R561" s="39">
        <v>18838</v>
      </c>
      <c r="S561" s="39">
        <v>10925</v>
      </c>
      <c r="T561" s="39">
        <v>5463</v>
      </c>
      <c r="U561" s="39">
        <v>750</v>
      </c>
      <c r="V561" s="39">
        <v>450</v>
      </c>
      <c r="W561" s="39">
        <v>0</v>
      </c>
      <c r="X561" s="39">
        <v>0</v>
      </c>
      <c r="Y561" s="39">
        <v>1250</v>
      </c>
      <c r="Z561" s="39">
        <v>450</v>
      </c>
      <c r="AA561" s="39">
        <v>250</v>
      </c>
      <c r="AB561" s="39">
        <v>0</v>
      </c>
      <c r="AC561" s="39">
        <v>0</v>
      </c>
      <c r="AD561" s="39">
        <v>0</v>
      </c>
      <c r="AE561" s="39">
        <v>0</v>
      </c>
      <c r="AF561" s="39">
        <v>0</v>
      </c>
      <c r="AG561" s="39">
        <v>1500</v>
      </c>
      <c r="AH561" s="39">
        <v>0</v>
      </c>
      <c r="AI561" s="39">
        <v>0</v>
      </c>
      <c r="AJ561" s="39">
        <f>'Row data'!$S561+'Row data'!$T561+'Row data'!$U561+'Row data'!$W561+'Row data'!$X561+'Row data'!$Y561+'Row data'!$Z561+'Row data'!$AA561+'Row data'!$AB561+'Row data'!$AD561-'Row data'!$AC561-'Row data'!$AE561-'Row data'!$AF561-'Row data'!$AG561-'Row data'!$AH561-'Row data'!$AI561</f>
        <v>17588</v>
      </c>
      <c r="AK561" s="39">
        <v>17588</v>
      </c>
      <c r="AL561" s="39">
        <v>0</v>
      </c>
    </row>
    <row r="562" spans="1:38" x14ac:dyDescent="0.3">
      <c r="A562" s="40">
        <v>561</v>
      </c>
      <c r="B562" s="35" t="s">
        <v>375</v>
      </c>
      <c r="C562" s="35">
        <v>5568969</v>
      </c>
      <c r="D562" s="36" t="s">
        <v>936</v>
      </c>
      <c r="E562" s="35" t="s">
        <v>38</v>
      </c>
      <c r="F562" s="35" t="s">
        <v>488</v>
      </c>
      <c r="G562" s="35" t="s">
        <v>634</v>
      </c>
      <c r="H562" s="37"/>
      <c r="I562" s="38">
        <v>35952</v>
      </c>
      <c r="J562" s="38">
        <v>43101</v>
      </c>
      <c r="K562" s="17">
        <f>YEAR('Row data'!$J562)</f>
        <v>2018</v>
      </c>
      <c r="L562" s="38">
        <v>26918</v>
      </c>
      <c r="M562" s="35" t="str">
        <f ca="1">IF('Row data'!$J562="",DATEDIF('Row data'!$L562,TODAY(),"y"),"0")</f>
        <v>0</v>
      </c>
      <c r="N562" s="35" t="s">
        <v>75</v>
      </c>
      <c r="O562" s="35" t="s">
        <v>553</v>
      </c>
      <c r="P562" s="39" t="s">
        <v>554</v>
      </c>
      <c r="Q562" s="39">
        <v>19514</v>
      </c>
      <c r="R562" s="39">
        <v>19514</v>
      </c>
      <c r="S562" s="39">
        <v>11376</v>
      </c>
      <c r="T562" s="39">
        <v>5688</v>
      </c>
      <c r="U562" s="39">
        <v>750</v>
      </c>
      <c r="V562" s="39">
        <v>450</v>
      </c>
      <c r="W562" s="39">
        <v>0</v>
      </c>
      <c r="X562" s="39">
        <v>0</v>
      </c>
      <c r="Y562" s="39">
        <v>1250</v>
      </c>
      <c r="Z562" s="39">
        <v>450</v>
      </c>
      <c r="AA562" s="39">
        <v>350</v>
      </c>
      <c r="AB562" s="39">
        <v>0</v>
      </c>
      <c r="AC562" s="39">
        <v>0</v>
      </c>
      <c r="AD562" s="39">
        <v>0</v>
      </c>
      <c r="AE562" s="39">
        <v>0</v>
      </c>
      <c r="AF562" s="39">
        <v>0</v>
      </c>
      <c r="AG562" s="39">
        <v>0</v>
      </c>
      <c r="AH562" s="39">
        <v>0</v>
      </c>
      <c r="AI562" s="39">
        <v>0</v>
      </c>
      <c r="AJ562" s="39">
        <f>'Row data'!$S562+'Row data'!$T562+'Row data'!$U562+'Row data'!$W562+'Row data'!$X562+'Row data'!$Y562+'Row data'!$Z562+'Row data'!$AA562+'Row data'!$AB562+'Row data'!$AD562-'Row data'!$AC562-'Row data'!$AE562-'Row data'!$AF562-'Row data'!$AG562-'Row data'!$AH562-'Row data'!$AI562</f>
        <v>19864</v>
      </c>
      <c r="AK562" s="39">
        <v>19864</v>
      </c>
      <c r="AL562" s="39">
        <v>0</v>
      </c>
    </row>
    <row r="563" spans="1:38" x14ac:dyDescent="0.3">
      <c r="A563" s="40">
        <v>562</v>
      </c>
      <c r="B563" s="35" t="s">
        <v>375</v>
      </c>
      <c r="C563" s="35">
        <v>5645062</v>
      </c>
      <c r="D563" s="36" t="s">
        <v>937</v>
      </c>
      <c r="E563" s="35" t="s">
        <v>38</v>
      </c>
      <c r="F563" s="35" t="s">
        <v>488</v>
      </c>
      <c r="G563" s="35" t="s">
        <v>938</v>
      </c>
      <c r="H563" s="37"/>
      <c r="I563" s="38">
        <v>42575</v>
      </c>
      <c r="J563" s="38">
        <v>43101</v>
      </c>
      <c r="K563" s="17">
        <f>YEAR('Row data'!$J563)</f>
        <v>2018</v>
      </c>
      <c r="L563" s="38">
        <v>29773</v>
      </c>
      <c r="M563" s="35" t="str">
        <f ca="1">IF('Row data'!$J563="",DATEDIF('Row data'!$L563,TODAY(),"y"),"0")</f>
        <v>0</v>
      </c>
      <c r="N563" s="35" t="s">
        <v>42</v>
      </c>
      <c r="O563" s="35" t="s">
        <v>553</v>
      </c>
      <c r="P563" s="39" t="s">
        <v>554</v>
      </c>
      <c r="Q563" s="39">
        <v>13458</v>
      </c>
      <c r="R563" s="39">
        <v>13458</v>
      </c>
      <c r="S563" s="39">
        <v>7339</v>
      </c>
      <c r="T563" s="39">
        <v>3669</v>
      </c>
      <c r="U563" s="39">
        <v>750</v>
      </c>
      <c r="V563" s="39">
        <v>450</v>
      </c>
      <c r="W563" s="39">
        <v>0</v>
      </c>
      <c r="X563" s="39">
        <v>0</v>
      </c>
      <c r="Y563" s="39">
        <v>1250</v>
      </c>
      <c r="Z563" s="39">
        <v>450</v>
      </c>
      <c r="AA563" s="39">
        <v>350</v>
      </c>
      <c r="AB563" s="39">
        <v>0</v>
      </c>
      <c r="AC563" s="39">
        <v>0</v>
      </c>
      <c r="AD563" s="39">
        <v>0</v>
      </c>
      <c r="AE563" s="39">
        <v>0</v>
      </c>
      <c r="AF563" s="39">
        <v>0</v>
      </c>
      <c r="AG563" s="39">
        <v>0</v>
      </c>
      <c r="AH563" s="39">
        <v>0</v>
      </c>
      <c r="AI563" s="39">
        <v>0</v>
      </c>
      <c r="AJ563" s="39">
        <f>'Row data'!$S563+'Row data'!$T563+'Row data'!$U563+'Row data'!$W563+'Row data'!$X563+'Row data'!$Y563+'Row data'!$Z563+'Row data'!$AA563+'Row data'!$AB563+'Row data'!$AD563-'Row data'!$AC563-'Row data'!$AE563-'Row data'!$AF563-'Row data'!$AG563-'Row data'!$AH563-'Row data'!$AI563</f>
        <v>13808</v>
      </c>
      <c r="AK563" s="39">
        <v>13808</v>
      </c>
      <c r="AL563" s="39">
        <v>0</v>
      </c>
    </row>
    <row r="564" spans="1:38" x14ac:dyDescent="0.3">
      <c r="A564" s="40">
        <v>563</v>
      </c>
      <c r="B564" s="35" t="s">
        <v>375</v>
      </c>
      <c r="C564" s="35">
        <v>6461409</v>
      </c>
      <c r="D564" s="36" t="s">
        <v>939</v>
      </c>
      <c r="E564" s="35" t="s">
        <v>38</v>
      </c>
      <c r="F564" s="35" t="s">
        <v>488</v>
      </c>
      <c r="G564" s="35" t="s">
        <v>848</v>
      </c>
      <c r="H564" s="37"/>
      <c r="I564" s="38">
        <v>37657</v>
      </c>
      <c r="J564" s="38"/>
      <c r="K564" s="17"/>
      <c r="L564" s="38">
        <v>30038</v>
      </c>
      <c r="M564" s="35">
        <f ca="1">IF('Row data'!$J564="",DATEDIF('Row data'!$L564,TODAY(),"y"),"0")</f>
        <v>44</v>
      </c>
      <c r="N564" s="35" t="s">
        <v>75</v>
      </c>
      <c r="O564" s="35" t="s">
        <v>553</v>
      </c>
      <c r="P564" s="39" t="s">
        <v>554</v>
      </c>
      <c r="Q564" s="39">
        <v>17711</v>
      </c>
      <c r="R564" s="39">
        <v>17711</v>
      </c>
      <c r="S564" s="39">
        <v>10174</v>
      </c>
      <c r="T564" s="39">
        <v>5087</v>
      </c>
      <c r="U564" s="39">
        <v>750</v>
      </c>
      <c r="V564" s="39">
        <v>450</v>
      </c>
      <c r="W564" s="39">
        <v>0</v>
      </c>
      <c r="X564" s="39">
        <v>0</v>
      </c>
      <c r="Y564" s="39">
        <v>1250</v>
      </c>
      <c r="Z564" s="39">
        <v>450</v>
      </c>
      <c r="AA564" s="39">
        <v>350</v>
      </c>
      <c r="AB564" s="39">
        <v>0</v>
      </c>
      <c r="AC564" s="39">
        <v>0</v>
      </c>
      <c r="AD564" s="39">
        <v>0</v>
      </c>
      <c r="AE564" s="39">
        <v>0</v>
      </c>
      <c r="AF564" s="39">
        <v>0</v>
      </c>
      <c r="AG564" s="39">
        <v>0</v>
      </c>
      <c r="AH564" s="39">
        <v>0</v>
      </c>
      <c r="AI564" s="39">
        <v>0</v>
      </c>
      <c r="AJ564" s="39">
        <f>'Row data'!$S564+'Row data'!$T564+'Row data'!$U564+'Row data'!$W564+'Row data'!$X564+'Row data'!$Y564+'Row data'!$Z564+'Row data'!$AA564+'Row data'!$AB564+'Row data'!$AD564-'Row data'!$AC564-'Row data'!$AE564-'Row data'!$AF564-'Row data'!$AG564-'Row data'!$AH564-'Row data'!$AI564</f>
        <v>18061</v>
      </c>
      <c r="AK564" s="39">
        <v>18061</v>
      </c>
      <c r="AL564" s="39">
        <v>0</v>
      </c>
    </row>
    <row r="565" spans="1:38" x14ac:dyDescent="0.3">
      <c r="A565" s="40">
        <v>564</v>
      </c>
      <c r="B565" s="35" t="s">
        <v>375</v>
      </c>
      <c r="C565" s="35">
        <v>8278426</v>
      </c>
      <c r="D565" s="36" t="s">
        <v>940</v>
      </c>
      <c r="E565" s="35" t="s">
        <v>38</v>
      </c>
      <c r="F565" s="35" t="s">
        <v>488</v>
      </c>
      <c r="G565" s="35" t="s">
        <v>938</v>
      </c>
      <c r="H565" s="37"/>
      <c r="I565" s="38">
        <v>41711</v>
      </c>
      <c r="J565" s="38"/>
      <c r="K565" s="17"/>
      <c r="L565" s="38">
        <v>34035</v>
      </c>
      <c r="M565" s="35">
        <f ca="1">IF('Row data'!$J565="",DATEDIF('Row data'!$L565,TODAY(),"y"),"0")</f>
        <v>33</v>
      </c>
      <c r="N565" s="35" t="s">
        <v>42</v>
      </c>
      <c r="O565" s="35" t="s">
        <v>553</v>
      </c>
      <c r="P565" s="39" t="s">
        <v>554</v>
      </c>
      <c r="Q565" s="39">
        <v>15126</v>
      </c>
      <c r="R565" s="39">
        <v>15126</v>
      </c>
      <c r="S565" s="39">
        <v>8451</v>
      </c>
      <c r="T565" s="39">
        <v>4225</v>
      </c>
      <c r="U565" s="39">
        <v>750</v>
      </c>
      <c r="V565" s="39">
        <v>450</v>
      </c>
      <c r="W565" s="39">
        <v>0</v>
      </c>
      <c r="X565" s="39">
        <v>0</v>
      </c>
      <c r="Y565" s="39">
        <v>1250</v>
      </c>
      <c r="Z565" s="39">
        <v>450</v>
      </c>
      <c r="AA565" s="39">
        <v>350</v>
      </c>
      <c r="AB565" s="39">
        <v>0</v>
      </c>
      <c r="AC565" s="39">
        <v>0</v>
      </c>
      <c r="AD565" s="39">
        <v>0</v>
      </c>
      <c r="AE565" s="39">
        <v>0</v>
      </c>
      <c r="AF565" s="39">
        <v>0</v>
      </c>
      <c r="AG565" s="39">
        <v>0</v>
      </c>
      <c r="AH565" s="39">
        <v>0</v>
      </c>
      <c r="AI565" s="39">
        <v>0</v>
      </c>
      <c r="AJ565" s="39">
        <f>'Row data'!$S565+'Row data'!$T565+'Row data'!$U565+'Row data'!$W565+'Row data'!$X565+'Row data'!$Y565+'Row data'!$Z565+'Row data'!$AA565+'Row data'!$AB565+'Row data'!$AD565-'Row data'!$AC565-'Row data'!$AE565-'Row data'!$AF565-'Row data'!$AG565-'Row data'!$AH565-'Row data'!$AI565</f>
        <v>15476</v>
      </c>
      <c r="AK565" s="39">
        <v>15476</v>
      </c>
      <c r="AL565" s="39">
        <v>0</v>
      </c>
    </row>
    <row r="566" spans="1:38" x14ac:dyDescent="0.3">
      <c r="A566" s="40">
        <v>565</v>
      </c>
      <c r="B566" s="35" t="s">
        <v>375</v>
      </c>
      <c r="C566" s="35">
        <v>9003053</v>
      </c>
      <c r="D566" s="36" t="s">
        <v>941</v>
      </c>
      <c r="E566" s="35" t="s">
        <v>38</v>
      </c>
      <c r="F566" s="35" t="s">
        <v>488</v>
      </c>
      <c r="G566" s="35" t="s">
        <v>839</v>
      </c>
      <c r="H566" s="37"/>
      <c r="I566" s="38">
        <v>41456</v>
      </c>
      <c r="J566" s="38">
        <v>43101</v>
      </c>
      <c r="K566" s="17">
        <f>YEAR('Row data'!$J566)</f>
        <v>2018</v>
      </c>
      <c r="L566" s="38">
        <v>30133</v>
      </c>
      <c r="M566" s="35" t="str">
        <f ca="1">IF('Row data'!$J566="",DATEDIF('Row data'!$L566,TODAY(),"y"),"0")</f>
        <v>0</v>
      </c>
      <c r="N566" s="35" t="s">
        <v>42</v>
      </c>
      <c r="O566" s="35" t="s">
        <v>553</v>
      </c>
      <c r="P566" s="39" t="s">
        <v>554</v>
      </c>
      <c r="Q566" s="39">
        <v>16513</v>
      </c>
      <c r="R566" s="39">
        <v>16513</v>
      </c>
      <c r="S566" s="39">
        <v>9375</v>
      </c>
      <c r="T566" s="39">
        <v>4688</v>
      </c>
      <c r="U566" s="39">
        <v>750</v>
      </c>
      <c r="V566" s="39">
        <v>450</v>
      </c>
      <c r="W566" s="39">
        <v>0</v>
      </c>
      <c r="X566" s="39">
        <v>0</v>
      </c>
      <c r="Y566" s="39">
        <v>1250</v>
      </c>
      <c r="Z566" s="39">
        <v>450</v>
      </c>
      <c r="AA566" s="39">
        <v>350</v>
      </c>
      <c r="AB566" s="39">
        <v>0</v>
      </c>
      <c r="AC566" s="39">
        <v>0</v>
      </c>
      <c r="AD566" s="39">
        <v>0</v>
      </c>
      <c r="AE566" s="39">
        <v>0</v>
      </c>
      <c r="AF566" s="39">
        <v>0</v>
      </c>
      <c r="AG566" s="39">
        <v>0</v>
      </c>
      <c r="AH566" s="39">
        <v>0</v>
      </c>
      <c r="AI566" s="39">
        <v>0</v>
      </c>
      <c r="AJ566" s="39">
        <f>'Row data'!$S566+'Row data'!$T566+'Row data'!$U566+'Row data'!$W566+'Row data'!$X566+'Row data'!$Y566+'Row data'!$Z566+'Row data'!$AA566+'Row data'!$AB566+'Row data'!$AD566-'Row data'!$AC566-'Row data'!$AE566-'Row data'!$AF566-'Row data'!$AG566-'Row data'!$AH566-'Row data'!$AI566</f>
        <v>16863</v>
      </c>
      <c r="AK566" s="39">
        <v>16863</v>
      </c>
      <c r="AL566" s="39">
        <v>0</v>
      </c>
    </row>
    <row r="567" spans="1:38" x14ac:dyDescent="0.3">
      <c r="A567" s="40">
        <v>566</v>
      </c>
      <c r="B567" s="35" t="s">
        <v>375</v>
      </c>
      <c r="C567" s="35">
        <v>7528044</v>
      </c>
      <c r="D567" s="36" t="s">
        <v>942</v>
      </c>
      <c r="E567" s="35" t="s">
        <v>38</v>
      </c>
      <c r="F567" s="35" t="s">
        <v>488</v>
      </c>
      <c r="G567" s="35" t="s">
        <v>634</v>
      </c>
      <c r="H567" s="37"/>
      <c r="I567" s="38">
        <v>40725</v>
      </c>
      <c r="J567" s="38">
        <v>43101</v>
      </c>
      <c r="K567" s="17">
        <f>YEAR('Row data'!$J567)</f>
        <v>2018</v>
      </c>
      <c r="L567" s="38">
        <v>31907</v>
      </c>
      <c r="M567" s="35" t="str">
        <f ca="1">IF('Row data'!$J567="",DATEDIF('Row data'!$L567,TODAY(),"y"),"0")</f>
        <v>0</v>
      </c>
      <c r="N567" s="35" t="s">
        <v>75</v>
      </c>
      <c r="O567" s="35" t="s">
        <v>553</v>
      </c>
      <c r="P567" s="39" t="s">
        <v>554</v>
      </c>
      <c r="Q567" s="39">
        <v>16068</v>
      </c>
      <c r="R567" s="39">
        <v>16068</v>
      </c>
      <c r="S567" s="39">
        <v>9079</v>
      </c>
      <c r="T567" s="39">
        <v>4539</v>
      </c>
      <c r="U567" s="39">
        <v>750</v>
      </c>
      <c r="V567" s="39">
        <v>450</v>
      </c>
      <c r="W567" s="39">
        <v>0</v>
      </c>
      <c r="X567" s="39">
        <v>0</v>
      </c>
      <c r="Y567" s="39">
        <v>1250</v>
      </c>
      <c r="Z567" s="39">
        <v>450</v>
      </c>
      <c r="AA567" s="39">
        <v>350</v>
      </c>
      <c r="AB567" s="39">
        <v>0</v>
      </c>
      <c r="AC567" s="39">
        <v>0</v>
      </c>
      <c r="AD567" s="39">
        <v>0</v>
      </c>
      <c r="AE567" s="39">
        <v>0</v>
      </c>
      <c r="AF567" s="39">
        <v>0</v>
      </c>
      <c r="AG567" s="39">
        <v>0</v>
      </c>
      <c r="AH567" s="39">
        <v>0</v>
      </c>
      <c r="AI567" s="39">
        <v>0</v>
      </c>
      <c r="AJ567" s="39">
        <f>'Row data'!$S567+'Row data'!$T567+'Row data'!$U567+'Row data'!$W567+'Row data'!$X567+'Row data'!$Y567+'Row data'!$Z567+'Row data'!$AA567+'Row data'!$AB567+'Row data'!$AD567-'Row data'!$AC567-'Row data'!$AE567-'Row data'!$AF567-'Row data'!$AG567-'Row data'!$AH567-'Row data'!$AI567</f>
        <v>16418</v>
      </c>
      <c r="AK567" s="39">
        <v>16418</v>
      </c>
      <c r="AL567" s="39">
        <v>0</v>
      </c>
    </row>
    <row r="568" spans="1:38" x14ac:dyDescent="0.3">
      <c r="A568" s="40">
        <v>567</v>
      </c>
      <c r="B568" s="35" t="s">
        <v>375</v>
      </c>
      <c r="C568" s="35">
        <v>9828434</v>
      </c>
      <c r="D568" s="36" t="s">
        <v>943</v>
      </c>
      <c r="E568" s="35" t="s">
        <v>38</v>
      </c>
      <c r="F568" s="35" t="s">
        <v>488</v>
      </c>
      <c r="G568" s="35" t="s">
        <v>50</v>
      </c>
      <c r="H568" s="37"/>
      <c r="I568" s="38">
        <v>44998</v>
      </c>
      <c r="J568" s="38">
        <v>43323</v>
      </c>
      <c r="K568" s="17">
        <f>YEAR('Row data'!$J568)</f>
        <v>2018</v>
      </c>
      <c r="L568" s="38">
        <v>34530</v>
      </c>
      <c r="M568" s="35" t="str">
        <f ca="1">IF('Row data'!$J568="",DATEDIF('Row data'!$L568,TODAY(),"y"),"0")</f>
        <v>0</v>
      </c>
      <c r="N568" s="35" t="s">
        <v>42</v>
      </c>
      <c r="O568" s="35" t="s">
        <v>553</v>
      </c>
      <c r="P568" s="39" t="s">
        <v>554</v>
      </c>
      <c r="Q568" s="39">
        <v>13405</v>
      </c>
      <c r="R568" s="39">
        <v>13405</v>
      </c>
      <c r="S568" s="39">
        <v>7303</v>
      </c>
      <c r="T568" s="39">
        <v>3652</v>
      </c>
      <c r="U568" s="39">
        <v>750</v>
      </c>
      <c r="V568" s="39">
        <v>450</v>
      </c>
      <c r="W568" s="39">
        <v>0</v>
      </c>
      <c r="X568" s="39">
        <v>0</v>
      </c>
      <c r="Y568" s="39">
        <v>1250</v>
      </c>
      <c r="Z568" s="39">
        <v>450</v>
      </c>
      <c r="AA568" s="39">
        <v>350</v>
      </c>
      <c r="AB568" s="39">
        <v>0</v>
      </c>
      <c r="AC568" s="39">
        <v>0</v>
      </c>
      <c r="AD568" s="39">
        <v>0</v>
      </c>
      <c r="AE568" s="39">
        <v>0</v>
      </c>
      <c r="AF568" s="39">
        <v>0</v>
      </c>
      <c r="AG568" s="39">
        <v>0</v>
      </c>
      <c r="AH568" s="39">
        <v>0</v>
      </c>
      <c r="AI568" s="39">
        <v>0</v>
      </c>
      <c r="AJ568" s="39">
        <f>'Row data'!$S568+'Row data'!$T568+'Row data'!$U568+'Row data'!$W568+'Row data'!$X568+'Row data'!$Y568+'Row data'!$Z568+'Row data'!$AA568+'Row data'!$AB568+'Row data'!$AD568-'Row data'!$AC568-'Row data'!$AE568-'Row data'!$AF568-'Row data'!$AG568-'Row data'!$AH568-'Row data'!$AI568</f>
        <v>13755</v>
      </c>
      <c r="AK568" s="39">
        <v>13755</v>
      </c>
      <c r="AL568" s="39">
        <v>0</v>
      </c>
    </row>
    <row r="569" spans="1:38" x14ac:dyDescent="0.3">
      <c r="A569" s="40">
        <v>568</v>
      </c>
      <c r="B569" s="35" t="s">
        <v>375</v>
      </c>
      <c r="C569" s="35">
        <v>9829901</v>
      </c>
      <c r="D569" s="36" t="s">
        <v>944</v>
      </c>
      <c r="E569" s="35" t="s">
        <v>38</v>
      </c>
      <c r="F569" s="35" t="s">
        <v>488</v>
      </c>
      <c r="G569" s="35" t="s">
        <v>50</v>
      </c>
      <c r="H569" s="37"/>
      <c r="I569" s="38">
        <v>44998</v>
      </c>
      <c r="J569" s="38">
        <v>43323</v>
      </c>
      <c r="K569" s="17">
        <f>YEAR('Row data'!$J569)</f>
        <v>2018</v>
      </c>
      <c r="L569" s="38">
        <v>36324</v>
      </c>
      <c r="M569" s="35" t="str">
        <f ca="1">IF('Row data'!$J569="",DATEDIF('Row data'!$L569,TODAY(),"y"),"0")</f>
        <v>0</v>
      </c>
      <c r="N569" s="35" t="s">
        <v>42</v>
      </c>
      <c r="O569" s="35" t="s">
        <v>553</v>
      </c>
      <c r="P569" s="39" t="s">
        <v>554</v>
      </c>
      <c r="Q569" s="39">
        <v>13405</v>
      </c>
      <c r="R569" s="39">
        <v>12883</v>
      </c>
      <c r="S569" s="39">
        <v>7303</v>
      </c>
      <c r="T569" s="39">
        <v>3652</v>
      </c>
      <c r="U569" s="39">
        <v>750</v>
      </c>
      <c r="V569" s="39">
        <v>450</v>
      </c>
      <c r="W569" s="39">
        <v>0</v>
      </c>
      <c r="X569" s="39">
        <v>0</v>
      </c>
      <c r="Y569" s="39">
        <v>1250</v>
      </c>
      <c r="Z569" s="39">
        <v>450</v>
      </c>
      <c r="AA569" s="39">
        <v>0</v>
      </c>
      <c r="AB569" s="39">
        <v>0</v>
      </c>
      <c r="AC569" s="39">
        <v>0</v>
      </c>
      <c r="AD569" s="39">
        <v>0</v>
      </c>
      <c r="AE569" s="39">
        <v>522</v>
      </c>
      <c r="AF569" s="39">
        <v>0</v>
      </c>
      <c r="AG569" s="39">
        <v>0</v>
      </c>
      <c r="AH569" s="39">
        <v>0</v>
      </c>
      <c r="AI569" s="39">
        <v>0</v>
      </c>
      <c r="AJ569" s="39">
        <f>'Row data'!$S569+'Row data'!$T569+'Row data'!$U569+'Row data'!$W569+'Row data'!$X569+'Row data'!$Y569+'Row data'!$Z569+'Row data'!$AA569+'Row data'!$AB569+'Row data'!$AD569-'Row data'!$AC569-'Row data'!$AE569-'Row data'!$AF569-'Row data'!$AG569-'Row data'!$AH569-'Row data'!$AI569</f>
        <v>12883</v>
      </c>
      <c r="AK569" s="39">
        <v>12883</v>
      </c>
      <c r="AL569" s="39">
        <v>0</v>
      </c>
    </row>
    <row r="570" spans="1:38" x14ac:dyDescent="0.3">
      <c r="A570" s="40">
        <v>569</v>
      </c>
      <c r="B570" s="35" t="s">
        <v>375</v>
      </c>
      <c r="C570" s="35">
        <v>5185684</v>
      </c>
      <c r="D570" s="36" t="s">
        <v>945</v>
      </c>
      <c r="E570" s="35" t="s">
        <v>38</v>
      </c>
      <c r="F570" s="35" t="s">
        <v>488</v>
      </c>
      <c r="G570" s="35" t="s">
        <v>50</v>
      </c>
      <c r="H570" s="37"/>
      <c r="I570" s="38">
        <v>44992</v>
      </c>
      <c r="J570" s="38">
        <v>43101</v>
      </c>
      <c r="K570" s="17">
        <f>YEAR('Row data'!$J570)</f>
        <v>2018</v>
      </c>
      <c r="L570" s="38">
        <v>36898</v>
      </c>
      <c r="M570" s="35" t="str">
        <f ca="1">IF('Row data'!$J570="",DATEDIF('Row data'!$L570,TODAY(),"y"),"0")</f>
        <v>0</v>
      </c>
      <c r="N570" s="35" t="s">
        <v>75</v>
      </c>
      <c r="O570" s="35" t="s">
        <v>553</v>
      </c>
      <c r="P570" s="39" t="s">
        <v>554</v>
      </c>
      <c r="Q570" s="39">
        <v>13405</v>
      </c>
      <c r="R570" s="39">
        <v>13405</v>
      </c>
      <c r="S570" s="39">
        <v>7303</v>
      </c>
      <c r="T570" s="39">
        <v>3652</v>
      </c>
      <c r="U570" s="39">
        <v>750</v>
      </c>
      <c r="V570" s="39">
        <v>450</v>
      </c>
      <c r="W570" s="39">
        <v>0</v>
      </c>
      <c r="X570" s="39">
        <v>0</v>
      </c>
      <c r="Y570" s="39">
        <v>1250</v>
      </c>
      <c r="Z570" s="39">
        <v>450</v>
      </c>
      <c r="AA570" s="39">
        <v>0</v>
      </c>
      <c r="AB570" s="39">
        <v>0</v>
      </c>
      <c r="AC570" s="39">
        <v>0</v>
      </c>
      <c r="AD570" s="39">
        <v>0</v>
      </c>
      <c r="AE570" s="39">
        <v>0</v>
      </c>
      <c r="AF570" s="39">
        <v>0</v>
      </c>
      <c r="AG570" s="39">
        <v>0</v>
      </c>
      <c r="AH570" s="39">
        <v>0</v>
      </c>
      <c r="AI570" s="39">
        <v>0</v>
      </c>
      <c r="AJ570" s="39">
        <f>'Row data'!$S570+'Row data'!$T570+'Row data'!$U570+'Row data'!$W570+'Row data'!$X570+'Row data'!$Y570+'Row data'!$Z570+'Row data'!$AA570+'Row data'!$AB570+'Row data'!$AD570-'Row data'!$AC570-'Row data'!$AE570-'Row data'!$AF570-'Row data'!$AG570-'Row data'!$AH570-'Row data'!$AI570</f>
        <v>13405</v>
      </c>
      <c r="AK570" s="39">
        <v>13405</v>
      </c>
      <c r="AL570" s="39">
        <v>0</v>
      </c>
    </row>
    <row r="571" spans="1:38" x14ac:dyDescent="0.3">
      <c r="A571" s="40">
        <v>570</v>
      </c>
      <c r="B571" s="35" t="s">
        <v>375</v>
      </c>
      <c r="C571" s="35">
        <v>8545357</v>
      </c>
      <c r="D571" s="36" t="s">
        <v>946</v>
      </c>
      <c r="E571" s="35" t="s">
        <v>38</v>
      </c>
      <c r="F571" s="35" t="s">
        <v>488</v>
      </c>
      <c r="G571" s="35" t="s">
        <v>50</v>
      </c>
      <c r="H571" s="37"/>
      <c r="I571" s="38">
        <v>44992</v>
      </c>
      <c r="J571" s="38">
        <v>43101</v>
      </c>
      <c r="K571" s="17">
        <f>YEAR('Row data'!$J571)</f>
        <v>2018</v>
      </c>
      <c r="L571" s="38">
        <v>32709</v>
      </c>
      <c r="M571" s="35" t="str">
        <f ca="1">IF('Row data'!$J571="",DATEDIF('Row data'!$L571,TODAY(),"y"),"0")</f>
        <v>0</v>
      </c>
      <c r="N571" s="35" t="s">
        <v>75</v>
      </c>
      <c r="O571" s="35" t="s">
        <v>553</v>
      </c>
      <c r="P571" s="39" t="s">
        <v>554</v>
      </c>
      <c r="Q571" s="39">
        <v>13405</v>
      </c>
      <c r="R571" s="39">
        <v>10536</v>
      </c>
      <c r="S571" s="39">
        <v>7303</v>
      </c>
      <c r="T571" s="39">
        <v>3652</v>
      </c>
      <c r="U571" s="39">
        <v>750</v>
      </c>
      <c r="V571" s="39">
        <v>450</v>
      </c>
      <c r="W571" s="39">
        <v>0</v>
      </c>
      <c r="X571" s="39">
        <v>0</v>
      </c>
      <c r="Y571" s="39">
        <v>1250</v>
      </c>
      <c r="Z571" s="39">
        <v>450</v>
      </c>
      <c r="AA571" s="39">
        <v>0</v>
      </c>
      <c r="AB571" s="39">
        <v>0</v>
      </c>
      <c r="AC571" s="39">
        <v>0</v>
      </c>
      <c r="AD571" s="39">
        <v>0</v>
      </c>
      <c r="AE571" s="39">
        <v>2869</v>
      </c>
      <c r="AF571" s="39">
        <v>0</v>
      </c>
      <c r="AG571" s="39">
        <v>0</v>
      </c>
      <c r="AH571" s="39">
        <v>0</v>
      </c>
      <c r="AI571" s="39">
        <v>0</v>
      </c>
      <c r="AJ571" s="39">
        <f>'Row data'!$S571+'Row data'!$T571+'Row data'!$U571+'Row data'!$W571+'Row data'!$X571+'Row data'!$Y571+'Row data'!$Z571+'Row data'!$AA571+'Row data'!$AB571+'Row data'!$AD571-'Row data'!$AC571-'Row data'!$AE571-'Row data'!$AF571-'Row data'!$AG571-'Row data'!$AH571-'Row data'!$AI571</f>
        <v>10536</v>
      </c>
      <c r="AK571" s="39">
        <v>10536</v>
      </c>
      <c r="AL571" s="39">
        <v>0</v>
      </c>
    </row>
    <row r="572" spans="1:38" x14ac:dyDescent="0.3">
      <c r="A572" s="40">
        <v>571</v>
      </c>
      <c r="B572" s="35" t="s">
        <v>375</v>
      </c>
      <c r="C572" s="35">
        <v>8830439</v>
      </c>
      <c r="D572" s="36" t="s">
        <v>947</v>
      </c>
      <c r="E572" s="35" t="s">
        <v>38</v>
      </c>
      <c r="F572" s="35" t="s">
        <v>488</v>
      </c>
      <c r="G572" s="35" t="s">
        <v>164</v>
      </c>
      <c r="H572" s="37"/>
      <c r="I572" s="38">
        <v>44774</v>
      </c>
      <c r="J572" s="38"/>
      <c r="K572" s="17"/>
      <c r="L572" s="38">
        <v>32741</v>
      </c>
      <c r="M572" s="35">
        <f ca="1">IF('Row data'!$J572="",DATEDIF('Row data'!$L572,TODAY(),"y"),"0")</f>
        <v>37</v>
      </c>
      <c r="N572" s="35" t="s">
        <v>75</v>
      </c>
      <c r="O572" s="35" t="s">
        <v>553</v>
      </c>
      <c r="P572" s="39" t="s">
        <v>554</v>
      </c>
      <c r="Q572" s="39">
        <v>15337</v>
      </c>
      <c r="R572" s="39">
        <v>15337</v>
      </c>
      <c r="S572" s="39">
        <v>8591</v>
      </c>
      <c r="T572" s="39">
        <v>4296</v>
      </c>
      <c r="U572" s="39">
        <v>750</v>
      </c>
      <c r="V572" s="39">
        <v>450</v>
      </c>
      <c r="W572" s="39">
        <v>0</v>
      </c>
      <c r="X572" s="39">
        <v>0</v>
      </c>
      <c r="Y572" s="39">
        <v>1250</v>
      </c>
      <c r="Z572" s="39">
        <v>450</v>
      </c>
      <c r="AA572" s="39">
        <v>250</v>
      </c>
      <c r="AB572" s="39">
        <v>0</v>
      </c>
      <c r="AC572" s="39">
        <v>0</v>
      </c>
      <c r="AD572" s="39">
        <v>0</v>
      </c>
      <c r="AE572" s="39">
        <v>0</v>
      </c>
      <c r="AF572" s="39">
        <v>0</v>
      </c>
      <c r="AG572" s="39">
        <v>0</v>
      </c>
      <c r="AH572" s="39">
        <v>0</v>
      </c>
      <c r="AI572" s="39">
        <v>0</v>
      </c>
      <c r="AJ572" s="39">
        <f>'Row data'!$S572+'Row data'!$T572+'Row data'!$U572+'Row data'!$W572+'Row data'!$X572+'Row data'!$Y572+'Row data'!$Z572+'Row data'!$AA572+'Row data'!$AB572+'Row data'!$AD572-'Row data'!$AC572-'Row data'!$AE572-'Row data'!$AF572-'Row data'!$AG572-'Row data'!$AH572-'Row data'!$AI572</f>
        <v>15587</v>
      </c>
      <c r="AK572" s="39">
        <v>15587</v>
      </c>
      <c r="AL572" s="39">
        <v>0</v>
      </c>
    </row>
    <row r="573" spans="1:38" x14ac:dyDescent="0.3">
      <c r="A573" s="40">
        <v>572</v>
      </c>
      <c r="B573" s="35" t="s">
        <v>375</v>
      </c>
      <c r="C573" s="35">
        <v>7120846</v>
      </c>
      <c r="D573" s="36" t="s">
        <v>948</v>
      </c>
      <c r="E573" s="35" t="s">
        <v>38</v>
      </c>
      <c r="F573" s="35" t="s">
        <v>488</v>
      </c>
      <c r="G573" s="35" t="s">
        <v>164</v>
      </c>
      <c r="H573" s="37"/>
      <c r="I573" s="38">
        <v>44774</v>
      </c>
      <c r="J573" s="38"/>
      <c r="K573" s="17"/>
      <c r="L573" s="38">
        <v>35713</v>
      </c>
      <c r="M573" s="35">
        <f ca="1">IF('Row data'!$J573="",DATEDIF('Row data'!$L573,TODAY(),"y"),"0")</f>
        <v>28</v>
      </c>
      <c r="N573" s="35" t="s">
        <v>75</v>
      </c>
      <c r="O573" s="35" t="s">
        <v>553</v>
      </c>
      <c r="P573" s="39" t="s">
        <v>554</v>
      </c>
      <c r="Q573" s="39">
        <v>15337</v>
      </c>
      <c r="R573" s="39">
        <v>15337</v>
      </c>
      <c r="S573" s="39">
        <v>8591</v>
      </c>
      <c r="T573" s="39">
        <v>4296</v>
      </c>
      <c r="U573" s="39">
        <v>750</v>
      </c>
      <c r="V573" s="39">
        <v>450</v>
      </c>
      <c r="W573" s="39">
        <v>0</v>
      </c>
      <c r="X573" s="39">
        <v>0</v>
      </c>
      <c r="Y573" s="39">
        <v>1250</v>
      </c>
      <c r="Z573" s="39">
        <v>450</v>
      </c>
      <c r="AA573" s="39">
        <v>250</v>
      </c>
      <c r="AB573" s="39">
        <v>0</v>
      </c>
      <c r="AC573" s="39">
        <v>0</v>
      </c>
      <c r="AD573" s="39">
        <v>0</v>
      </c>
      <c r="AE573" s="39">
        <v>0</v>
      </c>
      <c r="AF573" s="39">
        <v>0</v>
      </c>
      <c r="AG573" s="39">
        <v>0</v>
      </c>
      <c r="AH573" s="39">
        <v>0</v>
      </c>
      <c r="AI573" s="39">
        <v>0</v>
      </c>
      <c r="AJ573" s="39">
        <f>'Row data'!$S573+'Row data'!$T573+'Row data'!$U573+'Row data'!$W573+'Row data'!$X573+'Row data'!$Y573+'Row data'!$Z573+'Row data'!$AA573+'Row data'!$AB573+'Row data'!$AD573-'Row data'!$AC573-'Row data'!$AE573-'Row data'!$AF573-'Row data'!$AG573-'Row data'!$AH573-'Row data'!$AI573</f>
        <v>15587</v>
      </c>
      <c r="AK573" s="39">
        <v>15587</v>
      </c>
      <c r="AL573" s="39">
        <v>0</v>
      </c>
    </row>
    <row r="574" spans="1:38" x14ac:dyDescent="0.3">
      <c r="A574" s="40">
        <v>573</v>
      </c>
      <c r="B574" s="35" t="s">
        <v>375</v>
      </c>
      <c r="C574" s="35">
        <v>6250624</v>
      </c>
      <c r="D574" s="36" t="s">
        <v>949</v>
      </c>
      <c r="E574" s="35" t="s">
        <v>38</v>
      </c>
      <c r="F574" s="35" t="s">
        <v>488</v>
      </c>
      <c r="G574" s="35" t="s">
        <v>164</v>
      </c>
      <c r="H574" s="37"/>
      <c r="I574" s="38">
        <v>42409</v>
      </c>
      <c r="J574" s="38"/>
      <c r="K574" s="17"/>
      <c r="L574" s="38">
        <v>34761</v>
      </c>
      <c r="M574" s="35">
        <f ca="1">IF('Row data'!$J574="",DATEDIF('Row data'!$L574,TODAY(),"y"),"0")</f>
        <v>31</v>
      </c>
      <c r="N574" s="35" t="s">
        <v>75</v>
      </c>
      <c r="O574" s="35" t="s">
        <v>553</v>
      </c>
      <c r="P574" s="39" t="s">
        <v>554</v>
      </c>
      <c r="Q574" s="39">
        <v>15337</v>
      </c>
      <c r="R574" s="39">
        <v>15337</v>
      </c>
      <c r="S574" s="39">
        <v>8591</v>
      </c>
      <c r="T574" s="39">
        <v>4296</v>
      </c>
      <c r="U574" s="39">
        <v>750</v>
      </c>
      <c r="V574" s="39">
        <v>450</v>
      </c>
      <c r="W574" s="39">
        <v>0</v>
      </c>
      <c r="X574" s="39">
        <v>0</v>
      </c>
      <c r="Y574" s="39">
        <v>1250</v>
      </c>
      <c r="Z574" s="39">
        <v>450</v>
      </c>
      <c r="AA574" s="39">
        <v>350</v>
      </c>
      <c r="AB574" s="39">
        <v>0</v>
      </c>
      <c r="AC574" s="39">
        <v>0</v>
      </c>
      <c r="AD574" s="39">
        <v>0</v>
      </c>
      <c r="AE574" s="39">
        <v>0</v>
      </c>
      <c r="AF574" s="39">
        <v>0</v>
      </c>
      <c r="AG574" s="39">
        <v>0</v>
      </c>
      <c r="AH574" s="39">
        <v>0</v>
      </c>
      <c r="AI574" s="39">
        <v>0</v>
      </c>
      <c r="AJ574" s="39">
        <f>'Row data'!$S574+'Row data'!$T574+'Row data'!$U574+'Row data'!$W574+'Row data'!$X574+'Row data'!$Y574+'Row data'!$Z574+'Row data'!$AA574+'Row data'!$AB574+'Row data'!$AD574-'Row data'!$AC574-'Row data'!$AE574-'Row data'!$AF574-'Row data'!$AG574-'Row data'!$AH574-'Row data'!$AI574</f>
        <v>15687</v>
      </c>
      <c r="AK574" s="39">
        <v>15687</v>
      </c>
      <c r="AL574" s="39">
        <v>0</v>
      </c>
    </row>
    <row r="575" spans="1:38" x14ac:dyDescent="0.3">
      <c r="A575" s="40">
        <v>574</v>
      </c>
      <c r="B575" s="35" t="s">
        <v>375</v>
      </c>
      <c r="C575" s="35">
        <v>5782039</v>
      </c>
      <c r="D575" s="36" t="s">
        <v>950</v>
      </c>
      <c r="E575" s="35" t="s">
        <v>38</v>
      </c>
      <c r="F575" s="35" t="s">
        <v>488</v>
      </c>
      <c r="G575" s="35" t="s">
        <v>164</v>
      </c>
      <c r="H575" s="37"/>
      <c r="I575" s="38">
        <v>41440</v>
      </c>
      <c r="J575" s="38">
        <v>43346</v>
      </c>
      <c r="K575" s="17">
        <f>YEAR('Row data'!$J575)</f>
        <v>2018</v>
      </c>
      <c r="L575" s="38">
        <v>31293</v>
      </c>
      <c r="M575" s="35" t="str">
        <f ca="1">IF('Row data'!$J575="",DATEDIF('Row data'!$L575,TODAY(),"y"),"0")</f>
        <v>0</v>
      </c>
      <c r="N575" s="35" t="s">
        <v>75</v>
      </c>
      <c r="O575" s="35" t="s">
        <v>553</v>
      </c>
      <c r="P575" s="39" t="s">
        <v>554</v>
      </c>
      <c r="Q575" s="39">
        <v>15337</v>
      </c>
      <c r="R575" s="39">
        <v>15337</v>
      </c>
      <c r="S575" s="39">
        <v>8591</v>
      </c>
      <c r="T575" s="39">
        <v>4296</v>
      </c>
      <c r="U575" s="39">
        <v>750</v>
      </c>
      <c r="V575" s="39">
        <v>450</v>
      </c>
      <c r="W575" s="39">
        <v>0</v>
      </c>
      <c r="X575" s="39">
        <v>0</v>
      </c>
      <c r="Y575" s="39">
        <v>1250</v>
      </c>
      <c r="Z575" s="39">
        <v>450</v>
      </c>
      <c r="AA575" s="39">
        <v>350</v>
      </c>
      <c r="AB575" s="39">
        <v>0</v>
      </c>
      <c r="AC575" s="39">
        <v>0</v>
      </c>
      <c r="AD575" s="39">
        <v>0</v>
      </c>
      <c r="AE575" s="39">
        <v>0</v>
      </c>
      <c r="AF575" s="39">
        <v>0</v>
      </c>
      <c r="AG575" s="39">
        <v>0</v>
      </c>
      <c r="AH575" s="39">
        <v>0</v>
      </c>
      <c r="AI575" s="39">
        <v>0</v>
      </c>
      <c r="AJ575" s="39">
        <f>'Row data'!$S575+'Row data'!$T575+'Row data'!$U575+'Row data'!$W575+'Row data'!$X575+'Row data'!$Y575+'Row data'!$Z575+'Row data'!$AA575+'Row data'!$AB575+'Row data'!$AD575-'Row data'!$AC575-'Row data'!$AE575-'Row data'!$AF575-'Row data'!$AG575-'Row data'!$AH575-'Row data'!$AI575</f>
        <v>15687</v>
      </c>
      <c r="AK575" s="39">
        <v>15687</v>
      </c>
      <c r="AL575" s="39">
        <v>0</v>
      </c>
    </row>
    <row r="576" spans="1:38" x14ac:dyDescent="0.3">
      <c r="A576" s="40">
        <v>575</v>
      </c>
      <c r="B576" s="35" t="s">
        <v>375</v>
      </c>
      <c r="C576" s="35">
        <v>9365577</v>
      </c>
      <c r="D576" s="36" t="s">
        <v>951</v>
      </c>
      <c r="E576" s="35" t="s">
        <v>38</v>
      </c>
      <c r="F576" s="35" t="s">
        <v>488</v>
      </c>
      <c r="G576" s="35" t="s">
        <v>170</v>
      </c>
      <c r="H576" s="37"/>
      <c r="I576" s="38">
        <v>42798</v>
      </c>
      <c r="J576" s="38">
        <v>43160</v>
      </c>
      <c r="K576" s="17">
        <f>YEAR('Row data'!$J576)</f>
        <v>2018</v>
      </c>
      <c r="L576" s="38">
        <v>26359</v>
      </c>
      <c r="M576" s="35" t="str">
        <f ca="1">IF('Row data'!$J576="",DATEDIF('Row data'!$L576,TODAY(),"y"),"0")</f>
        <v>0</v>
      </c>
      <c r="N576" s="35" t="s">
        <v>75</v>
      </c>
      <c r="O576" s="35" t="s">
        <v>553</v>
      </c>
      <c r="P576" s="39" t="s">
        <v>554</v>
      </c>
      <c r="Q576" s="39">
        <v>13405</v>
      </c>
      <c r="R576" s="39">
        <v>13405</v>
      </c>
      <c r="S576" s="39">
        <v>7303</v>
      </c>
      <c r="T576" s="39">
        <v>3652</v>
      </c>
      <c r="U576" s="39">
        <v>750</v>
      </c>
      <c r="V576" s="39">
        <v>450</v>
      </c>
      <c r="W576" s="39">
        <v>0</v>
      </c>
      <c r="X576" s="39">
        <v>0</v>
      </c>
      <c r="Y576" s="39">
        <v>1250</v>
      </c>
      <c r="Z576" s="39">
        <v>450</v>
      </c>
      <c r="AA576" s="39">
        <v>350</v>
      </c>
      <c r="AB576" s="39">
        <v>0</v>
      </c>
      <c r="AC576" s="39">
        <v>0</v>
      </c>
      <c r="AD576" s="39">
        <v>0</v>
      </c>
      <c r="AE576" s="39">
        <v>0</v>
      </c>
      <c r="AF576" s="39">
        <v>0</v>
      </c>
      <c r="AG576" s="39">
        <v>0</v>
      </c>
      <c r="AH576" s="39">
        <v>0</v>
      </c>
      <c r="AI576" s="39">
        <v>0</v>
      </c>
      <c r="AJ576" s="39">
        <f>'Row data'!$S576+'Row data'!$T576+'Row data'!$U576+'Row data'!$W576+'Row data'!$X576+'Row data'!$Y576+'Row data'!$Z576+'Row data'!$AA576+'Row data'!$AB576+'Row data'!$AD576-'Row data'!$AC576-'Row data'!$AE576-'Row data'!$AF576-'Row data'!$AG576-'Row data'!$AH576-'Row data'!$AI576</f>
        <v>13755</v>
      </c>
      <c r="AK576" s="39">
        <v>13755</v>
      </c>
      <c r="AL576" s="39">
        <v>0</v>
      </c>
    </row>
    <row r="577" spans="1:38" x14ac:dyDescent="0.3">
      <c r="A577" s="40">
        <v>576</v>
      </c>
      <c r="B577" s="35" t="s">
        <v>375</v>
      </c>
      <c r="C577" s="35">
        <v>9936139</v>
      </c>
      <c r="D577" s="36" t="s">
        <v>952</v>
      </c>
      <c r="E577" s="35" t="s">
        <v>38</v>
      </c>
      <c r="F577" s="35" t="s">
        <v>488</v>
      </c>
      <c r="G577" s="35" t="s">
        <v>164</v>
      </c>
      <c r="H577" s="37"/>
      <c r="I577" s="38">
        <v>40331</v>
      </c>
      <c r="J577" s="38">
        <v>43319</v>
      </c>
      <c r="K577" s="17">
        <f>YEAR('Row data'!$J577)</f>
        <v>2018</v>
      </c>
      <c r="L577" s="38">
        <v>26883</v>
      </c>
      <c r="M577" s="35" t="str">
        <f ca="1">IF('Row data'!$J577="",DATEDIF('Row data'!$L577,TODAY(),"y"),"0")</f>
        <v>0</v>
      </c>
      <c r="N577" s="35" t="s">
        <v>75</v>
      </c>
      <c r="O577" s="35" t="s">
        <v>553</v>
      </c>
      <c r="P577" s="39" t="s">
        <v>554</v>
      </c>
      <c r="Q577" s="39">
        <v>15337</v>
      </c>
      <c r="R577" s="39">
        <v>15337</v>
      </c>
      <c r="S577" s="39">
        <v>8591</v>
      </c>
      <c r="T577" s="39">
        <v>4296</v>
      </c>
      <c r="U577" s="39">
        <v>750</v>
      </c>
      <c r="V577" s="39">
        <v>450</v>
      </c>
      <c r="W577" s="39">
        <v>0</v>
      </c>
      <c r="X577" s="39">
        <v>0</v>
      </c>
      <c r="Y577" s="39">
        <v>1250</v>
      </c>
      <c r="Z577" s="39">
        <v>450</v>
      </c>
      <c r="AA577" s="39">
        <v>350</v>
      </c>
      <c r="AB577" s="39">
        <v>0</v>
      </c>
      <c r="AC577" s="39">
        <v>0</v>
      </c>
      <c r="AD577" s="39">
        <v>0</v>
      </c>
      <c r="AE577" s="39">
        <v>0</v>
      </c>
      <c r="AF577" s="39">
        <v>0</v>
      </c>
      <c r="AG577" s="39">
        <v>0</v>
      </c>
      <c r="AH577" s="39">
        <v>0</v>
      </c>
      <c r="AI577" s="39">
        <v>0</v>
      </c>
      <c r="AJ577" s="39">
        <f>'Row data'!$S577+'Row data'!$T577+'Row data'!$U577+'Row data'!$W577+'Row data'!$X577+'Row data'!$Y577+'Row data'!$Z577+'Row data'!$AA577+'Row data'!$AB577+'Row data'!$AD577-'Row data'!$AC577-'Row data'!$AE577-'Row data'!$AF577-'Row data'!$AG577-'Row data'!$AH577-'Row data'!$AI577</f>
        <v>15687</v>
      </c>
      <c r="AK577" s="39">
        <v>15687</v>
      </c>
      <c r="AL577" s="39">
        <v>0</v>
      </c>
    </row>
    <row r="578" spans="1:38" x14ac:dyDescent="0.3">
      <c r="A578" s="40">
        <v>577</v>
      </c>
      <c r="B578" s="35" t="s">
        <v>375</v>
      </c>
      <c r="C578" s="35">
        <v>6615630</v>
      </c>
      <c r="D578" s="36" t="s">
        <v>953</v>
      </c>
      <c r="E578" s="35" t="s">
        <v>38</v>
      </c>
      <c r="F578" s="35" t="s">
        <v>488</v>
      </c>
      <c r="G578" s="35" t="s">
        <v>50</v>
      </c>
      <c r="H578" s="37"/>
      <c r="I578" s="38">
        <v>39909</v>
      </c>
      <c r="J578" s="38">
        <v>43101</v>
      </c>
      <c r="K578" s="17">
        <f>YEAR('Row data'!$J578)</f>
        <v>2018</v>
      </c>
      <c r="L578" s="38">
        <v>31475</v>
      </c>
      <c r="M578" s="35" t="str">
        <f ca="1">IF('Row data'!$J578="",DATEDIF('Row data'!$L578,TODAY(),"y"),"0")</f>
        <v>0</v>
      </c>
      <c r="N578" s="35" t="s">
        <v>75</v>
      </c>
      <c r="O578" s="35" t="s">
        <v>553</v>
      </c>
      <c r="P578" s="39" t="s">
        <v>554</v>
      </c>
      <c r="Q578" s="39">
        <v>15481</v>
      </c>
      <c r="R578" s="39">
        <v>15481</v>
      </c>
      <c r="S578" s="39">
        <v>8687</v>
      </c>
      <c r="T578" s="39">
        <v>4344</v>
      </c>
      <c r="U578" s="39">
        <v>750</v>
      </c>
      <c r="V578" s="39">
        <v>450</v>
      </c>
      <c r="W578" s="39">
        <v>0</v>
      </c>
      <c r="X578" s="39">
        <v>0</v>
      </c>
      <c r="Y578" s="39">
        <v>1250</v>
      </c>
      <c r="Z578" s="39">
        <v>450</v>
      </c>
      <c r="AA578" s="39">
        <v>0</v>
      </c>
      <c r="AB578" s="39">
        <v>0</v>
      </c>
      <c r="AC578" s="39">
        <v>0</v>
      </c>
      <c r="AD578" s="39">
        <v>0</v>
      </c>
      <c r="AE578" s="39">
        <v>0</v>
      </c>
      <c r="AF578" s="39">
        <v>0</v>
      </c>
      <c r="AG578" s="39">
        <v>0</v>
      </c>
      <c r="AH578" s="39">
        <v>0</v>
      </c>
      <c r="AI578" s="39">
        <v>0</v>
      </c>
      <c r="AJ578" s="39">
        <f>'Row data'!$S578+'Row data'!$T578+'Row data'!$U578+'Row data'!$W578+'Row data'!$X578+'Row data'!$Y578+'Row data'!$Z578+'Row data'!$AA578+'Row data'!$AB578+'Row data'!$AD578-'Row data'!$AC578-'Row data'!$AE578-'Row data'!$AF578-'Row data'!$AG578-'Row data'!$AH578-'Row data'!$AI578</f>
        <v>15481</v>
      </c>
      <c r="AK578" s="39">
        <v>15481</v>
      </c>
      <c r="AL578" s="39">
        <v>0</v>
      </c>
    </row>
    <row r="579" spans="1:38" x14ac:dyDescent="0.3">
      <c r="A579" s="40">
        <v>578</v>
      </c>
      <c r="B579" s="35" t="s">
        <v>954</v>
      </c>
      <c r="C579" s="35">
        <v>8524162</v>
      </c>
      <c r="D579" s="36" t="s">
        <v>955</v>
      </c>
      <c r="E579" s="35" t="s">
        <v>38</v>
      </c>
      <c r="F579" s="35" t="s">
        <v>533</v>
      </c>
      <c r="G579" s="35" t="s">
        <v>50</v>
      </c>
      <c r="H579" s="37"/>
      <c r="I579" s="38">
        <v>45203</v>
      </c>
      <c r="J579" s="38">
        <v>44562</v>
      </c>
      <c r="K579" s="17">
        <f>YEAR('Row data'!$J579)</f>
        <v>2022</v>
      </c>
      <c r="L579" s="38">
        <v>34003</v>
      </c>
      <c r="M579" s="35" t="str">
        <f ca="1">IF('Row data'!$J579="",DATEDIF('Row data'!$L579,TODAY(),"y"),"0")</f>
        <v>0</v>
      </c>
      <c r="N579" s="35" t="s">
        <v>42</v>
      </c>
      <c r="O579" s="35" t="s">
        <v>553</v>
      </c>
      <c r="P579" s="39" t="s">
        <v>554</v>
      </c>
      <c r="Q579" s="39">
        <v>13405</v>
      </c>
      <c r="R579" s="39">
        <v>13405</v>
      </c>
      <c r="S579" s="39">
        <v>7303</v>
      </c>
      <c r="T579" s="39">
        <v>3652</v>
      </c>
      <c r="U579" s="39">
        <v>750</v>
      </c>
      <c r="V579" s="39">
        <v>450</v>
      </c>
      <c r="W579" s="39">
        <v>0</v>
      </c>
      <c r="X579" s="39">
        <v>0</v>
      </c>
      <c r="Y579" s="39">
        <v>1250</v>
      </c>
      <c r="Z579" s="39">
        <v>450</v>
      </c>
      <c r="AA579" s="39">
        <v>350</v>
      </c>
      <c r="AB579" s="39">
        <v>0</v>
      </c>
      <c r="AC579" s="39">
        <v>0</v>
      </c>
      <c r="AD579" s="39">
        <v>0</v>
      </c>
      <c r="AE579" s="39">
        <v>0</v>
      </c>
      <c r="AF579" s="39">
        <v>0</v>
      </c>
      <c r="AG579" s="39">
        <v>0</v>
      </c>
      <c r="AH579" s="39">
        <v>0</v>
      </c>
      <c r="AI579" s="39">
        <v>0</v>
      </c>
      <c r="AJ579" s="39">
        <f>'Row data'!$S579+'Row data'!$T579+'Row data'!$U579+'Row data'!$W579+'Row data'!$X579+'Row data'!$Y579+'Row data'!$Z579+'Row data'!$AA579+'Row data'!$AB579+'Row data'!$AD579-'Row data'!$AC579-'Row data'!$AE579-'Row data'!$AF579-'Row data'!$AG579-'Row data'!$AH579-'Row data'!$AI579</f>
        <v>13755</v>
      </c>
      <c r="AK579" s="39">
        <v>13755</v>
      </c>
      <c r="AL579" s="39">
        <v>0</v>
      </c>
    </row>
    <row r="580" spans="1:38" x14ac:dyDescent="0.3">
      <c r="A580" s="40">
        <v>579</v>
      </c>
      <c r="B580" s="35" t="s">
        <v>954</v>
      </c>
      <c r="C580" s="35">
        <v>6860380</v>
      </c>
      <c r="D580" s="36" t="s">
        <v>956</v>
      </c>
      <c r="E580" s="35" t="s">
        <v>38</v>
      </c>
      <c r="F580" s="35" t="s">
        <v>533</v>
      </c>
      <c r="G580" s="35" t="s">
        <v>50</v>
      </c>
      <c r="H580" s="37"/>
      <c r="I580" s="38">
        <v>45204</v>
      </c>
      <c r="J580" s="38">
        <v>44562</v>
      </c>
      <c r="K580" s="17">
        <f>YEAR('Row data'!$J580)</f>
        <v>2022</v>
      </c>
      <c r="L580" s="38">
        <v>28860</v>
      </c>
      <c r="M580" s="35" t="str">
        <f ca="1">IF('Row data'!$J580="",DATEDIF('Row data'!$L580,TODAY(),"y"),"0")</f>
        <v>0</v>
      </c>
      <c r="N580" s="35" t="s">
        <v>42</v>
      </c>
      <c r="O580" s="35" t="s">
        <v>553</v>
      </c>
      <c r="P580" s="39" t="s">
        <v>554</v>
      </c>
      <c r="Q580" s="39">
        <v>13405</v>
      </c>
      <c r="R580" s="39">
        <v>13405</v>
      </c>
      <c r="S580" s="39">
        <v>7303</v>
      </c>
      <c r="T580" s="39">
        <v>3652</v>
      </c>
      <c r="U580" s="39">
        <v>750</v>
      </c>
      <c r="V580" s="39">
        <v>450</v>
      </c>
      <c r="W580" s="39">
        <v>0</v>
      </c>
      <c r="X580" s="39">
        <v>0</v>
      </c>
      <c r="Y580" s="39">
        <v>1250</v>
      </c>
      <c r="Z580" s="39">
        <v>450</v>
      </c>
      <c r="AA580" s="39">
        <v>350</v>
      </c>
      <c r="AB580" s="39">
        <v>0</v>
      </c>
      <c r="AC580" s="39">
        <v>0</v>
      </c>
      <c r="AD580" s="39">
        <v>0</v>
      </c>
      <c r="AE580" s="39">
        <v>0</v>
      </c>
      <c r="AF580" s="39">
        <v>0</v>
      </c>
      <c r="AG580" s="39">
        <v>0</v>
      </c>
      <c r="AH580" s="39">
        <v>0</v>
      </c>
      <c r="AI580" s="39">
        <v>0</v>
      </c>
      <c r="AJ580" s="39">
        <f>'Row data'!$S580+'Row data'!$T580+'Row data'!$U580+'Row data'!$W580+'Row data'!$X580+'Row data'!$Y580+'Row data'!$Z580+'Row data'!$AA580+'Row data'!$AB580+'Row data'!$AD580-'Row data'!$AC580-'Row data'!$AE580-'Row data'!$AF580-'Row data'!$AG580-'Row data'!$AH580-'Row data'!$AI580</f>
        <v>13755</v>
      </c>
      <c r="AK580" s="39">
        <v>13755</v>
      </c>
      <c r="AL580" s="39">
        <v>0</v>
      </c>
    </row>
    <row r="581" spans="1:38" x14ac:dyDescent="0.3">
      <c r="A581" s="40">
        <v>580</v>
      </c>
      <c r="B581" s="35" t="s">
        <v>954</v>
      </c>
      <c r="C581" s="35">
        <v>9664103</v>
      </c>
      <c r="D581" s="36" t="s">
        <v>957</v>
      </c>
      <c r="E581" s="35" t="s">
        <v>38</v>
      </c>
      <c r="F581" s="35" t="s">
        <v>533</v>
      </c>
      <c r="G581" s="35" t="s">
        <v>50</v>
      </c>
      <c r="H581" s="37"/>
      <c r="I581" s="38">
        <v>45150</v>
      </c>
      <c r="J581" s="38">
        <v>44562</v>
      </c>
      <c r="K581" s="17">
        <f>YEAR('Row data'!$J581)</f>
        <v>2022</v>
      </c>
      <c r="L581" s="38">
        <v>34700</v>
      </c>
      <c r="M581" s="35" t="str">
        <f ca="1">IF('Row data'!$J581="",DATEDIF('Row data'!$L581,TODAY(),"y"),"0")</f>
        <v>0</v>
      </c>
      <c r="N581" s="35" t="s">
        <v>42</v>
      </c>
      <c r="O581" s="35" t="s">
        <v>553</v>
      </c>
      <c r="P581" s="39" t="s">
        <v>554</v>
      </c>
      <c r="Q581" s="39">
        <v>13405</v>
      </c>
      <c r="R581" s="39">
        <v>13405</v>
      </c>
      <c r="S581" s="39">
        <v>7303</v>
      </c>
      <c r="T581" s="39">
        <v>3652</v>
      </c>
      <c r="U581" s="39">
        <v>750</v>
      </c>
      <c r="V581" s="39">
        <v>450</v>
      </c>
      <c r="W581" s="39">
        <v>0</v>
      </c>
      <c r="X581" s="39">
        <v>0</v>
      </c>
      <c r="Y581" s="39">
        <v>1250</v>
      </c>
      <c r="Z581" s="39">
        <v>450</v>
      </c>
      <c r="AA581" s="39">
        <v>350</v>
      </c>
      <c r="AB581" s="39">
        <v>0</v>
      </c>
      <c r="AC581" s="39">
        <v>0</v>
      </c>
      <c r="AD581" s="39">
        <v>0</v>
      </c>
      <c r="AE581" s="39">
        <v>0</v>
      </c>
      <c r="AF581" s="39">
        <v>0</v>
      </c>
      <c r="AG581" s="39">
        <v>0</v>
      </c>
      <c r="AH581" s="39">
        <v>0</v>
      </c>
      <c r="AI581" s="39">
        <v>0</v>
      </c>
      <c r="AJ581" s="39">
        <f>'Row data'!$S581+'Row data'!$T581+'Row data'!$U581+'Row data'!$W581+'Row data'!$X581+'Row data'!$Y581+'Row data'!$Z581+'Row data'!$AA581+'Row data'!$AB581+'Row data'!$AD581-'Row data'!$AC581-'Row data'!$AE581-'Row data'!$AF581-'Row data'!$AG581-'Row data'!$AH581-'Row data'!$AI581</f>
        <v>13755</v>
      </c>
      <c r="AK581" s="39">
        <v>13755</v>
      </c>
      <c r="AL581" s="39">
        <v>0</v>
      </c>
    </row>
    <row r="582" spans="1:38" x14ac:dyDescent="0.3">
      <c r="A582" s="40">
        <v>581</v>
      </c>
      <c r="B582" s="35" t="s">
        <v>954</v>
      </c>
      <c r="C582" s="35">
        <v>7677204</v>
      </c>
      <c r="D582" s="36" t="s">
        <v>958</v>
      </c>
      <c r="E582" s="35" t="s">
        <v>38</v>
      </c>
      <c r="F582" s="35" t="s">
        <v>533</v>
      </c>
      <c r="G582" s="35" t="s">
        <v>50</v>
      </c>
      <c r="H582" s="37"/>
      <c r="I582" s="38">
        <v>45119</v>
      </c>
      <c r="J582" s="38">
        <v>44562</v>
      </c>
      <c r="K582" s="17">
        <f>YEAR('Row data'!$J582)</f>
        <v>2022</v>
      </c>
      <c r="L582" s="38">
        <v>32538</v>
      </c>
      <c r="M582" s="35" t="str">
        <f ca="1">IF('Row data'!$J582="",DATEDIF('Row data'!$L582,TODAY(),"y"),"0")</f>
        <v>0</v>
      </c>
      <c r="N582" s="35" t="s">
        <v>42</v>
      </c>
      <c r="O582" s="35" t="s">
        <v>553</v>
      </c>
      <c r="P582" s="39" t="s">
        <v>554</v>
      </c>
      <c r="Q582" s="39">
        <v>13405</v>
      </c>
      <c r="R582" s="39">
        <v>12622</v>
      </c>
      <c r="S582" s="39">
        <v>7303</v>
      </c>
      <c r="T582" s="39">
        <v>3652</v>
      </c>
      <c r="U582" s="39">
        <v>750</v>
      </c>
      <c r="V582" s="39">
        <v>450</v>
      </c>
      <c r="W582" s="39">
        <v>0</v>
      </c>
      <c r="X582" s="39">
        <v>0</v>
      </c>
      <c r="Y582" s="39">
        <v>1250</v>
      </c>
      <c r="Z582" s="39">
        <v>450</v>
      </c>
      <c r="AA582" s="39">
        <v>0</v>
      </c>
      <c r="AB582" s="39">
        <v>0</v>
      </c>
      <c r="AC582" s="39">
        <v>0</v>
      </c>
      <c r="AD582" s="39">
        <v>0</v>
      </c>
      <c r="AE582" s="39">
        <v>522</v>
      </c>
      <c r="AF582" s="39">
        <v>261</v>
      </c>
      <c r="AG582" s="39">
        <v>0</v>
      </c>
      <c r="AH582" s="39">
        <v>0</v>
      </c>
      <c r="AI582" s="39">
        <v>0</v>
      </c>
      <c r="AJ582" s="39">
        <f>'Row data'!$S582+'Row data'!$T582+'Row data'!$U582+'Row data'!$W582+'Row data'!$X582+'Row data'!$Y582+'Row data'!$Z582+'Row data'!$AA582+'Row data'!$AB582+'Row data'!$AD582-'Row data'!$AC582-'Row data'!$AE582-'Row data'!$AF582-'Row data'!$AG582-'Row data'!$AH582-'Row data'!$AI582</f>
        <v>12622</v>
      </c>
      <c r="AK582" s="39">
        <v>12622</v>
      </c>
      <c r="AL582" s="39">
        <v>0</v>
      </c>
    </row>
    <row r="583" spans="1:38" x14ac:dyDescent="0.3">
      <c r="A583" s="40">
        <v>582</v>
      </c>
      <c r="B583" s="35" t="s">
        <v>954</v>
      </c>
      <c r="C583" s="35">
        <v>6412326</v>
      </c>
      <c r="D583" s="36" t="s">
        <v>959</v>
      </c>
      <c r="E583" s="35" t="s">
        <v>38</v>
      </c>
      <c r="F583" s="35" t="s">
        <v>533</v>
      </c>
      <c r="G583" s="35" t="s">
        <v>50</v>
      </c>
      <c r="H583" s="37"/>
      <c r="I583" s="38">
        <v>45122</v>
      </c>
      <c r="J583" s="38">
        <v>44562</v>
      </c>
      <c r="K583" s="17">
        <f>YEAR('Row data'!$J583)</f>
        <v>2022</v>
      </c>
      <c r="L583" s="38">
        <v>35253</v>
      </c>
      <c r="M583" s="35" t="str">
        <f ca="1">IF('Row data'!$J583="",DATEDIF('Row data'!$L583,TODAY(),"y"),"0")</f>
        <v>0</v>
      </c>
      <c r="N583" s="35" t="s">
        <v>42</v>
      </c>
      <c r="O583" s="35" t="s">
        <v>553</v>
      </c>
      <c r="P583" s="39" t="s">
        <v>554</v>
      </c>
      <c r="Q583" s="39">
        <v>13405</v>
      </c>
      <c r="R583" s="39">
        <v>13405</v>
      </c>
      <c r="S583" s="39">
        <v>7303</v>
      </c>
      <c r="T583" s="39">
        <v>3652</v>
      </c>
      <c r="U583" s="39">
        <v>750</v>
      </c>
      <c r="V583" s="39">
        <v>450</v>
      </c>
      <c r="W583" s="39">
        <v>0</v>
      </c>
      <c r="X583" s="39">
        <v>0</v>
      </c>
      <c r="Y583" s="39">
        <v>1250</v>
      </c>
      <c r="Z583" s="39">
        <v>450</v>
      </c>
      <c r="AA583" s="39">
        <v>0</v>
      </c>
      <c r="AB583" s="39">
        <v>0</v>
      </c>
      <c r="AC583" s="39">
        <v>0</v>
      </c>
      <c r="AD583" s="39">
        <v>0</v>
      </c>
      <c r="AE583" s="39">
        <v>0</v>
      </c>
      <c r="AF583" s="39">
        <v>0</v>
      </c>
      <c r="AG583" s="39">
        <v>0</v>
      </c>
      <c r="AH583" s="39">
        <v>0</v>
      </c>
      <c r="AI583" s="39">
        <v>0</v>
      </c>
      <c r="AJ583" s="39">
        <f>'Row data'!$S583+'Row data'!$T583+'Row data'!$U583+'Row data'!$W583+'Row data'!$X583+'Row data'!$Y583+'Row data'!$Z583+'Row data'!$AA583+'Row data'!$AB583+'Row data'!$AD583-'Row data'!$AC583-'Row data'!$AE583-'Row data'!$AF583-'Row data'!$AG583-'Row data'!$AH583-'Row data'!$AI583</f>
        <v>13405</v>
      </c>
      <c r="AK583" s="39">
        <v>13405</v>
      </c>
      <c r="AL583" s="39">
        <v>0</v>
      </c>
    </row>
    <row r="584" spans="1:38" x14ac:dyDescent="0.3">
      <c r="A584" s="40">
        <v>583</v>
      </c>
      <c r="B584" s="35" t="s">
        <v>954</v>
      </c>
      <c r="C584" s="35">
        <v>7424513</v>
      </c>
      <c r="D584" s="36" t="s">
        <v>960</v>
      </c>
      <c r="E584" s="35" t="s">
        <v>38</v>
      </c>
      <c r="F584" s="35" t="s">
        <v>533</v>
      </c>
      <c r="G584" s="35" t="s">
        <v>50</v>
      </c>
      <c r="H584" s="37"/>
      <c r="I584" s="38">
        <v>45116</v>
      </c>
      <c r="J584" s="38">
        <v>44562</v>
      </c>
      <c r="K584" s="17">
        <f>YEAR('Row data'!$J584)</f>
        <v>2022</v>
      </c>
      <c r="L584" s="38">
        <v>36892</v>
      </c>
      <c r="M584" s="35" t="str">
        <f ca="1">IF('Row data'!$J584="",DATEDIF('Row data'!$L584,TODAY(),"y"),"0")</f>
        <v>0</v>
      </c>
      <c r="N584" s="35" t="s">
        <v>42</v>
      </c>
      <c r="O584" s="35" t="s">
        <v>553</v>
      </c>
      <c r="P584" s="39" t="s">
        <v>554</v>
      </c>
      <c r="Q584" s="39">
        <v>13405</v>
      </c>
      <c r="R584" s="39">
        <v>12883</v>
      </c>
      <c r="S584" s="39">
        <v>7303</v>
      </c>
      <c r="T584" s="39">
        <v>3652</v>
      </c>
      <c r="U584" s="39">
        <v>750</v>
      </c>
      <c r="V584" s="39">
        <v>450</v>
      </c>
      <c r="W584" s="39">
        <v>0</v>
      </c>
      <c r="X584" s="39">
        <v>0</v>
      </c>
      <c r="Y584" s="39">
        <v>1250</v>
      </c>
      <c r="Z584" s="39">
        <v>450</v>
      </c>
      <c r="AA584" s="39">
        <v>0</v>
      </c>
      <c r="AB584" s="39">
        <v>0</v>
      </c>
      <c r="AC584" s="39">
        <v>0</v>
      </c>
      <c r="AD584" s="39">
        <v>0</v>
      </c>
      <c r="AE584" s="39">
        <v>522</v>
      </c>
      <c r="AF584" s="39">
        <v>0</v>
      </c>
      <c r="AG584" s="39">
        <v>0</v>
      </c>
      <c r="AH584" s="39">
        <v>0</v>
      </c>
      <c r="AI584" s="39">
        <v>0</v>
      </c>
      <c r="AJ584" s="39">
        <f>'Row data'!$S584+'Row data'!$T584+'Row data'!$U584+'Row data'!$W584+'Row data'!$X584+'Row data'!$Y584+'Row data'!$Z584+'Row data'!$AA584+'Row data'!$AB584+'Row data'!$AD584-'Row data'!$AC584-'Row data'!$AE584-'Row data'!$AF584-'Row data'!$AG584-'Row data'!$AH584-'Row data'!$AI584</f>
        <v>12883</v>
      </c>
      <c r="AK584" s="39">
        <v>12883</v>
      </c>
      <c r="AL584" s="39">
        <v>0</v>
      </c>
    </row>
    <row r="585" spans="1:38" x14ac:dyDescent="0.3">
      <c r="A585" s="40">
        <v>584</v>
      </c>
      <c r="B585" s="35" t="s">
        <v>954</v>
      </c>
      <c r="C585" s="35">
        <v>5468678</v>
      </c>
      <c r="D585" s="36" t="s">
        <v>961</v>
      </c>
      <c r="E585" s="35" t="s">
        <v>38</v>
      </c>
      <c r="F585" s="35" t="s">
        <v>533</v>
      </c>
      <c r="G585" s="35" t="s">
        <v>50</v>
      </c>
      <c r="H585" s="37"/>
      <c r="I585" s="38">
        <v>44380</v>
      </c>
      <c r="J585" s="38"/>
      <c r="K585" s="17"/>
      <c r="L585" s="38">
        <v>36618</v>
      </c>
      <c r="M585" s="35">
        <f ca="1">IF('Row data'!$J585="",DATEDIF('Row data'!$L585,TODAY(),"y"),"0")</f>
        <v>26</v>
      </c>
      <c r="N585" s="35" t="s">
        <v>42</v>
      </c>
      <c r="O585" s="35" t="s">
        <v>553</v>
      </c>
      <c r="P585" s="39" t="s">
        <v>554</v>
      </c>
      <c r="Q585" s="39">
        <v>13405</v>
      </c>
      <c r="R585" s="39">
        <v>13405</v>
      </c>
      <c r="S585" s="39">
        <v>7303</v>
      </c>
      <c r="T585" s="39">
        <v>3652</v>
      </c>
      <c r="U585" s="39">
        <v>750</v>
      </c>
      <c r="V585" s="39">
        <v>450</v>
      </c>
      <c r="W585" s="39">
        <v>0</v>
      </c>
      <c r="X585" s="39">
        <v>0</v>
      </c>
      <c r="Y585" s="39">
        <v>1250</v>
      </c>
      <c r="Z585" s="39">
        <v>450</v>
      </c>
      <c r="AA585" s="39">
        <v>0</v>
      </c>
      <c r="AB585" s="39">
        <v>0</v>
      </c>
      <c r="AC585" s="39">
        <v>0</v>
      </c>
      <c r="AD585" s="39">
        <v>0</v>
      </c>
      <c r="AE585" s="39">
        <v>0</v>
      </c>
      <c r="AF585" s="39">
        <v>0</v>
      </c>
      <c r="AG585" s="39">
        <v>0</v>
      </c>
      <c r="AH585" s="39">
        <v>0</v>
      </c>
      <c r="AI585" s="39">
        <v>0</v>
      </c>
      <c r="AJ585" s="39">
        <f>'Row data'!$S585+'Row data'!$T585+'Row data'!$U585+'Row data'!$W585+'Row data'!$X585+'Row data'!$Y585+'Row data'!$Z585+'Row data'!$AA585+'Row data'!$AB585+'Row data'!$AD585-'Row data'!$AC585-'Row data'!$AE585-'Row data'!$AF585-'Row data'!$AG585-'Row data'!$AH585-'Row data'!$AI585</f>
        <v>13405</v>
      </c>
      <c r="AK585" s="39">
        <v>13405</v>
      </c>
      <c r="AL585" s="39">
        <v>0</v>
      </c>
    </row>
    <row r="586" spans="1:38" x14ac:dyDescent="0.3">
      <c r="A586" s="40">
        <v>585</v>
      </c>
      <c r="B586" s="35" t="s">
        <v>954</v>
      </c>
      <c r="C586" s="35">
        <v>6873189</v>
      </c>
      <c r="D586" s="36" t="s">
        <v>962</v>
      </c>
      <c r="E586" s="35" t="s">
        <v>38</v>
      </c>
      <c r="F586" s="35" t="s">
        <v>533</v>
      </c>
      <c r="G586" s="35" t="s">
        <v>50</v>
      </c>
      <c r="H586" s="37"/>
      <c r="I586" s="38">
        <v>44388</v>
      </c>
      <c r="J586" s="38"/>
      <c r="K586" s="17"/>
      <c r="L586" s="38">
        <v>31934</v>
      </c>
      <c r="M586" s="35">
        <f ca="1">IF('Row data'!$J586="",DATEDIF('Row data'!$L586,TODAY(),"y"),"0")</f>
        <v>39</v>
      </c>
      <c r="N586" s="35" t="s">
        <v>42</v>
      </c>
      <c r="O586" s="35" t="s">
        <v>553</v>
      </c>
      <c r="P586" s="39" t="s">
        <v>554</v>
      </c>
      <c r="Q586" s="39">
        <v>13405</v>
      </c>
      <c r="R586" s="39">
        <v>12362</v>
      </c>
      <c r="S586" s="39">
        <v>7303</v>
      </c>
      <c r="T586" s="39">
        <v>3652</v>
      </c>
      <c r="U586" s="39">
        <v>750</v>
      </c>
      <c r="V586" s="39">
        <v>450</v>
      </c>
      <c r="W586" s="39">
        <v>0</v>
      </c>
      <c r="X586" s="39">
        <v>0</v>
      </c>
      <c r="Y586" s="39">
        <v>1250</v>
      </c>
      <c r="Z586" s="39">
        <v>450</v>
      </c>
      <c r="AA586" s="39">
        <v>0</v>
      </c>
      <c r="AB586" s="39">
        <v>0</v>
      </c>
      <c r="AC586" s="39">
        <v>0</v>
      </c>
      <c r="AD586" s="39">
        <v>0</v>
      </c>
      <c r="AE586" s="39">
        <v>1043</v>
      </c>
      <c r="AF586" s="39">
        <v>0</v>
      </c>
      <c r="AG586" s="39">
        <v>0</v>
      </c>
      <c r="AH586" s="39">
        <v>0</v>
      </c>
      <c r="AI586" s="39">
        <v>0</v>
      </c>
      <c r="AJ586" s="39">
        <f>'Row data'!$S586+'Row data'!$T586+'Row data'!$U586+'Row data'!$W586+'Row data'!$X586+'Row data'!$Y586+'Row data'!$Z586+'Row data'!$AA586+'Row data'!$AB586+'Row data'!$AD586-'Row data'!$AC586-'Row data'!$AE586-'Row data'!$AF586-'Row data'!$AG586-'Row data'!$AH586-'Row data'!$AI586</f>
        <v>12362</v>
      </c>
      <c r="AK586" s="39">
        <v>12362</v>
      </c>
      <c r="AL586" s="39">
        <v>0</v>
      </c>
    </row>
    <row r="587" spans="1:38" x14ac:dyDescent="0.3">
      <c r="A587" s="40">
        <v>586</v>
      </c>
      <c r="B587" s="35" t="s">
        <v>954</v>
      </c>
      <c r="C587" s="35">
        <v>8704053</v>
      </c>
      <c r="D587" s="36" t="s">
        <v>963</v>
      </c>
      <c r="E587" s="35" t="s">
        <v>38</v>
      </c>
      <c r="F587" s="35" t="s">
        <v>533</v>
      </c>
      <c r="G587" s="35" t="s">
        <v>50</v>
      </c>
      <c r="H587" s="37"/>
      <c r="I587" s="38">
        <v>44625</v>
      </c>
      <c r="J587" s="38"/>
      <c r="K587" s="17"/>
      <c r="L587" s="38">
        <v>28221</v>
      </c>
      <c r="M587" s="35">
        <f ca="1">IF('Row data'!$J587="",DATEDIF('Row data'!$L587,TODAY(),"y"),"0")</f>
        <v>49</v>
      </c>
      <c r="N587" s="35" t="s">
        <v>42</v>
      </c>
      <c r="O587" s="35" t="s">
        <v>553</v>
      </c>
      <c r="P587" s="39" t="s">
        <v>554</v>
      </c>
      <c r="Q587" s="39">
        <v>13405</v>
      </c>
      <c r="R587" s="39">
        <v>13405</v>
      </c>
      <c r="S587" s="39">
        <v>7303</v>
      </c>
      <c r="T587" s="39">
        <v>3652</v>
      </c>
      <c r="U587" s="39">
        <v>750</v>
      </c>
      <c r="V587" s="39">
        <v>450</v>
      </c>
      <c r="W587" s="39">
        <v>0</v>
      </c>
      <c r="X587" s="39">
        <v>0</v>
      </c>
      <c r="Y587" s="39">
        <v>1250</v>
      </c>
      <c r="Z587" s="39">
        <v>450</v>
      </c>
      <c r="AA587" s="39">
        <v>250</v>
      </c>
      <c r="AB587" s="39">
        <v>0</v>
      </c>
      <c r="AC587" s="39">
        <v>0</v>
      </c>
      <c r="AD587" s="39">
        <v>0</v>
      </c>
      <c r="AE587" s="39">
        <v>0</v>
      </c>
      <c r="AF587" s="39">
        <v>0</v>
      </c>
      <c r="AG587" s="39">
        <v>500</v>
      </c>
      <c r="AH587" s="39">
        <v>0</v>
      </c>
      <c r="AI587" s="39">
        <v>0</v>
      </c>
      <c r="AJ587" s="39">
        <f>'Row data'!$S587+'Row data'!$T587+'Row data'!$U587+'Row data'!$W587+'Row data'!$X587+'Row data'!$Y587+'Row data'!$Z587+'Row data'!$AA587+'Row data'!$AB587+'Row data'!$AD587-'Row data'!$AC587-'Row data'!$AE587-'Row data'!$AF587-'Row data'!$AG587-'Row data'!$AH587-'Row data'!$AI587</f>
        <v>13155</v>
      </c>
      <c r="AK587" s="39">
        <v>13155</v>
      </c>
      <c r="AL587" s="39">
        <v>0</v>
      </c>
    </row>
    <row r="588" spans="1:38" x14ac:dyDescent="0.3">
      <c r="A588" s="40">
        <v>587</v>
      </c>
      <c r="B588" s="35" t="s">
        <v>954</v>
      </c>
      <c r="C588" s="35">
        <v>7559735</v>
      </c>
      <c r="D588" s="36" t="s">
        <v>964</v>
      </c>
      <c r="E588" s="35" t="s">
        <v>38</v>
      </c>
      <c r="F588" s="35" t="s">
        <v>533</v>
      </c>
      <c r="G588" s="35" t="s">
        <v>50</v>
      </c>
      <c r="H588" s="37"/>
      <c r="I588" s="38">
        <v>44635</v>
      </c>
      <c r="J588" s="38"/>
      <c r="K588" s="17"/>
      <c r="L588" s="38">
        <v>31124</v>
      </c>
      <c r="M588" s="35">
        <f ca="1">IF('Row data'!$J588="",DATEDIF('Row data'!$L588,TODAY(),"y"),"0")</f>
        <v>41</v>
      </c>
      <c r="N588" s="35" t="s">
        <v>42</v>
      </c>
      <c r="O588" s="35" t="s">
        <v>553</v>
      </c>
      <c r="P588" s="39" t="s">
        <v>554</v>
      </c>
      <c r="Q588" s="39">
        <v>13405</v>
      </c>
      <c r="R588" s="39">
        <v>13144</v>
      </c>
      <c r="S588" s="39">
        <v>7303</v>
      </c>
      <c r="T588" s="39">
        <v>3652</v>
      </c>
      <c r="U588" s="39">
        <v>750</v>
      </c>
      <c r="V588" s="39">
        <v>450</v>
      </c>
      <c r="W588" s="39">
        <v>0</v>
      </c>
      <c r="X588" s="39">
        <v>0</v>
      </c>
      <c r="Y588" s="39">
        <v>1250</v>
      </c>
      <c r="Z588" s="39">
        <v>450</v>
      </c>
      <c r="AA588" s="39">
        <v>0</v>
      </c>
      <c r="AB588" s="39">
        <v>0</v>
      </c>
      <c r="AC588" s="39">
        <v>0</v>
      </c>
      <c r="AD588" s="39">
        <v>0</v>
      </c>
      <c r="AE588" s="39">
        <v>261</v>
      </c>
      <c r="AF588" s="39">
        <v>0</v>
      </c>
      <c r="AG588" s="39">
        <v>0</v>
      </c>
      <c r="AH588" s="39">
        <v>0</v>
      </c>
      <c r="AI588" s="39">
        <v>0</v>
      </c>
      <c r="AJ588" s="39">
        <f>'Row data'!$S588+'Row data'!$T588+'Row data'!$U588+'Row data'!$W588+'Row data'!$X588+'Row data'!$Y588+'Row data'!$Z588+'Row data'!$AA588+'Row data'!$AB588+'Row data'!$AD588-'Row data'!$AC588-'Row data'!$AE588-'Row data'!$AF588-'Row data'!$AG588-'Row data'!$AH588-'Row data'!$AI588</f>
        <v>13144</v>
      </c>
      <c r="AK588" s="39">
        <v>13144</v>
      </c>
      <c r="AL588" s="39">
        <v>0</v>
      </c>
    </row>
    <row r="589" spans="1:38" x14ac:dyDescent="0.3">
      <c r="A589" s="40">
        <v>588</v>
      </c>
      <c r="B589" s="35" t="s">
        <v>954</v>
      </c>
      <c r="C589" s="35">
        <v>8334178</v>
      </c>
      <c r="D589" s="36" t="s">
        <v>965</v>
      </c>
      <c r="E589" s="35" t="s">
        <v>38</v>
      </c>
      <c r="F589" s="35" t="s">
        <v>533</v>
      </c>
      <c r="G589" s="35" t="s">
        <v>50</v>
      </c>
      <c r="H589" s="37"/>
      <c r="I589" s="38">
        <v>44698</v>
      </c>
      <c r="J589" s="38"/>
      <c r="K589" s="17"/>
      <c r="L589" s="38">
        <v>37782</v>
      </c>
      <c r="M589" s="35">
        <f ca="1">IF('Row data'!$J589="",DATEDIF('Row data'!$L589,TODAY(),"y"),"0")</f>
        <v>23</v>
      </c>
      <c r="N589" s="35" t="s">
        <v>42</v>
      </c>
      <c r="O589" s="35" t="s">
        <v>553</v>
      </c>
      <c r="P589" s="39" t="s">
        <v>554</v>
      </c>
      <c r="Q589" s="39">
        <v>13405</v>
      </c>
      <c r="R589" s="39">
        <v>13405</v>
      </c>
      <c r="S589" s="39">
        <v>7303</v>
      </c>
      <c r="T589" s="39">
        <v>3652</v>
      </c>
      <c r="U589" s="39">
        <v>750</v>
      </c>
      <c r="V589" s="39">
        <v>450</v>
      </c>
      <c r="W589" s="39">
        <v>0</v>
      </c>
      <c r="X589" s="39">
        <v>0</v>
      </c>
      <c r="Y589" s="39">
        <v>1250</v>
      </c>
      <c r="Z589" s="39">
        <v>450</v>
      </c>
      <c r="AA589" s="39">
        <v>250</v>
      </c>
      <c r="AB589" s="39">
        <v>0</v>
      </c>
      <c r="AC589" s="39">
        <v>0</v>
      </c>
      <c r="AD589" s="39">
        <v>0</v>
      </c>
      <c r="AE589" s="39">
        <v>0</v>
      </c>
      <c r="AF589" s="39">
        <v>0</v>
      </c>
      <c r="AG589" s="39">
        <v>0</v>
      </c>
      <c r="AH589" s="39">
        <v>0</v>
      </c>
      <c r="AI589" s="39">
        <v>0</v>
      </c>
      <c r="AJ589" s="39">
        <f>'Row data'!$S589+'Row data'!$T589+'Row data'!$U589+'Row data'!$W589+'Row data'!$X589+'Row data'!$Y589+'Row data'!$Z589+'Row data'!$AA589+'Row data'!$AB589+'Row data'!$AD589-'Row data'!$AC589-'Row data'!$AE589-'Row data'!$AF589-'Row data'!$AG589-'Row data'!$AH589-'Row data'!$AI589</f>
        <v>13655</v>
      </c>
      <c r="AK589" s="39">
        <v>13655</v>
      </c>
      <c r="AL589" s="39">
        <v>0</v>
      </c>
    </row>
    <row r="590" spans="1:38" x14ac:dyDescent="0.3">
      <c r="A590" s="40">
        <v>589</v>
      </c>
      <c r="B590" s="35" t="s">
        <v>954</v>
      </c>
      <c r="C590" s="35">
        <v>9278543</v>
      </c>
      <c r="D590" s="36" t="s">
        <v>966</v>
      </c>
      <c r="E590" s="35" t="s">
        <v>38</v>
      </c>
      <c r="F590" s="35" t="s">
        <v>533</v>
      </c>
      <c r="G590" s="35" t="s">
        <v>50</v>
      </c>
      <c r="H590" s="37"/>
      <c r="I590" s="38">
        <v>44844</v>
      </c>
      <c r="J590" s="38"/>
      <c r="K590" s="17"/>
      <c r="L590" s="38">
        <v>29015</v>
      </c>
      <c r="M590" s="35">
        <f ca="1">IF('Row data'!$J590="",DATEDIF('Row data'!$L590,TODAY(),"y"),"0")</f>
        <v>47</v>
      </c>
      <c r="N590" s="35" t="s">
        <v>42</v>
      </c>
      <c r="O590" s="35" t="s">
        <v>553</v>
      </c>
      <c r="P590" s="39" t="s">
        <v>554</v>
      </c>
      <c r="Q590" s="39">
        <v>13405</v>
      </c>
      <c r="R590" s="39">
        <v>13405</v>
      </c>
      <c r="S590" s="39">
        <v>7303</v>
      </c>
      <c r="T590" s="39">
        <v>3652</v>
      </c>
      <c r="U590" s="39">
        <v>750</v>
      </c>
      <c r="V590" s="39">
        <v>450</v>
      </c>
      <c r="W590" s="39">
        <v>0</v>
      </c>
      <c r="X590" s="39">
        <v>0</v>
      </c>
      <c r="Y590" s="39">
        <v>1250</v>
      </c>
      <c r="Z590" s="39">
        <v>450</v>
      </c>
      <c r="AA590" s="39">
        <v>0</v>
      </c>
      <c r="AB590" s="39">
        <v>0</v>
      </c>
      <c r="AC590" s="39">
        <v>0</v>
      </c>
      <c r="AD590" s="39">
        <v>0</v>
      </c>
      <c r="AE590" s="39">
        <v>0</v>
      </c>
      <c r="AF590" s="39">
        <v>0</v>
      </c>
      <c r="AG590" s="39">
        <v>0</v>
      </c>
      <c r="AH590" s="39">
        <v>0</v>
      </c>
      <c r="AI590" s="39">
        <v>0</v>
      </c>
      <c r="AJ590" s="39">
        <f>'Row data'!$S590+'Row data'!$T590+'Row data'!$U590+'Row data'!$W590+'Row data'!$X590+'Row data'!$Y590+'Row data'!$Z590+'Row data'!$AA590+'Row data'!$AB590+'Row data'!$AD590-'Row data'!$AC590-'Row data'!$AE590-'Row data'!$AF590-'Row data'!$AG590-'Row data'!$AH590-'Row data'!$AI590</f>
        <v>13405</v>
      </c>
      <c r="AK590" s="39">
        <v>13405</v>
      </c>
      <c r="AL590" s="39">
        <v>0</v>
      </c>
    </row>
    <row r="591" spans="1:38" x14ac:dyDescent="0.3">
      <c r="A591" s="40">
        <v>590</v>
      </c>
      <c r="B591" s="35" t="s">
        <v>954</v>
      </c>
      <c r="C591" s="35">
        <v>8153050</v>
      </c>
      <c r="D591" s="36" t="s">
        <v>967</v>
      </c>
      <c r="E591" s="35" t="s">
        <v>38</v>
      </c>
      <c r="F591" s="35" t="s">
        <v>533</v>
      </c>
      <c r="G591" s="35" t="s">
        <v>50</v>
      </c>
      <c r="H591" s="37"/>
      <c r="I591" s="38">
        <v>44900</v>
      </c>
      <c r="J591" s="38"/>
      <c r="K591" s="17"/>
      <c r="L591" s="38">
        <v>29983</v>
      </c>
      <c r="M591" s="35">
        <f ca="1">IF('Row data'!$J591="",DATEDIF('Row data'!$L591,TODAY(),"y"),"0")</f>
        <v>44</v>
      </c>
      <c r="N591" s="35" t="s">
        <v>42</v>
      </c>
      <c r="O591" s="35" t="s">
        <v>553</v>
      </c>
      <c r="P591" s="39" t="s">
        <v>554</v>
      </c>
      <c r="Q591" s="39">
        <v>13405</v>
      </c>
      <c r="R591" s="39">
        <v>13405</v>
      </c>
      <c r="S591" s="39">
        <v>7303</v>
      </c>
      <c r="T591" s="39">
        <v>3652</v>
      </c>
      <c r="U591" s="39">
        <v>750</v>
      </c>
      <c r="V591" s="39">
        <v>450</v>
      </c>
      <c r="W591" s="39">
        <v>0</v>
      </c>
      <c r="X591" s="39">
        <v>0</v>
      </c>
      <c r="Y591" s="39">
        <v>1250</v>
      </c>
      <c r="Z591" s="39">
        <v>450</v>
      </c>
      <c r="AA591" s="39">
        <v>350</v>
      </c>
      <c r="AB591" s="39">
        <v>0</v>
      </c>
      <c r="AC591" s="39">
        <v>0</v>
      </c>
      <c r="AD591" s="39">
        <v>0</v>
      </c>
      <c r="AE591" s="39">
        <v>0</v>
      </c>
      <c r="AF591" s="39">
        <v>0</v>
      </c>
      <c r="AG591" s="39">
        <v>0</v>
      </c>
      <c r="AH591" s="39">
        <v>0</v>
      </c>
      <c r="AI591" s="39">
        <v>0</v>
      </c>
      <c r="AJ591" s="39">
        <f>'Row data'!$S591+'Row data'!$T591+'Row data'!$U591+'Row data'!$W591+'Row data'!$X591+'Row data'!$Y591+'Row data'!$Z591+'Row data'!$AA591+'Row data'!$AB591+'Row data'!$AD591-'Row data'!$AC591-'Row data'!$AE591-'Row data'!$AF591-'Row data'!$AG591-'Row data'!$AH591-'Row data'!$AI591</f>
        <v>13755</v>
      </c>
      <c r="AK591" s="39">
        <v>13755</v>
      </c>
      <c r="AL591" s="39">
        <v>0</v>
      </c>
    </row>
    <row r="592" spans="1:38" x14ac:dyDescent="0.3">
      <c r="A592" s="40">
        <v>591</v>
      </c>
      <c r="B592" s="35" t="s">
        <v>954</v>
      </c>
      <c r="C592" s="35">
        <v>5967749</v>
      </c>
      <c r="D592" s="36" t="s">
        <v>968</v>
      </c>
      <c r="E592" s="35" t="s">
        <v>38</v>
      </c>
      <c r="F592" s="35" t="s">
        <v>533</v>
      </c>
      <c r="G592" s="35" t="s">
        <v>50</v>
      </c>
      <c r="H592" s="37"/>
      <c r="I592" s="38">
        <v>44927</v>
      </c>
      <c r="J592" s="38"/>
      <c r="K592" s="17"/>
      <c r="L592" s="38">
        <v>29964</v>
      </c>
      <c r="M592" s="35">
        <f ca="1">IF('Row data'!$J592="",DATEDIF('Row data'!$L592,TODAY(),"y"),"0")</f>
        <v>44</v>
      </c>
      <c r="N592" s="35" t="s">
        <v>42</v>
      </c>
      <c r="O592" s="35" t="s">
        <v>553</v>
      </c>
      <c r="P592" s="39" t="s">
        <v>554</v>
      </c>
      <c r="Q592" s="39">
        <v>13405</v>
      </c>
      <c r="R592" s="39">
        <v>13405</v>
      </c>
      <c r="S592" s="39">
        <v>7303</v>
      </c>
      <c r="T592" s="39">
        <v>3652</v>
      </c>
      <c r="U592" s="39">
        <v>750</v>
      </c>
      <c r="V592" s="39">
        <v>450</v>
      </c>
      <c r="W592" s="39">
        <v>0</v>
      </c>
      <c r="X592" s="39">
        <v>0</v>
      </c>
      <c r="Y592" s="39">
        <v>1250</v>
      </c>
      <c r="Z592" s="39">
        <v>450</v>
      </c>
      <c r="AA592" s="39">
        <v>250</v>
      </c>
      <c r="AB592" s="39">
        <v>0</v>
      </c>
      <c r="AC592" s="39">
        <v>0</v>
      </c>
      <c r="AD592" s="39">
        <v>0</v>
      </c>
      <c r="AE592" s="39">
        <v>0</v>
      </c>
      <c r="AF592" s="39">
        <v>0</v>
      </c>
      <c r="AG592" s="39">
        <v>0</v>
      </c>
      <c r="AH592" s="39">
        <v>0</v>
      </c>
      <c r="AI592" s="39">
        <v>0</v>
      </c>
      <c r="AJ592" s="39">
        <f>'Row data'!$S592+'Row data'!$T592+'Row data'!$U592+'Row data'!$W592+'Row data'!$X592+'Row data'!$Y592+'Row data'!$Z592+'Row data'!$AA592+'Row data'!$AB592+'Row data'!$AD592-'Row data'!$AC592-'Row data'!$AE592-'Row data'!$AF592-'Row data'!$AG592-'Row data'!$AH592-'Row data'!$AI592</f>
        <v>13655</v>
      </c>
      <c r="AK592" s="39">
        <v>13655</v>
      </c>
      <c r="AL592" s="39">
        <v>0</v>
      </c>
    </row>
    <row r="593" spans="1:38" x14ac:dyDescent="0.3">
      <c r="A593" s="40">
        <v>592</v>
      </c>
      <c r="B593" s="35" t="s">
        <v>954</v>
      </c>
      <c r="C593" s="35">
        <v>9857268</v>
      </c>
      <c r="D593" s="36" t="s">
        <v>969</v>
      </c>
      <c r="E593" s="35" t="s">
        <v>38</v>
      </c>
      <c r="F593" s="35" t="s">
        <v>533</v>
      </c>
      <c r="G593" s="35" t="s">
        <v>50</v>
      </c>
      <c r="H593" s="37"/>
      <c r="I593" s="38">
        <v>44938</v>
      </c>
      <c r="J593" s="38"/>
      <c r="K593" s="17"/>
      <c r="L593" s="38">
        <v>36892</v>
      </c>
      <c r="M593" s="35">
        <f ca="1">IF('Row data'!$J593="",DATEDIF('Row data'!$L593,TODAY(),"y"),"0")</f>
        <v>25</v>
      </c>
      <c r="N593" s="35" t="s">
        <v>42</v>
      </c>
      <c r="O593" s="35" t="s">
        <v>553</v>
      </c>
      <c r="P593" s="39" t="s">
        <v>554</v>
      </c>
      <c r="Q593" s="39">
        <v>13405</v>
      </c>
      <c r="R593" s="39">
        <v>13405</v>
      </c>
      <c r="S593" s="39">
        <v>7303</v>
      </c>
      <c r="T593" s="39">
        <v>3652</v>
      </c>
      <c r="U593" s="39">
        <v>750</v>
      </c>
      <c r="V593" s="39">
        <v>450</v>
      </c>
      <c r="W593" s="39">
        <v>0</v>
      </c>
      <c r="X593" s="39">
        <v>0</v>
      </c>
      <c r="Y593" s="39">
        <v>1250</v>
      </c>
      <c r="Z593" s="39">
        <v>450</v>
      </c>
      <c r="AA593" s="39">
        <v>350</v>
      </c>
      <c r="AB593" s="39">
        <v>0</v>
      </c>
      <c r="AC593" s="39">
        <v>0</v>
      </c>
      <c r="AD593" s="39">
        <v>0</v>
      </c>
      <c r="AE593" s="39">
        <v>0</v>
      </c>
      <c r="AF593" s="39">
        <v>0</v>
      </c>
      <c r="AG593" s="39">
        <v>0</v>
      </c>
      <c r="AH593" s="39">
        <v>0</v>
      </c>
      <c r="AI593" s="39">
        <v>0</v>
      </c>
      <c r="AJ593" s="39">
        <f>'Row data'!$S593+'Row data'!$T593+'Row data'!$U593+'Row data'!$W593+'Row data'!$X593+'Row data'!$Y593+'Row data'!$Z593+'Row data'!$AA593+'Row data'!$AB593+'Row data'!$AD593-'Row data'!$AC593-'Row data'!$AE593-'Row data'!$AF593-'Row data'!$AG593-'Row data'!$AH593-'Row data'!$AI593</f>
        <v>13755</v>
      </c>
      <c r="AK593" s="39">
        <v>13755</v>
      </c>
      <c r="AL593" s="39">
        <v>0</v>
      </c>
    </row>
    <row r="594" spans="1:38" x14ac:dyDescent="0.3">
      <c r="A594" s="40">
        <v>593</v>
      </c>
      <c r="B594" s="35" t="s">
        <v>954</v>
      </c>
      <c r="C594" s="35">
        <v>8903921</v>
      </c>
      <c r="D594" s="36" t="s">
        <v>970</v>
      </c>
      <c r="E594" s="35" t="s">
        <v>38</v>
      </c>
      <c r="F594" s="35" t="s">
        <v>533</v>
      </c>
      <c r="G594" s="35" t="s">
        <v>50</v>
      </c>
      <c r="H594" s="37"/>
      <c r="I594" s="38">
        <v>44938</v>
      </c>
      <c r="J594" s="38"/>
      <c r="K594" s="17"/>
      <c r="L594" s="38">
        <v>32420</v>
      </c>
      <c r="M594" s="35">
        <f ca="1">IF('Row data'!$J594="",DATEDIF('Row data'!$L594,TODAY(),"y"),"0")</f>
        <v>37</v>
      </c>
      <c r="N594" s="35" t="s">
        <v>42</v>
      </c>
      <c r="O594" s="35" t="s">
        <v>553</v>
      </c>
      <c r="P594" s="39" t="s">
        <v>554</v>
      </c>
      <c r="Q594" s="39">
        <v>13405</v>
      </c>
      <c r="R594" s="39">
        <v>12623</v>
      </c>
      <c r="S594" s="39">
        <v>7303</v>
      </c>
      <c r="T594" s="39">
        <v>3652</v>
      </c>
      <c r="U594" s="39">
        <v>750</v>
      </c>
      <c r="V594" s="39">
        <v>450</v>
      </c>
      <c r="W594" s="39">
        <v>0</v>
      </c>
      <c r="X594" s="39">
        <v>0</v>
      </c>
      <c r="Y594" s="39">
        <v>1250</v>
      </c>
      <c r="Z594" s="39">
        <v>450</v>
      </c>
      <c r="AA594" s="39">
        <v>0</v>
      </c>
      <c r="AB594" s="39">
        <v>0</v>
      </c>
      <c r="AC594" s="39">
        <v>0</v>
      </c>
      <c r="AD594" s="39">
        <v>0</v>
      </c>
      <c r="AE594" s="39">
        <v>782</v>
      </c>
      <c r="AF594" s="39">
        <v>0</v>
      </c>
      <c r="AG594" s="39">
        <v>0</v>
      </c>
      <c r="AH594" s="39">
        <v>0</v>
      </c>
      <c r="AI594" s="39">
        <v>0</v>
      </c>
      <c r="AJ594" s="39">
        <f>'Row data'!$S594+'Row data'!$T594+'Row data'!$U594+'Row data'!$W594+'Row data'!$X594+'Row data'!$Y594+'Row data'!$Z594+'Row data'!$AA594+'Row data'!$AB594+'Row data'!$AD594-'Row data'!$AC594-'Row data'!$AE594-'Row data'!$AF594-'Row data'!$AG594-'Row data'!$AH594-'Row data'!$AI594</f>
        <v>12623</v>
      </c>
      <c r="AK594" s="39">
        <v>12623</v>
      </c>
      <c r="AL594" s="39">
        <v>0</v>
      </c>
    </row>
    <row r="595" spans="1:38" x14ac:dyDescent="0.3">
      <c r="A595" s="40">
        <v>594</v>
      </c>
      <c r="B595" s="35" t="s">
        <v>954</v>
      </c>
      <c r="C595" s="35">
        <v>9377568</v>
      </c>
      <c r="D595" s="36" t="s">
        <v>971</v>
      </c>
      <c r="E595" s="35" t="s">
        <v>38</v>
      </c>
      <c r="F595" s="35" t="s">
        <v>533</v>
      </c>
      <c r="G595" s="35" t="s">
        <v>50</v>
      </c>
      <c r="H595" s="37"/>
      <c r="I595" s="38">
        <v>44940</v>
      </c>
      <c r="J595" s="38"/>
      <c r="K595" s="17"/>
      <c r="L595" s="38">
        <v>35379</v>
      </c>
      <c r="M595" s="35">
        <f ca="1">IF('Row data'!$J595="",DATEDIF('Row data'!$L595,TODAY(),"y"),"0")</f>
        <v>29</v>
      </c>
      <c r="N595" s="35" t="s">
        <v>42</v>
      </c>
      <c r="O595" s="35" t="s">
        <v>553</v>
      </c>
      <c r="P595" s="39" t="s">
        <v>554</v>
      </c>
      <c r="Q595" s="39">
        <v>13405</v>
      </c>
      <c r="R595" s="39">
        <v>13144</v>
      </c>
      <c r="S595" s="39">
        <v>7303</v>
      </c>
      <c r="T595" s="39">
        <v>3652</v>
      </c>
      <c r="U595" s="39">
        <v>750</v>
      </c>
      <c r="V595" s="39">
        <v>450</v>
      </c>
      <c r="W595" s="39">
        <v>0</v>
      </c>
      <c r="X595" s="39">
        <v>0</v>
      </c>
      <c r="Y595" s="39">
        <v>1250</v>
      </c>
      <c r="Z595" s="39">
        <v>450</v>
      </c>
      <c r="AA595" s="39">
        <v>0</v>
      </c>
      <c r="AB595" s="39">
        <v>0</v>
      </c>
      <c r="AC595" s="39">
        <v>0</v>
      </c>
      <c r="AD595" s="39">
        <v>0</v>
      </c>
      <c r="AE595" s="39">
        <v>261</v>
      </c>
      <c r="AF595" s="39">
        <v>0</v>
      </c>
      <c r="AG595" s="39">
        <v>0</v>
      </c>
      <c r="AH595" s="39">
        <v>0</v>
      </c>
      <c r="AI595" s="39">
        <v>0</v>
      </c>
      <c r="AJ595" s="39">
        <f>'Row data'!$S595+'Row data'!$T595+'Row data'!$U595+'Row data'!$W595+'Row data'!$X595+'Row data'!$Y595+'Row data'!$Z595+'Row data'!$AA595+'Row data'!$AB595+'Row data'!$AD595-'Row data'!$AC595-'Row data'!$AE595-'Row data'!$AF595-'Row data'!$AG595-'Row data'!$AH595-'Row data'!$AI595</f>
        <v>13144</v>
      </c>
      <c r="AK595" s="39">
        <v>13144</v>
      </c>
      <c r="AL595" s="39">
        <v>0</v>
      </c>
    </row>
    <row r="596" spans="1:38" x14ac:dyDescent="0.3">
      <c r="A596" s="40">
        <v>595</v>
      </c>
      <c r="B596" s="35" t="s">
        <v>954</v>
      </c>
      <c r="C596" s="35">
        <v>5926069</v>
      </c>
      <c r="D596" s="36" t="s">
        <v>972</v>
      </c>
      <c r="E596" s="35" t="s">
        <v>38</v>
      </c>
      <c r="F596" s="35" t="s">
        <v>533</v>
      </c>
      <c r="G596" s="35" t="s">
        <v>973</v>
      </c>
      <c r="H596" s="37"/>
      <c r="I596" s="38">
        <v>42690</v>
      </c>
      <c r="J596" s="38"/>
      <c r="K596" s="17"/>
      <c r="L596" s="38">
        <v>31413</v>
      </c>
      <c r="M596" s="35">
        <f ca="1">IF('Row data'!$J596="",DATEDIF('Row data'!$L596,TODAY(),"y"),"0")</f>
        <v>40</v>
      </c>
      <c r="N596" s="35" t="s">
        <v>42</v>
      </c>
      <c r="O596" s="35" t="s">
        <v>553</v>
      </c>
      <c r="P596" s="39" t="s">
        <v>554</v>
      </c>
      <c r="Q596" s="39">
        <v>15337</v>
      </c>
      <c r="R596" s="39">
        <v>15337</v>
      </c>
      <c r="S596" s="39">
        <v>8591</v>
      </c>
      <c r="T596" s="39">
        <v>4296</v>
      </c>
      <c r="U596" s="39">
        <v>750</v>
      </c>
      <c r="V596" s="39">
        <v>450</v>
      </c>
      <c r="W596" s="39">
        <v>0</v>
      </c>
      <c r="X596" s="39">
        <v>0</v>
      </c>
      <c r="Y596" s="39">
        <v>1250</v>
      </c>
      <c r="Z596" s="39">
        <v>450</v>
      </c>
      <c r="AA596" s="39">
        <v>350</v>
      </c>
      <c r="AB596" s="39">
        <v>0</v>
      </c>
      <c r="AC596" s="39">
        <v>0</v>
      </c>
      <c r="AD596" s="39">
        <v>0</v>
      </c>
      <c r="AE596" s="39">
        <v>0</v>
      </c>
      <c r="AF596" s="39">
        <v>0</v>
      </c>
      <c r="AG596" s="39">
        <v>0</v>
      </c>
      <c r="AH596" s="39">
        <v>0</v>
      </c>
      <c r="AI596" s="39">
        <v>0</v>
      </c>
      <c r="AJ596" s="39">
        <f>'Row data'!$S596+'Row data'!$T596+'Row data'!$U596+'Row data'!$W596+'Row data'!$X596+'Row data'!$Y596+'Row data'!$Z596+'Row data'!$AA596+'Row data'!$AB596+'Row data'!$AD596-'Row data'!$AC596-'Row data'!$AE596-'Row data'!$AF596-'Row data'!$AG596-'Row data'!$AH596-'Row data'!$AI596</f>
        <v>15687</v>
      </c>
      <c r="AK596" s="39">
        <v>15687</v>
      </c>
      <c r="AL596" s="39">
        <v>0</v>
      </c>
    </row>
    <row r="597" spans="1:38" x14ac:dyDescent="0.3">
      <c r="A597" s="40">
        <v>596</v>
      </c>
      <c r="B597" s="35" t="s">
        <v>954</v>
      </c>
      <c r="C597" s="35">
        <v>6188961</v>
      </c>
      <c r="D597" s="36" t="s">
        <v>974</v>
      </c>
      <c r="E597" s="35" t="s">
        <v>38</v>
      </c>
      <c r="F597" s="35" t="s">
        <v>533</v>
      </c>
      <c r="G597" s="35" t="s">
        <v>973</v>
      </c>
      <c r="H597" s="37"/>
      <c r="I597" s="38">
        <v>41883</v>
      </c>
      <c r="J597" s="38">
        <v>44562</v>
      </c>
      <c r="K597" s="17">
        <f>YEAR('Row data'!$J597)</f>
        <v>2022</v>
      </c>
      <c r="L597" s="38">
        <v>23600</v>
      </c>
      <c r="M597" s="35" t="str">
        <f ca="1">IF('Row data'!$J597="",DATEDIF('Row data'!$L597,TODAY(),"y"),"0")</f>
        <v>0</v>
      </c>
      <c r="N597" s="35" t="s">
        <v>42</v>
      </c>
      <c r="O597" s="35" t="s">
        <v>553</v>
      </c>
      <c r="P597" s="39" t="s">
        <v>554</v>
      </c>
      <c r="Q597" s="39">
        <v>15337</v>
      </c>
      <c r="R597" s="39">
        <v>15337</v>
      </c>
      <c r="S597" s="39">
        <v>8591</v>
      </c>
      <c r="T597" s="39">
        <v>4296</v>
      </c>
      <c r="U597" s="39">
        <v>750</v>
      </c>
      <c r="V597" s="39">
        <v>450</v>
      </c>
      <c r="W597" s="39">
        <v>0</v>
      </c>
      <c r="X597" s="39">
        <v>0</v>
      </c>
      <c r="Y597" s="39">
        <v>1250</v>
      </c>
      <c r="Z597" s="39">
        <v>450</v>
      </c>
      <c r="AA597" s="39">
        <v>0</v>
      </c>
      <c r="AB597" s="39">
        <v>0</v>
      </c>
      <c r="AC597" s="39">
        <v>0</v>
      </c>
      <c r="AD597" s="39">
        <v>0</v>
      </c>
      <c r="AE597" s="39">
        <v>0</v>
      </c>
      <c r="AF597" s="39">
        <v>0</v>
      </c>
      <c r="AG597" s="39">
        <v>0</v>
      </c>
      <c r="AH597" s="39">
        <v>0</v>
      </c>
      <c r="AI597" s="39">
        <v>0</v>
      </c>
      <c r="AJ597" s="39">
        <f>'Row data'!$S597+'Row data'!$T597+'Row data'!$U597+'Row data'!$W597+'Row data'!$X597+'Row data'!$Y597+'Row data'!$Z597+'Row data'!$AA597+'Row data'!$AB597+'Row data'!$AD597-'Row data'!$AC597-'Row data'!$AE597-'Row data'!$AF597-'Row data'!$AG597-'Row data'!$AH597-'Row data'!$AI597</f>
        <v>15337</v>
      </c>
      <c r="AK597" s="39">
        <v>15337</v>
      </c>
      <c r="AL597" s="39">
        <v>0</v>
      </c>
    </row>
    <row r="598" spans="1:38" x14ac:dyDescent="0.3">
      <c r="A598" s="40">
        <v>597</v>
      </c>
      <c r="B598" s="35" t="s">
        <v>954</v>
      </c>
      <c r="C598" s="35">
        <v>5968071</v>
      </c>
      <c r="D598" s="36" t="s">
        <v>975</v>
      </c>
      <c r="E598" s="35" t="s">
        <v>38</v>
      </c>
      <c r="F598" s="35" t="s">
        <v>533</v>
      </c>
      <c r="G598" s="35" t="s">
        <v>973</v>
      </c>
      <c r="H598" s="37"/>
      <c r="I598" s="38">
        <v>42644</v>
      </c>
      <c r="J598" s="38"/>
      <c r="K598" s="17"/>
      <c r="L598" s="38">
        <v>28688</v>
      </c>
      <c r="M598" s="35">
        <f ca="1">IF('Row data'!$J598="",DATEDIF('Row data'!$L598,TODAY(),"y"),"0")</f>
        <v>48</v>
      </c>
      <c r="N598" s="35" t="s">
        <v>42</v>
      </c>
      <c r="O598" s="35" t="s">
        <v>553</v>
      </c>
      <c r="P598" s="39" t="s">
        <v>554</v>
      </c>
      <c r="Q598" s="39">
        <v>15337</v>
      </c>
      <c r="R598" s="39">
        <v>15337</v>
      </c>
      <c r="S598" s="39">
        <v>8591</v>
      </c>
      <c r="T598" s="39">
        <v>4296</v>
      </c>
      <c r="U598" s="39">
        <v>750</v>
      </c>
      <c r="V598" s="39">
        <v>450</v>
      </c>
      <c r="W598" s="39">
        <v>0</v>
      </c>
      <c r="X598" s="39">
        <v>0</v>
      </c>
      <c r="Y598" s="39">
        <v>1250</v>
      </c>
      <c r="Z598" s="39">
        <v>450</v>
      </c>
      <c r="AA598" s="39">
        <v>250</v>
      </c>
      <c r="AB598" s="39">
        <v>0</v>
      </c>
      <c r="AC598" s="39">
        <v>0</v>
      </c>
      <c r="AD598" s="39">
        <v>0</v>
      </c>
      <c r="AE598" s="39">
        <v>0</v>
      </c>
      <c r="AF598" s="39">
        <v>0</v>
      </c>
      <c r="AG598" s="39">
        <v>0</v>
      </c>
      <c r="AH598" s="39">
        <v>0</v>
      </c>
      <c r="AI598" s="39">
        <v>0</v>
      </c>
      <c r="AJ598" s="39">
        <f>'Row data'!$S598+'Row data'!$T598+'Row data'!$U598+'Row data'!$W598+'Row data'!$X598+'Row data'!$Y598+'Row data'!$Z598+'Row data'!$AA598+'Row data'!$AB598+'Row data'!$AD598-'Row data'!$AC598-'Row data'!$AE598-'Row data'!$AF598-'Row data'!$AG598-'Row data'!$AH598-'Row data'!$AI598</f>
        <v>15587</v>
      </c>
      <c r="AK598" s="39">
        <v>15587</v>
      </c>
      <c r="AL598" s="39">
        <v>0</v>
      </c>
    </row>
    <row r="599" spans="1:38" x14ac:dyDescent="0.3">
      <c r="A599" s="40">
        <v>598</v>
      </c>
      <c r="B599" s="35" t="s">
        <v>954</v>
      </c>
      <c r="C599" s="35">
        <v>7527566</v>
      </c>
      <c r="D599" s="36" t="s">
        <v>976</v>
      </c>
      <c r="E599" s="35" t="s">
        <v>38</v>
      </c>
      <c r="F599" s="35" t="s">
        <v>533</v>
      </c>
      <c r="G599" s="35" t="s">
        <v>977</v>
      </c>
      <c r="H599" s="37"/>
      <c r="I599" s="38">
        <v>42992</v>
      </c>
      <c r="J599" s="38"/>
      <c r="K599" s="17"/>
      <c r="L599" s="38">
        <v>31936</v>
      </c>
      <c r="M599" s="35">
        <f ca="1">IF('Row data'!$J599="",DATEDIF('Row data'!$L599,TODAY(),"y"),"0")</f>
        <v>39</v>
      </c>
      <c r="N599" s="35" t="s">
        <v>42</v>
      </c>
      <c r="O599" s="35" t="s">
        <v>553</v>
      </c>
      <c r="P599" s="39" t="s">
        <v>554</v>
      </c>
      <c r="Q599" s="39">
        <v>15337</v>
      </c>
      <c r="R599" s="39">
        <v>15337</v>
      </c>
      <c r="S599" s="39">
        <v>8591</v>
      </c>
      <c r="T599" s="39">
        <v>4296</v>
      </c>
      <c r="U599" s="39">
        <v>750</v>
      </c>
      <c r="V599" s="39">
        <v>450</v>
      </c>
      <c r="W599" s="39">
        <v>0</v>
      </c>
      <c r="X599" s="39">
        <v>0</v>
      </c>
      <c r="Y599" s="39">
        <v>1250</v>
      </c>
      <c r="Z599" s="39">
        <v>450</v>
      </c>
      <c r="AA599" s="39">
        <v>0</v>
      </c>
      <c r="AB599" s="39">
        <v>0</v>
      </c>
      <c r="AC599" s="39">
        <v>0</v>
      </c>
      <c r="AD599" s="39">
        <v>0</v>
      </c>
      <c r="AE599" s="39">
        <v>0</v>
      </c>
      <c r="AF599" s="39">
        <v>0</v>
      </c>
      <c r="AG599" s="39">
        <v>0</v>
      </c>
      <c r="AH599" s="39">
        <v>0</v>
      </c>
      <c r="AI599" s="39">
        <v>0</v>
      </c>
      <c r="AJ599" s="39">
        <f>'Row data'!$S599+'Row data'!$T599+'Row data'!$U599+'Row data'!$W599+'Row data'!$X599+'Row data'!$Y599+'Row data'!$Z599+'Row data'!$AA599+'Row data'!$AB599+'Row data'!$AD599-'Row data'!$AC599-'Row data'!$AE599-'Row data'!$AF599-'Row data'!$AG599-'Row data'!$AH599-'Row data'!$AI599</f>
        <v>15337</v>
      </c>
      <c r="AK599" s="39">
        <v>15337</v>
      </c>
      <c r="AL599" s="39">
        <v>0</v>
      </c>
    </row>
    <row r="600" spans="1:38" x14ac:dyDescent="0.3">
      <c r="A600" s="40">
        <v>599</v>
      </c>
      <c r="B600" s="35" t="s">
        <v>954</v>
      </c>
      <c r="C600" s="35">
        <v>5315100</v>
      </c>
      <c r="D600" s="36" t="s">
        <v>978</v>
      </c>
      <c r="E600" s="35" t="s">
        <v>38</v>
      </c>
      <c r="F600" s="35" t="s">
        <v>533</v>
      </c>
      <c r="G600" s="35" t="s">
        <v>973</v>
      </c>
      <c r="H600" s="37"/>
      <c r="I600" s="38">
        <v>42998</v>
      </c>
      <c r="J600" s="38">
        <v>44748</v>
      </c>
      <c r="K600" s="17">
        <f>YEAR('Row data'!$J600)</f>
        <v>2022</v>
      </c>
      <c r="L600" s="38">
        <v>28312</v>
      </c>
      <c r="M600" s="35" t="str">
        <f ca="1">IF('Row data'!$J600="",DATEDIF('Row data'!$L600,TODAY(),"y"),"0")</f>
        <v>0</v>
      </c>
      <c r="N600" s="35" t="s">
        <v>42</v>
      </c>
      <c r="O600" s="35" t="s">
        <v>553</v>
      </c>
      <c r="P600" s="39" t="s">
        <v>554</v>
      </c>
      <c r="Q600" s="39">
        <v>15337</v>
      </c>
      <c r="R600" s="39">
        <v>15337</v>
      </c>
      <c r="S600" s="39">
        <v>8591</v>
      </c>
      <c r="T600" s="39">
        <v>4296</v>
      </c>
      <c r="U600" s="39">
        <v>750</v>
      </c>
      <c r="V600" s="39">
        <v>450</v>
      </c>
      <c r="W600" s="39">
        <v>0</v>
      </c>
      <c r="X600" s="39">
        <v>0</v>
      </c>
      <c r="Y600" s="39">
        <v>1250</v>
      </c>
      <c r="Z600" s="39">
        <v>450</v>
      </c>
      <c r="AA600" s="39">
        <v>350</v>
      </c>
      <c r="AB600" s="39">
        <v>0</v>
      </c>
      <c r="AC600" s="39">
        <v>0</v>
      </c>
      <c r="AD600" s="39">
        <v>0</v>
      </c>
      <c r="AE600" s="39">
        <v>0</v>
      </c>
      <c r="AF600" s="39">
        <v>0</v>
      </c>
      <c r="AG600" s="39">
        <v>0</v>
      </c>
      <c r="AH600" s="39">
        <v>0</v>
      </c>
      <c r="AI600" s="39">
        <v>0</v>
      </c>
      <c r="AJ600" s="39">
        <f>'Row data'!$S600+'Row data'!$T600+'Row data'!$U600+'Row data'!$W600+'Row data'!$X600+'Row data'!$Y600+'Row data'!$Z600+'Row data'!$AA600+'Row data'!$AB600+'Row data'!$AD600-'Row data'!$AC600-'Row data'!$AE600-'Row data'!$AF600-'Row data'!$AG600-'Row data'!$AH600-'Row data'!$AI600</f>
        <v>15687</v>
      </c>
      <c r="AK600" s="39">
        <v>15687</v>
      </c>
      <c r="AL600" s="39">
        <v>0</v>
      </c>
    </row>
    <row r="601" spans="1:38" x14ac:dyDescent="0.3">
      <c r="A601" s="40">
        <v>600</v>
      </c>
      <c r="B601" s="35" t="s">
        <v>954</v>
      </c>
      <c r="C601" s="35">
        <v>8125405</v>
      </c>
      <c r="D601" s="36" t="s">
        <v>979</v>
      </c>
      <c r="E601" s="35" t="s">
        <v>38</v>
      </c>
      <c r="F601" s="35" t="s">
        <v>533</v>
      </c>
      <c r="G601" s="35" t="s">
        <v>980</v>
      </c>
      <c r="H601" s="37"/>
      <c r="I601" s="38">
        <v>43709</v>
      </c>
      <c r="J601" s="38">
        <v>45716</v>
      </c>
      <c r="K601" s="17">
        <f>YEAR('Row data'!$J601)</f>
        <v>2025</v>
      </c>
      <c r="L601" s="38">
        <v>32144</v>
      </c>
      <c r="M601" s="35" t="str">
        <f ca="1">IF('Row data'!$J601="",DATEDIF('Row data'!$L601,TODAY(),"y"),"0")</f>
        <v>0</v>
      </c>
      <c r="N601" s="35" t="s">
        <v>42</v>
      </c>
      <c r="O601" s="35" t="s">
        <v>553</v>
      </c>
      <c r="P601" s="39" t="s">
        <v>554</v>
      </c>
      <c r="Q601" s="39">
        <v>13622</v>
      </c>
      <c r="R601" s="39">
        <v>13402</v>
      </c>
      <c r="S601" s="39">
        <v>7448</v>
      </c>
      <c r="T601" s="39">
        <v>3724</v>
      </c>
      <c r="U601" s="39">
        <v>750</v>
      </c>
      <c r="V601" s="39">
        <v>450</v>
      </c>
      <c r="W601" s="39">
        <v>0</v>
      </c>
      <c r="X601" s="39">
        <v>0</v>
      </c>
      <c r="Y601" s="39">
        <v>1250</v>
      </c>
      <c r="Z601" s="39">
        <v>450</v>
      </c>
      <c r="AA601" s="39">
        <v>350</v>
      </c>
      <c r="AB601" s="39">
        <v>0</v>
      </c>
      <c r="AC601" s="39">
        <v>-220</v>
      </c>
      <c r="AD601" s="39">
        <v>0</v>
      </c>
      <c r="AE601" s="39">
        <v>0</v>
      </c>
      <c r="AF601" s="39">
        <v>0</v>
      </c>
      <c r="AG601" s="39">
        <v>0</v>
      </c>
      <c r="AH601" s="39">
        <v>0</v>
      </c>
      <c r="AI601" s="39">
        <v>0</v>
      </c>
      <c r="AJ601" s="39">
        <f>'Row data'!$S601+'Row data'!$T601+'Row data'!$U601+'Row data'!$W601+'Row data'!$X601+'Row data'!$Y601+'Row data'!$Z601+'Row data'!$AA601+'Row data'!$AB601+'Row data'!$AD601-'Row data'!$AC601-'Row data'!$AE601-'Row data'!$AF601-'Row data'!$AG601-'Row data'!$AH601-'Row data'!$AI601</f>
        <v>14192</v>
      </c>
      <c r="AK601" s="39">
        <v>13752</v>
      </c>
      <c r="AL601" s="39">
        <v>0</v>
      </c>
    </row>
    <row r="602" spans="1:38" x14ac:dyDescent="0.3">
      <c r="A602" s="40">
        <v>601</v>
      </c>
      <c r="B602" s="35" t="s">
        <v>954</v>
      </c>
      <c r="C602" s="35">
        <v>5265093</v>
      </c>
      <c r="D602" s="36" t="s">
        <v>981</v>
      </c>
      <c r="E602" s="35" t="s">
        <v>38</v>
      </c>
      <c r="F602" s="35" t="s">
        <v>533</v>
      </c>
      <c r="G602" s="35" t="s">
        <v>50</v>
      </c>
      <c r="H602" s="37"/>
      <c r="I602" s="38">
        <v>44262</v>
      </c>
      <c r="J602" s="38"/>
      <c r="K602" s="17"/>
      <c r="L602" s="38">
        <v>34281</v>
      </c>
      <c r="M602" s="35">
        <f ca="1">IF('Row data'!$J602="",DATEDIF('Row data'!$L602,TODAY(),"y"),"0")</f>
        <v>32</v>
      </c>
      <c r="N602" s="35" t="s">
        <v>42</v>
      </c>
      <c r="O602" s="35" t="s">
        <v>553</v>
      </c>
      <c r="P602" s="39" t="s">
        <v>554</v>
      </c>
      <c r="Q602" s="39">
        <v>13405</v>
      </c>
      <c r="R602" s="39">
        <v>13405</v>
      </c>
      <c r="S602" s="39">
        <v>7303</v>
      </c>
      <c r="T602" s="39">
        <v>3652</v>
      </c>
      <c r="U602" s="39">
        <v>750</v>
      </c>
      <c r="V602" s="39">
        <v>450</v>
      </c>
      <c r="W602" s="39">
        <v>0</v>
      </c>
      <c r="X602" s="39">
        <v>0</v>
      </c>
      <c r="Y602" s="39">
        <v>1250</v>
      </c>
      <c r="Z602" s="39">
        <v>450</v>
      </c>
      <c r="AA602" s="39">
        <v>0</v>
      </c>
      <c r="AB602" s="39">
        <v>0</v>
      </c>
      <c r="AC602" s="39">
        <v>0</v>
      </c>
      <c r="AD602" s="39">
        <v>0</v>
      </c>
      <c r="AE602" s="39">
        <v>0</v>
      </c>
      <c r="AF602" s="39">
        <v>0</v>
      </c>
      <c r="AG602" s="39">
        <v>0</v>
      </c>
      <c r="AH602" s="39">
        <v>0</v>
      </c>
      <c r="AI602" s="39">
        <v>0</v>
      </c>
      <c r="AJ602" s="39">
        <f>'Row data'!$S602+'Row data'!$T602+'Row data'!$U602+'Row data'!$W602+'Row data'!$X602+'Row data'!$Y602+'Row data'!$Z602+'Row data'!$AA602+'Row data'!$AB602+'Row data'!$AD602-'Row data'!$AC602-'Row data'!$AE602-'Row data'!$AF602-'Row data'!$AG602-'Row data'!$AH602-'Row data'!$AI602</f>
        <v>13405</v>
      </c>
      <c r="AK602" s="39">
        <v>13405</v>
      </c>
      <c r="AL602" s="39">
        <v>0</v>
      </c>
    </row>
    <row r="603" spans="1:38" x14ac:dyDescent="0.3">
      <c r="A603" s="40">
        <v>602</v>
      </c>
      <c r="B603" s="35" t="s">
        <v>954</v>
      </c>
      <c r="C603" s="35">
        <v>6273154</v>
      </c>
      <c r="D603" s="36" t="s">
        <v>982</v>
      </c>
      <c r="E603" s="35" t="s">
        <v>38</v>
      </c>
      <c r="F603" s="35" t="s">
        <v>533</v>
      </c>
      <c r="G603" s="35" t="s">
        <v>50</v>
      </c>
      <c r="H603" s="37"/>
      <c r="I603" s="38">
        <v>44349</v>
      </c>
      <c r="J603" s="38"/>
      <c r="K603" s="17"/>
      <c r="L603" s="38">
        <v>37643</v>
      </c>
      <c r="M603" s="35">
        <f ca="1">IF('Row data'!$J603="",DATEDIF('Row data'!$L603,TODAY(),"y"),"0")</f>
        <v>23</v>
      </c>
      <c r="N603" s="35" t="s">
        <v>42</v>
      </c>
      <c r="O603" s="35" t="s">
        <v>553</v>
      </c>
      <c r="P603" s="39" t="s">
        <v>554</v>
      </c>
      <c r="Q603" s="39">
        <v>13405</v>
      </c>
      <c r="R603" s="39">
        <v>13405</v>
      </c>
      <c r="S603" s="39">
        <v>7303</v>
      </c>
      <c r="T603" s="39">
        <v>3652</v>
      </c>
      <c r="U603" s="39">
        <v>750</v>
      </c>
      <c r="V603" s="39">
        <v>450</v>
      </c>
      <c r="W603" s="39">
        <v>0</v>
      </c>
      <c r="X603" s="39">
        <v>0</v>
      </c>
      <c r="Y603" s="39">
        <v>1250</v>
      </c>
      <c r="Z603" s="39">
        <v>450</v>
      </c>
      <c r="AA603" s="39">
        <v>350</v>
      </c>
      <c r="AB603" s="39">
        <v>0</v>
      </c>
      <c r="AC603" s="39">
        <v>0</v>
      </c>
      <c r="AD603" s="39">
        <v>0</v>
      </c>
      <c r="AE603" s="39">
        <v>0</v>
      </c>
      <c r="AF603" s="39">
        <v>0</v>
      </c>
      <c r="AG603" s="39">
        <v>0</v>
      </c>
      <c r="AH603" s="39">
        <v>0</v>
      </c>
      <c r="AI603" s="39">
        <v>0</v>
      </c>
      <c r="AJ603" s="39">
        <f>'Row data'!$S603+'Row data'!$T603+'Row data'!$U603+'Row data'!$W603+'Row data'!$X603+'Row data'!$Y603+'Row data'!$Z603+'Row data'!$AA603+'Row data'!$AB603+'Row data'!$AD603-'Row data'!$AC603-'Row data'!$AE603-'Row data'!$AF603-'Row data'!$AG603-'Row data'!$AH603-'Row data'!$AI603</f>
        <v>13755</v>
      </c>
      <c r="AK603" s="39">
        <v>13755</v>
      </c>
      <c r="AL603" s="39">
        <v>0</v>
      </c>
    </row>
    <row r="604" spans="1:38" x14ac:dyDescent="0.3">
      <c r="A604" s="40">
        <v>603</v>
      </c>
      <c r="B604" s="35" t="s">
        <v>954</v>
      </c>
      <c r="C604" s="35">
        <v>5184168</v>
      </c>
      <c r="D604" s="36" t="s">
        <v>983</v>
      </c>
      <c r="E604" s="35" t="s">
        <v>38</v>
      </c>
      <c r="F604" s="35" t="s">
        <v>533</v>
      </c>
      <c r="G604" s="35" t="s">
        <v>95</v>
      </c>
      <c r="H604" s="37"/>
      <c r="I604" s="38">
        <v>44053</v>
      </c>
      <c r="J604" s="38"/>
      <c r="K604" s="17"/>
      <c r="L604" s="38">
        <v>30464</v>
      </c>
      <c r="M604" s="35">
        <f ca="1">IF('Row data'!$J604="",DATEDIF('Row data'!$L604,TODAY(),"y"),"0")</f>
        <v>43</v>
      </c>
      <c r="N604" s="35" t="s">
        <v>42</v>
      </c>
      <c r="O604" s="35" t="s">
        <v>553</v>
      </c>
      <c r="P604" s="39" t="s">
        <v>554</v>
      </c>
      <c r="Q604" s="39">
        <v>13732</v>
      </c>
      <c r="R604" s="39">
        <v>13732</v>
      </c>
      <c r="S604" s="39">
        <v>7521</v>
      </c>
      <c r="T604" s="39">
        <v>3761</v>
      </c>
      <c r="U604" s="39">
        <v>750</v>
      </c>
      <c r="V604" s="39">
        <v>450</v>
      </c>
      <c r="W604" s="39">
        <v>0</v>
      </c>
      <c r="X604" s="39">
        <v>0</v>
      </c>
      <c r="Y604" s="39">
        <v>1250</v>
      </c>
      <c r="Z604" s="39">
        <v>450</v>
      </c>
      <c r="AA604" s="39">
        <v>350</v>
      </c>
      <c r="AB604" s="39">
        <v>0</v>
      </c>
      <c r="AC604" s="39">
        <v>0</v>
      </c>
      <c r="AD604" s="39">
        <v>0</v>
      </c>
      <c r="AE604" s="39">
        <v>0</v>
      </c>
      <c r="AF604" s="39">
        <v>0</v>
      </c>
      <c r="AG604" s="39">
        <v>0</v>
      </c>
      <c r="AH604" s="39">
        <v>0</v>
      </c>
      <c r="AI604" s="39">
        <v>0</v>
      </c>
      <c r="AJ604" s="39">
        <f>'Row data'!$S604+'Row data'!$T604+'Row data'!$U604+'Row data'!$W604+'Row data'!$X604+'Row data'!$Y604+'Row data'!$Z604+'Row data'!$AA604+'Row data'!$AB604+'Row data'!$AD604-'Row data'!$AC604-'Row data'!$AE604-'Row data'!$AF604-'Row data'!$AG604-'Row data'!$AH604-'Row data'!$AI604</f>
        <v>14082</v>
      </c>
      <c r="AK604" s="39">
        <v>14082</v>
      </c>
      <c r="AL604" s="39">
        <v>0</v>
      </c>
    </row>
    <row r="605" spans="1:38" x14ac:dyDescent="0.3">
      <c r="A605" s="40">
        <v>604</v>
      </c>
      <c r="B605" s="35" t="s">
        <v>954</v>
      </c>
      <c r="C605" s="35">
        <v>7967972</v>
      </c>
      <c r="D605" s="36" t="s">
        <v>984</v>
      </c>
      <c r="E605" s="35" t="s">
        <v>38</v>
      </c>
      <c r="F605" s="35" t="s">
        <v>533</v>
      </c>
      <c r="G605" s="35" t="s">
        <v>95</v>
      </c>
      <c r="H605" s="37"/>
      <c r="I605" s="38">
        <v>44059</v>
      </c>
      <c r="J605" s="38"/>
      <c r="K605" s="17"/>
      <c r="L605" s="38">
        <v>30564</v>
      </c>
      <c r="M605" s="35">
        <f ca="1">IF('Row data'!$J605="",DATEDIF('Row data'!$L605,TODAY(),"y"),"0")</f>
        <v>43</v>
      </c>
      <c r="N605" s="35" t="s">
        <v>42</v>
      </c>
      <c r="O605" s="35" t="s">
        <v>553</v>
      </c>
      <c r="P605" s="39" t="s">
        <v>554</v>
      </c>
      <c r="Q605" s="39">
        <v>13732</v>
      </c>
      <c r="R605" s="39">
        <v>13463</v>
      </c>
      <c r="S605" s="39">
        <v>7521</v>
      </c>
      <c r="T605" s="39">
        <v>3761</v>
      </c>
      <c r="U605" s="39">
        <v>750</v>
      </c>
      <c r="V605" s="39">
        <v>450</v>
      </c>
      <c r="W605" s="39">
        <v>0</v>
      </c>
      <c r="X605" s="39">
        <v>0</v>
      </c>
      <c r="Y605" s="39">
        <v>1250</v>
      </c>
      <c r="Z605" s="39">
        <v>450</v>
      </c>
      <c r="AA605" s="39">
        <v>0</v>
      </c>
      <c r="AB605" s="39">
        <v>0</v>
      </c>
      <c r="AC605" s="39">
        <v>0</v>
      </c>
      <c r="AD605" s="39">
        <v>0</v>
      </c>
      <c r="AE605" s="39">
        <v>269</v>
      </c>
      <c r="AF605" s="39">
        <v>0</v>
      </c>
      <c r="AG605" s="39">
        <v>0</v>
      </c>
      <c r="AH605" s="39">
        <v>0</v>
      </c>
      <c r="AI605" s="39">
        <v>0</v>
      </c>
      <c r="AJ605" s="39">
        <f>'Row data'!$S605+'Row data'!$T605+'Row data'!$U605+'Row data'!$W605+'Row data'!$X605+'Row data'!$Y605+'Row data'!$Z605+'Row data'!$AA605+'Row data'!$AB605+'Row data'!$AD605-'Row data'!$AC605-'Row data'!$AE605-'Row data'!$AF605-'Row data'!$AG605-'Row data'!$AH605-'Row data'!$AI605</f>
        <v>13463</v>
      </c>
      <c r="AK605" s="39">
        <v>13463</v>
      </c>
      <c r="AL605" s="39">
        <v>0</v>
      </c>
    </row>
    <row r="606" spans="1:38" x14ac:dyDescent="0.3">
      <c r="A606" s="40">
        <v>605</v>
      </c>
      <c r="B606" s="35" t="s">
        <v>954</v>
      </c>
      <c r="C606" s="35">
        <v>6111857</v>
      </c>
      <c r="D606" s="36" t="s">
        <v>985</v>
      </c>
      <c r="E606" s="35" t="s">
        <v>38</v>
      </c>
      <c r="F606" s="35" t="s">
        <v>533</v>
      </c>
      <c r="G606" s="35" t="s">
        <v>50</v>
      </c>
      <c r="H606" s="37"/>
      <c r="I606" s="38">
        <v>44228</v>
      </c>
      <c r="J606" s="38"/>
      <c r="K606" s="17"/>
      <c r="L606" s="38">
        <v>32669</v>
      </c>
      <c r="M606" s="35">
        <f ca="1">IF('Row data'!$J606="",DATEDIF('Row data'!$L606,TODAY(),"y"),"0")</f>
        <v>37</v>
      </c>
      <c r="N606" s="35" t="s">
        <v>42</v>
      </c>
      <c r="O606" s="35" t="s">
        <v>553</v>
      </c>
      <c r="P606" s="39" t="s">
        <v>554</v>
      </c>
      <c r="Q606" s="39">
        <v>13405</v>
      </c>
      <c r="R606" s="39">
        <v>13144</v>
      </c>
      <c r="S606" s="39">
        <v>7303</v>
      </c>
      <c r="T606" s="39">
        <v>3652</v>
      </c>
      <c r="U606" s="39">
        <v>750</v>
      </c>
      <c r="V606" s="39">
        <v>450</v>
      </c>
      <c r="W606" s="39">
        <v>0</v>
      </c>
      <c r="X606" s="39">
        <v>0</v>
      </c>
      <c r="Y606" s="39">
        <v>1250</v>
      </c>
      <c r="Z606" s="39">
        <v>450</v>
      </c>
      <c r="AA606" s="39">
        <v>0</v>
      </c>
      <c r="AB606" s="39">
        <v>0</v>
      </c>
      <c r="AC606" s="39">
        <v>0</v>
      </c>
      <c r="AD606" s="39">
        <v>0</v>
      </c>
      <c r="AE606" s="39">
        <v>261</v>
      </c>
      <c r="AF606" s="39">
        <v>0</v>
      </c>
      <c r="AG606" s="39">
        <v>0</v>
      </c>
      <c r="AH606" s="39">
        <v>0</v>
      </c>
      <c r="AI606" s="39">
        <v>0</v>
      </c>
      <c r="AJ606" s="39">
        <f>'Row data'!$S606+'Row data'!$T606+'Row data'!$U606+'Row data'!$W606+'Row data'!$X606+'Row data'!$Y606+'Row data'!$Z606+'Row data'!$AA606+'Row data'!$AB606+'Row data'!$AD606-'Row data'!$AC606-'Row data'!$AE606-'Row data'!$AF606-'Row data'!$AG606-'Row data'!$AH606-'Row data'!$AI606</f>
        <v>13144</v>
      </c>
      <c r="AK606" s="39">
        <v>13144</v>
      </c>
      <c r="AL606" s="39">
        <v>0</v>
      </c>
    </row>
    <row r="607" spans="1:38" x14ac:dyDescent="0.3">
      <c r="A607" s="40"/>
      <c r="B607" s="35"/>
      <c r="C607" s="35"/>
      <c r="D607" s="36"/>
      <c r="E607" s="35"/>
      <c r="F607" s="35"/>
      <c r="G607" s="35"/>
      <c r="H607" s="37"/>
      <c r="I607" s="38"/>
      <c r="J607" s="38"/>
      <c r="K607" s="17"/>
      <c r="L607" s="38"/>
      <c r="M607" s="35"/>
      <c r="N607" s="35"/>
      <c r="O607" s="35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</row>
  </sheetData>
  <conditionalFormatting sqref="C1:C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4FC2-8C30-4F5E-A6F9-06F37A06ECB2}">
  <dimension ref="B1:N52"/>
  <sheetViews>
    <sheetView showGridLines="0" topLeftCell="A9" zoomScaleNormal="100" workbookViewId="0">
      <selection activeCell="F37" sqref="F37"/>
    </sheetView>
  </sheetViews>
  <sheetFormatPr defaultRowHeight="14.4" x14ac:dyDescent="0.3"/>
  <cols>
    <col min="2" max="4" width="18.88671875" customWidth="1"/>
    <col min="6" max="6" width="12.44140625" bestFit="1" customWidth="1"/>
    <col min="7" max="7" width="23.88671875" bestFit="1" customWidth="1"/>
    <col min="8" max="8" width="15.88671875" bestFit="1" customWidth="1"/>
    <col min="9" max="9" width="12.33203125" bestFit="1" customWidth="1"/>
    <col min="11" max="11" width="10.109375" bestFit="1" customWidth="1"/>
  </cols>
  <sheetData>
    <row r="1" spans="2:9" ht="15" thickBot="1" x14ac:dyDescent="0.35"/>
    <row r="2" spans="2:9" ht="15" thickBot="1" x14ac:dyDescent="0.35">
      <c r="B2" s="83" t="s">
        <v>986</v>
      </c>
      <c r="C2" s="84"/>
      <c r="D2" s="84"/>
      <c r="E2" s="84"/>
      <c r="F2" s="85"/>
      <c r="G2" s="11"/>
    </row>
    <row r="4" spans="2:9" x14ac:dyDescent="0.3">
      <c r="B4" s="87" t="str">
        <f>SUM(COUNTA('Row data'!I2:I606)-SUM(COUNTA('Row data'!J2:J606)))&amp; "  People "</f>
        <v xml:space="preserve">404  People </v>
      </c>
      <c r="C4" s="87"/>
      <c r="D4" s="87"/>
      <c r="E4" s="87"/>
      <c r="F4" s="87"/>
    </row>
    <row r="5" spans="2:9" ht="15" thickBot="1" x14ac:dyDescent="0.35"/>
    <row r="6" spans="2:9" ht="15" thickBot="1" x14ac:dyDescent="0.35">
      <c r="B6" s="83" t="s">
        <v>987</v>
      </c>
      <c r="C6" s="84"/>
      <c r="D6" s="84"/>
      <c r="E6" s="84"/>
      <c r="F6" s="85"/>
    </row>
    <row r="8" spans="2:9" x14ac:dyDescent="0.3">
      <c r="B8" s="87" t="str">
        <f>COUNTIF('Row data'!N2:N606,"M")&amp;" Male , "  &amp;COUNTIF('Row data'!N2:N606,"F")&amp;" Fmale"</f>
        <v>400 Male , 205 Fmale</v>
      </c>
      <c r="C8" s="87"/>
      <c r="D8" s="87"/>
      <c r="E8" s="87"/>
      <c r="F8" s="87"/>
    </row>
    <row r="10" spans="2:9" ht="15" thickBot="1" x14ac:dyDescent="0.35">
      <c r="H10" s="89"/>
      <c r="I10" s="89"/>
    </row>
    <row r="11" spans="2:9" ht="15" thickBot="1" x14ac:dyDescent="0.35">
      <c r="B11" s="83" t="s">
        <v>1035</v>
      </c>
      <c r="C11" s="84"/>
      <c r="D11" s="84" t="s">
        <v>991</v>
      </c>
      <c r="E11" s="84"/>
      <c r="F11" s="85"/>
    </row>
    <row r="12" spans="2:9" x14ac:dyDescent="0.3">
      <c r="G12" s="32"/>
    </row>
    <row r="13" spans="2:9" ht="15" x14ac:dyDescent="0.35">
      <c r="B13" s="30" t="s">
        <v>1058</v>
      </c>
      <c r="C13" s="29">
        <f ca="1">AVERAGEIF('Row data'!N2:N606,"M",'Row data'!M2:M606)</f>
        <v>35.757936507936506</v>
      </c>
      <c r="D13" s="30" t="s">
        <v>1059</v>
      </c>
      <c r="E13" s="88">
        <f ca="1">AVERAGEIF('Row data'!N2:N606,"F",'Row data'!M2:M606)</f>
        <v>40.111842105263158</v>
      </c>
      <c r="F13" s="88"/>
      <c r="G13" s="33"/>
    </row>
    <row r="14" spans="2:9" ht="15" thickBot="1" x14ac:dyDescent="0.35"/>
    <row r="15" spans="2:9" ht="15" thickBot="1" x14ac:dyDescent="0.35">
      <c r="B15" s="83" t="s">
        <v>1037</v>
      </c>
      <c r="C15" s="84"/>
      <c r="D15" s="84"/>
      <c r="E15" s="84"/>
      <c r="F15" s="85"/>
    </row>
    <row r="17" spans="2:14" x14ac:dyDescent="0.3">
      <c r="B17" s="86">
        <f>COUNTIFS('Row data'!I2:I606,"&gt;=2025-01-01",'Row data'!I2:I606,"&lt;=2025-12-31")</f>
        <v>6</v>
      </c>
      <c r="C17" s="86"/>
      <c r="D17" s="86"/>
      <c r="E17" s="86"/>
      <c r="F17" s="86"/>
    </row>
    <row r="18" spans="2:14" ht="15" thickBot="1" x14ac:dyDescent="0.35"/>
    <row r="19" spans="2:14" ht="15" thickBot="1" x14ac:dyDescent="0.35">
      <c r="B19" s="83" t="s">
        <v>1045</v>
      </c>
      <c r="C19" s="84"/>
      <c r="D19" s="84"/>
      <c r="E19" s="84"/>
      <c r="F19" s="85"/>
    </row>
    <row r="20" spans="2:14" ht="15" hidden="1" customHeight="1" x14ac:dyDescent="0.3"/>
    <row r="21" spans="2:14" s="2" customFormat="1" ht="29.4" hidden="1" customHeight="1" x14ac:dyDescent="0.3">
      <c r="B21" s="16" t="s">
        <v>35</v>
      </c>
      <c r="C21" s="16" t="s">
        <v>996</v>
      </c>
      <c r="D21" s="16" t="s">
        <v>995</v>
      </c>
      <c r="H21"/>
      <c r="I21"/>
      <c r="J21"/>
      <c r="K21"/>
      <c r="L21"/>
      <c r="M21"/>
      <c r="N21"/>
    </row>
    <row r="22" spans="2:14" ht="15" hidden="1" customHeight="1" x14ac:dyDescent="0.3">
      <c r="B22" t="s">
        <v>1030</v>
      </c>
      <c r="C22">
        <v>4</v>
      </c>
      <c r="D22" s="13">
        <v>1.9900497512437811E-2</v>
      </c>
    </row>
    <row r="23" spans="2:14" ht="15" hidden="1" customHeight="1" x14ac:dyDescent="0.3">
      <c r="B23" t="s">
        <v>1029</v>
      </c>
      <c r="C23">
        <v>10</v>
      </c>
      <c r="D23" s="13">
        <v>4.975124378109453E-2</v>
      </c>
    </row>
    <row r="24" spans="2:14" ht="15" hidden="1" customHeight="1" x14ac:dyDescent="0.3">
      <c r="B24" t="s">
        <v>1028</v>
      </c>
      <c r="C24">
        <v>10</v>
      </c>
      <c r="D24" s="13">
        <v>4.975124378109453E-2</v>
      </c>
    </row>
    <row r="25" spans="2:14" ht="15" hidden="1" customHeight="1" x14ac:dyDescent="0.3">
      <c r="B25" t="s">
        <v>1027</v>
      </c>
      <c r="C25">
        <v>135</v>
      </c>
      <c r="D25" s="13">
        <v>0.67164179104477617</v>
      </c>
    </row>
    <row r="26" spans="2:14" ht="15" hidden="1" customHeight="1" x14ac:dyDescent="0.3">
      <c r="B26" t="s">
        <v>1026</v>
      </c>
      <c r="C26">
        <v>9</v>
      </c>
      <c r="D26" s="13">
        <v>4.4776119402985072E-2</v>
      </c>
      <c r="F26" s="18"/>
      <c r="G26" s="18"/>
    </row>
    <row r="27" spans="2:14" ht="15" hidden="1" customHeight="1" x14ac:dyDescent="0.3">
      <c r="B27" t="s">
        <v>1025</v>
      </c>
      <c r="C27">
        <v>7</v>
      </c>
      <c r="D27" s="13">
        <v>3.482587064676617E-2</v>
      </c>
    </row>
    <row r="28" spans="2:14" ht="15" hidden="1" customHeight="1" x14ac:dyDescent="0.3">
      <c r="B28" t="s">
        <v>1024</v>
      </c>
      <c r="C28">
        <v>14</v>
      </c>
      <c r="D28" s="13">
        <v>6.965174129353234E-2</v>
      </c>
    </row>
    <row r="29" spans="2:14" ht="15" hidden="1" customHeight="1" x14ac:dyDescent="0.3">
      <c r="B29" t="s">
        <v>1023</v>
      </c>
      <c r="C29">
        <v>12</v>
      </c>
      <c r="D29" s="13">
        <v>5.9701492537313432E-2</v>
      </c>
    </row>
    <row r="30" spans="2:14" ht="15" hidden="1" customHeight="1" x14ac:dyDescent="0.3">
      <c r="D30" s="13"/>
    </row>
    <row r="31" spans="2:14" ht="15" hidden="1" customHeight="1" x14ac:dyDescent="0.3">
      <c r="D31" s="13"/>
    </row>
    <row r="32" spans="2:14" x14ac:dyDescent="0.3">
      <c r="D32" s="13"/>
      <c r="G32" t="s">
        <v>1057</v>
      </c>
    </row>
    <row r="33" spans="2:12" x14ac:dyDescent="0.3">
      <c r="B33" s="19" t="s">
        <v>35</v>
      </c>
      <c r="C33" s="19" t="s">
        <v>1056</v>
      </c>
      <c r="D33" s="19" t="s">
        <v>995</v>
      </c>
      <c r="G33" s="60"/>
      <c r="H33" s="60"/>
      <c r="I33" s="60"/>
      <c r="J33" s="60"/>
      <c r="K33" s="60"/>
      <c r="L33" s="60"/>
    </row>
    <row r="34" spans="2:12" x14ac:dyDescent="0.3">
      <c r="B34" s="20">
        <v>2021</v>
      </c>
      <c r="C34" s="20">
        <f>COUNTIF('Row data'!$K$2:$K$606,B34)</f>
        <v>9</v>
      </c>
      <c r="D34" s="31">
        <f>C34/COUNTIFS('Row data'!$I$2:$I$606,"&gt;=2021-01-01",'Row data'!$I$2:$I$606,"&lt;=2021-12-31")</f>
        <v>0.1125</v>
      </c>
      <c r="G34" s="61"/>
      <c r="H34" s="61"/>
      <c r="I34" s="61"/>
      <c r="J34" s="62"/>
      <c r="K34" s="62"/>
      <c r="L34" s="61"/>
    </row>
    <row r="35" spans="2:12" x14ac:dyDescent="0.3">
      <c r="B35" s="20">
        <v>2022</v>
      </c>
      <c r="C35" s="20">
        <f>COUNTIF('Row data'!$K$2:$K$606,B35)</f>
        <v>135</v>
      </c>
      <c r="D35" s="31">
        <f>C35/COUNTIFS('Row data'!$I$2:$I$606,"&gt;=2022-01-01",'Row data'!$I$2:$I$606,"&lt;=2022-12-31")</f>
        <v>1.8243243243243243</v>
      </c>
      <c r="G35" s="61"/>
      <c r="H35" s="61"/>
      <c r="I35" s="61"/>
      <c r="J35" s="62"/>
      <c r="K35" s="62"/>
      <c r="L35" s="61"/>
    </row>
    <row r="36" spans="2:12" x14ac:dyDescent="0.3">
      <c r="B36" s="20">
        <v>2023</v>
      </c>
      <c r="C36" s="20">
        <f>COUNTIF('Row data'!$K$2:$K$606,B36)</f>
        <v>10</v>
      </c>
      <c r="D36" s="31">
        <f>C36/COUNTIFS('Row data'!$I$2:$I$606,"&gt;=2023-01-01",'Row data'!$I$2:$I$606,"&lt;=2023-12-31")</f>
        <v>0.12195121951219512</v>
      </c>
      <c r="G36" s="61"/>
      <c r="H36" s="61"/>
      <c r="I36" s="61"/>
      <c r="J36" s="62"/>
      <c r="K36" s="62"/>
      <c r="L36" s="61"/>
    </row>
    <row r="37" spans="2:12" x14ac:dyDescent="0.3">
      <c r="B37" s="20">
        <v>2024</v>
      </c>
      <c r="C37" s="20">
        <f>COUNTIF('Row data'!$K$2:$K$606,B37)</f>
        <v>10</v>
      </c>
      <c r="D37" s="31">
        <f>$C$37/COUNTIFS('Row data'!$I$2:$I$606,"&gt;=2024-01-01",'Row data'!$I$2:$I$606,"&lt;=2024-12-31")</f>
        <v>0.7142857142857143</v>
      </c>
      <c r="G37" s="61"/>
      <c r="H37" s="61"/>
      <c r="I37" s="61"/>
      <c r="J37" s="62"/>
      <c r="K37" s="62"/>
      <c r="L37" s="61"/>
    </row>
    <row r="38" spans="2:12" x14ac:dyDescent="0.3">
      <c r="B38" s="20">
        <v>2025</v>
      </c>
      <c r="C38" s="20">
        <f>COUNTIF('Row data'!$K$2:$K$606,B38)</f>
        <v>4</v>
      </c>
      <c r="D38" s="31">
        <f>C38/COUNTIFS('Row data'!$I$2:$I$606,"&gt;=2025-01-01",'Row data'!$I$2:$I$606,"&lt;=2025-12-31")</f>
        <v>0.66666666666666663</v>
      </c>
      <c r="G38" s="61"/>
      <c r="H38" s="61"/>
      <c r="I38" s="61"/>
      <c r="J38" s="62"/>
      <c r="K38" s="62"/>
      <c r="L38" s="61"/>
    </row>
    <row r="39" spans="2:12" x14ac:dyDescent="0.3">
      <c r="B39" s="2"/>
      <c r="C39" s="2"/>
      <c r="D39" s="27"/>
    </row>
    <row r="40" spans="2:12" x14ac:dyDescent="0.3">
      <c r="B40" s="2"/>
      <c r="C40" s="2"/>
      <c r="D40" s="27"/>
    </row>
    <row r="41" spans="2:12" x14ac:dyDescent="0.3">
      <c r="B41" s="2"/>
      <c r="C41" s="2"/>
      <c r="D41" s="27"/>
    </row>
    <row r="42" spans="2:12" x14ac:dyDescent="0.3">
      <c r="D42" s="13"/>
    </row>
    <row r="43" spans="2:12" x14ac:dyDescent="0.3">
      <c r="D43" s="13"/>
    </row>
    <row r="44" spans="2:12" x14ac:dyDescent="0.3">
      <c r="D44" s="13"/>
    </row>
    <row r="45" spans="2:12" x14ac:dyDescent="0.3">
      <c r="D45" s="13"/>
    </row>
    <row r="46" spans="2:12" x14ac:dyDescent="0.3">
      <c r="D46" s="13"/>
    </row>
    <row r="47" spans="2:12" x14ac:dyDescent="0.3">
      <c r="D47" s="13"/>
    </row>
    <row r="48" spans="2:12" x14ac:dyDescent="0.3">
      <c r="D48" s="13"/>
    </row>
    <row r="49" spans="4:4" x14ac:dyDescent="0.3">
      <c r="D49" s="13"/>
    </row>
    <row r="50" spans="4:4" x14ac:dyDescent="0.3">
      <c r="D50" s="13"/>
    </row>
    <row r="51" spans="4:4" x14ac:dyDescent="0.3">
      <c r="D51" s="13"/>
    </row>
    <row r="52" spans="4:4" x14ac:dyDescent="0.3">
      <c r="D52" s="13"/>
    </row>
  </sheetData>
  <mergeCells count="10">
    <mergeCell ref="H10:I10"/>
    <mergeCell ref="B2:F2"/>
    <mergeCell ref="B6:F6"/>
    <mergeCell ref="B11:F11"/>
    <mergeCell ref="B15:F15"/>
    <mergeCell ref="B19:F19"/>
    <mergeCell ref="B17:F17"/>
    <mergeCell ref="B8:F8"/>
    <mergeCell ref="B4:F4"/>
    <mergeCell ref="E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53E6-5800-4BAD-ACA1-2FCC0CC3E97F}">
  <dimension ref="A2:V125"/>
  <sheetViews>
    <sheetView showGridLines="0" tabSelected="1" zoomScale="85" zoomScaleNormal="85" workbookViewId="0">
      <selection activeCell="K11" sqref="K11"/>
    </sheetView>
  </sheetViews>
  <sheetFormatPr defaultRowHeight="14.4" outlineLevelCol="1" x14ac:dyDescent="0.3"/>
  <cols>
    <col min="1" max="1" width="8.6640625" customWidth="1" outlineLevel="1"/>
    <col min="2" max="2" width="49" customWidth="1" outlineLevel="1"/>
    <col min="3" max="3" width="16.88671875" style="3" customWidth="1" outlineLevel="1"/>
    <col min="4" max="4" width="18.5546875" customWidth="1" outlineLevel="1"/>
    <col min="5" max="5" width="8.109375" customWidth="1" outlineLevel="1"/>
    <col min="6" max="6" width="8.109375" customWidth="1"/>
    <col min="7" max="7" width="31.5546875" customWidth="1" outlineLevel="1"/>
    <col min="8" max="8" width="47.33203125" customWidth="1" outlineLevel="1"/>
    <col min="9" max="9" width="14" bestFit="1" customWidth="1" outlineLevel="1"/>
    <col min="10" max="10" width="15.21875" customWidth="1"/>
    <col min="11" max="11" width="20.5546875" customWidth="1"/>
    <col min="12" max="12" width="62.21875" bestFit="1" customWidth="1" outlineLevel="1"/>
    <col min="13" max="13" width="24.109375" style="23" bestFit="1" customWidth="1" outlineLevel="1"/>
    <col min="14" max="14" width="44.33203125" bestFit="1" customWidth="1" outlineLevel="1"/>
    <col min="15" max="15" width="44.33203125" customWidth="1" outlineLevel="1"/>
    <col min="16" max="16" width="43.21875" customWidth="1"/>
    <col min="17" max="17" width="19.5546875" customWidth="1"/>
    <col min="18" max="18" width="31" bestFit="1" customWidth="1"/>
    <col min="19" max="19" width="18.88671875" customWidth="1"/>
    <col min="22" max="22" width="10.44140625" bestFit="1" customWidth="1"/>
  </cols>
  <sheetData>
    <row r="2" spans="2:22" ht="38.1" customHeight="1" x14ac:dyDescent="0.3">
      <c r="B2" s="24" t="s">
        <v>1040</v>
      </c>
      <c r="G2" s="21" t="s">
        <v>1041</v>
      </c>
      <c r="H2" s="11"/>
      <c r="I2" s="11"/>
      <c r="J2" s="11"/>
      <c r="K2" s="11"/>
      <c r="L2" s="21" t="s">
        <v>1042</v>
      </c>
      <c r="P2" s="53" t="s">
        <v>1044</v>
      </c>
      <c r="Q2" s="21"/>
      <c r="R2" s="21"/>
      <c r="S2" s="21"/>
    </row>
    <row r="3" spans="2:22" ht="26.25" customHeight="1" x14ac:dyDescent="0.3">
      <c r="G3" s="92" t="s">
        <v>1039</v>
      </c>
      <c r="H3" s="92"/>
      <c r="I3" s="92"/>
      <c r="M3"/>
      <c r="P3" s="71" t="s">
        <v>1039</v>
      </c>
      <c r="Q3" s="72" t="s">
        <v>1043</v>
      </c>
      <c r="R3" s="72" t="s">
        <v>1051</v>
      </c>
      <c r="S3" s="72" t="s">
        <v>995</v>
      </c>
    </row>
    <row r="4" spans="2:22" ht="18.600000000000001" x14ac:dyDescent="0.3">
      <c r="B4" s="82" t="s">
        <v>1060</v>
      </c>
      <c r="C4" s="82" t="s">
        <v>1061</v>
      </c>
      <c r="D4" s="82" t="s">
        <v>1062</v>
      </c>
      <c r="G4" s="93" t="s">
        <v>38</v>
      </c>
      <c r="H4" s="93"/>
      <c r="I4" s="93"/>
      <c r="K4" s="48"/>
      <c r="L4" s="50" t="s">
        <v>1039</v>
      </c>
      <c r="M4" s="50" t="s">
        <v>1071</v>
      </c>
      <c r="N4" s="67" t="s">
        <v>1070</v>
      </c>
      <c r="O4" s="68"/>
      <c r="P4" s="34" t="str" cm="1">
        <f t="array" ref="P4:P11">_xlfn.UNIQUE(Row[DeptName])</f>
        <v>Production</v>
      </c>
      <c r="Q4" s="20">
        <f>COUNTIFS(Row[DeptName],P4,Row[JDate],"&gt;=1995-01-01",Row[JDate],"&lt;=2025-12-31")</f>
        <v>457</v>
      </c>
      <c r="R4" s="20">
        <f>COUNTIFS(Row[DeptName],P4,Row[QuitDate],"&gt;=1995-01-01",Row[QuitDate],"&lt;=2025-12-31")</f>
        <v>130</v>
      </c>
      <c r="S4" s="31">
        <f>R4/Q4</f>
        <v>0.28446389496717722</v>
      </c>
      <c r="T4" s="70"/>
      <c r="U4" s="26"/>
      <c r="V4" s="27"/>
    </row>
    <row r="5" spans="2:22" s="2" customFormat="1" ht="15" x14ac:dyDescent="0.3">
      <c r="B5" s="34" t="str" cm="1">
        <f t="array" ref="B5:B125">_xlfn.UNIQUE('Row data'!$G$2:$G$606)</f>
        <v>Trainee Officer</v>
      </c>
      <c r="C5" s="20">
        <f>COUNTIF('Row data'!$G$2:$G$606,'Demo Ans 2'!B7)</f>
        <v>153</v>
      </c>
      <c r="D5" s="31">
        <f t="shared" ref="D5:D36" si="0">C5/SUM($C$5:$C$125)</f>
        <v>0.2528925619834711</v>
      </c>
      <c r="E5"/>
      <c r="F5"/>
      <c r="G5" s="65" t="s">
        <v>1060</v>
      </c>
      <c r="H5" s="65" t="s">
        <v>1061</v>
      </c>
      <c r="I5" s="66" t="s">
        <v>1063</v>
      </c>
      <c r="K5" s="49"/>
      <c r="L5" s="51" t="str" cm="1">
        <f t="array" ref="L5:L12">_xlfn.UNIQUE(Row[DeptName])</f>
        <v>Production</v>
      </c>
      <c r="M5" s="20">
        <f>AVERAGEIFS(Row[Gross],Row[DeptName],L5)</f>
        <v>16202.811816192559</v>
      </c>
      <c r="N5" s="52">
        <f>AVERAGEIFS(Row[Gross Pay],Row[DeptName],L5)</f>
        <v>15991.978118161926</v>
      </c>
      <c r="O5" s="69"/>
      <c r="P5" s="34" t="str">
        <v>Utility &amp; Maintenance</v>
      </c>
      <c r="Q5" s="20">
        <f>COUNTIFS(Row[DeptName],P5,Row[JDate],"&gt;=1995-01-01",Row[JDate],"&lt;=2025-12-31")</f>
        <v>39</v>
      </c>
      <c r="R5" s="20">
        <f>COUNTIFS(Row[DeptName],P5,Row[QuitDate],"&gt;=1995-01-01",Row[QuitDate],"&lt;=2025-12-31")</f>
        <v>12</v>
      </c>
      <c r="S5" s="31">
        <f t="shared" ref="S5:S11" si="1">R5/Q5</f>
        <v>0.30769230769230771</v>
      </c>
      <c r="T5" s="70"/>
      <c r="U5" s="26"/>
      <c r="V5" s="27"/>
    </row>
    <row r="6" spans="2:22" ht="15" x14ac:dyDescent="0.3">
      <c r="B6" s="34" t="str">
        <v>Head Fitter</v>
      </c>
      <c r="C6" s="20">
        <f>COUNTIF('Row data'!$G$2:$G$606,'Demo Ans 2'!B28)</f>
        <v>67</v>
      </c>
      <c r="D6" s="31">
        <f t="shared" si="0"/>
        <v>0.11074380165289256</v>
      </c>
      <c r="G6" s="63" t="str" cm="1">
        <f t="array" ref="G6:G76">_xlfn.UNIQUE(_xlfn._xlws.FILTER('Row data'!$G$2:$G$606,'Row data'!$E$2:$E$606='Demo Ans 2'!$G$4))</f>
        <v>Trainee Officer</v>
      </c>
      <c r="H6" s="63">
        <f>COUNTIFS(Row[DeptName],$G$4,Row[DesigName],G6)</f>
        <v>1</v>
      </c>
      <c r="I6" s="64">
        <f>H6/COUNTA(Row[EmpId])</f>
        <v>1.652892561983471E-3</v>
      </c>
      <c r="K6" s="49"/>
      <c r="L6" s="20" t="str">
        <v>Utility &amp; Maintenance</v>
      </c>
      <c r="M6" s="20">
        <f>AVERAGEIFS(Row[Gross],Row[DeptName],L6)</f>
        <v>25814.564102564102</v>
      </c>
      <c r="N6" s="52">
        <f>AVERAGEIFS(Row[Gross Pay],Row[DeptName],L6)</f>
        <v>24706.51282051282</v>
      </c>
      <c r="O6" s="69"/>
      <c r="P6" s="34" t="str">
        <v>Admin</v>
      </c>
      <c r="Q6" s="20">
        <f>COUNTIFS(Row[DeptName],P6,Row[JDate],"&gt;=1995-01-01",Row[JDate],"&lt;=2025-12-31")</f>
        <v>83</v>
      </c>
      <c r="R6" s="20">
        <f>COUNTIFS(Row[DeptName],P6,Row[QuitDate],"&gt;=1995-01-01",Row[QuitDate],"&lt;=2025-12-31")</f>
        <v>47</v>
      </c>
      <c r="S6" s="31">
        <f t="shared" si="1"/>
        <v>0.5662650602409639</v>
      </c>
      <c r="T6" s="70"/>
      <c r="U6" s="26"/>
      <c r="V6" s="27"/>
    </row>
    <row r="7" spans="2:22" ht="15" x14ac:dyDescent="0.3">
      <c r="B7" s="34" t="str">
        <v>Assistant</v>
      </c>
      <c r="C7" s="20">
        <f>COUNTIF('Row data'!$G$2:$G$606,'Demo Ans 2'!B29)</f>
        <v>42</v>
      </c>
      <c r="D7" s="31">
        <f t="shared" si="0"/>
        <v>6.9421487603305784E-2</v>
      </c>
      <c r="G7" s="63" t="str">
        <v>Head Fitter</v>
      </c>
      <c r="H7" s="63">
        <f>COUNTIFS(Row[DeptName],$G$4,Row[DesigName],G7)</f>
        <v>1</v>
      </c>
      <c r="I7" s="64">
        <f>H7/COUNTA(Row[EmpId])</f>
        <v>1.652892561983471E-3</v>
      </c>
      <c r="K7" s="49"/>
      <c r="L7" s="20" t="str">
        <v>Admin</v>
      </c>
      <c r="M7" s="20">
        <f>AVERAGEIFS(Row[Gross],Row[DeptName],L7)</f>
        <v>21231.843373493975</v>
      </c>
      <c r="N7" s="52">
        <f>AVERAGEIFS(Row[Gross Pay],Row[DeptName],L7)</f>
        <v>20595.156626506025</v>
      </c>
      <c r="O7" s="69"/>
      <c r="P7" s="34" t="str">
        <v>Delivery</v>
      </c>
      <c r="Q7" s="20">
        <f>COUNTIFS(Row[DeptName],P7,Row[JDate],"&gt;=1995-01-01",Row[JDate],"&lt;=2025-12-31")</f>
        <v>6</v>
      </c>
      <c r="R7" s="20">
        <f>COUNTIFS(Row[DeptName],P7,Row[QuitDate],"&gt;=1995-01-01",Row[QuitDate],"&lt;=2025-12-31")</f>
        <v>2</v>
      </c>
      <c r="S7" s="31">
        <f t="shared" si="1"/>
        <v>0.33333333333333331</v>
      </c>
      <c r="T7" s="70"/>
      <c r="U7" s="26"/>
      <c r="V7" s="27"/>
    </row>
    <row r="8" spans="2:22" ht="15" x14ac:dyDescent="0.3">
      <c r="B8" s="34" t="str">
        <v>Senior Fitter</v>
      </c>
      <c r="C8" s="20">
        <f>COUNTIF('Row data'!$G$2:$G$606,'Demo Ans 2'!B92)</f>
        <v>34</v>
      </c>
      <c r="D8" s="31">
        <f t="shared" si="0"/>
        <v>5.6198347107438019E-2</v>
      </c>
      <c r="G8" s="63" t="str">
        <v>Assistant</v>
      </c>
      <c r="H8" s="63">
        <f>COUNTIFS(Row[DeptName],$G$4,Row[DesigName],G8)</f>
        <v>148</v>
      </c>
      <c r="I8" s="64">
        <f>H8/COUNTA(Row[EmpId])</f>
        <v>0.24462809917355371</v>
      </c>
      <c r="K8" s="49"/>
      <c r="L8" s="20" t="str">
        <v>Delivery</v>
      </c>
      <c r="M8" s="20">
        <f>AVERAGEIFS(Row[Gross],Row[DeptName],L8)</f>
        <v>33999.5</v>
      </c>
      <c r="N8" s="52">
        <f>AVERAGEIFS(Row[Gross Pay],Row[DeptName],L8)</f>
        <v>33166.166666666664</v>
      </c>
      <c r="O8" s="69"/>
      <c r="P8" s="34" t="str">
        <v>HR &amp; Compliance</v>
      </c>
      <c r="Q8" s="20">
        <f>COUNTIFS(Row[DeptName],P8,Row[JDate],"&gt;=1995-01-01",Row[JDate],"&lt;=2025-12-31")</f>
        <v>4</v>
      </c>
      <c r="R8" s="20">
        <f>COUNTIFS(Row[DeptName],P8,Row[QuitDate],"&gt;=1995-01-01",Row[QuitDate],"&lt;=2025-12-31")</f>
        <v>0</v>
      </c>
      <c r="S8" s="31">
        <f t="shared" si="1"/>
        <v>0</v>
      </c>
      <c r="T8" s="70"/>
      <c r="U8" s="26"/>
      <c r="V8" s="27"/>
    </row>
    <row r="9" spans="2:22" ht="15" x14ac:dyDescent="0.3">
      <c r="B9" s="34" t="str">
        <v>Shift Engineer</v>
      </c>
      <c r="C9" s="20">
        <f>COUNTIF('Row data'!$G$2:$G$606,'Demo Ans 2'!B23)</f>
        <v>14</v>
      </c>
      <c r="D9" s="31">
        <f t="shared" si="0"/>
        <v>2.3140495867768594E-2</v>
      </c>
      <c r="G9" s="63" t="str">
        <v>Senior Fitter</v>
      </c>
      <c r="H9" s="63">
        <f>COUNTIFS(Row[DeptName],$G$4,Row[DesigName],G9)</f>
        <v>1</v>
      </c>
      <c r="I9" s="64">
        <f>H9/COUNTA(Row[EmpId])</f>
        <v>1.652892561983471E-3</v>
      </c>
      <c r="K9" s="49"/>
      <c r="L9" s="20" t="str">
        <v>HR &amp; Compliance</v>
      </c>
      <c r="M9" s="20">
        <f>AVERAGEIFS(Row[Gross],Row[DeptName],L9)</f>
        <v>32836.5</v>
      </c>
      <c r="N9" s="52">
        <f>AVERAGEIFS(Row[Gross Pay],Row[DeptName],L9)</f>
        <v>31586.5</v>
      </c>
      <c r="O9" s="69"/>
      <c r="P9" s="34" t="str">
        <v>IT</v>
      </c>
      <c r="Q9" s="20">
        <f>COUNTIFS(Row[DeptName],P9,Row[JDate],"&gt;=1995-01-01",Row[JDate],"&lt;=2025-12-31")</f>
        <v>2</v>
      </c>
      <c r="R9" s="20">
        <f>COUNTIFS(Row[DeptName],P9,Row[QuitDate],"&gt;=1995-01-01",Row[QuitDate],"&lt;=2025-12-31")</f>
        <v>1</v>
      </c>
      <c r="S9" s="31">
        <f t="shared" si="1"/>
        <v>0.5</v>
      </c>
      <c r="T9" s="70"/>
      <c r="U9" s="26"/>
      <c r="V9" s="27"/>
    </row>
    <row r="10" spans="2:22" ht="15" x14ac:dyDescent="0.3">
      <c r="B10" s="34" t="str">
        <v>Senior Supervisor</v>
      </c>
      <c r="C10" s="20">
        <f>COUNTIF('Row data'!$G$2:$G$606,'Demo Ans 2'!B49)</f>
        <v>13</v>
      </c>
      <c r="D10" s="31">
        <f t="shared" si="0"/>
        <v>2.1487603305785124E-2</v>
      </c>
      <c r="G10" s="63" t="str">
        <v>Shift Engineer</v>
      </c>
      <c r="H10" s="63">
        <f>COUNTIFS(Row[DeptName],$G$4,Row[DesigName],G10)</f>
        <v>5</v>
      </c>
      <c r="I10" s="64">
        <f>H10/COUNTA(Row[EmpId])</f>
        <v>8.2644628099173556E-3</v>
      </c>
      <c r="K10" s="49"/>
      <c r="L10" s="20" t="str">
        <v>IT</v>
      </c>
      <c r="M10" s="20">
        <f>AVERAGEIFS(Row[Gross],Row[DeptName],L10)</f>
        <v>41420</v>
      </c>
      <c r="N10" s="52">
        <f>AVERAGEIFS(Row[Gross Pay],Row[DeptName],L10)</f>
        <v>41420</v>
      </c>
      <c r="O10" s="69"/>
      <c r="P10" s="73" t="str">
        <v>Store</v>
      </c>
      <c r="Q10" s="74">
        <f>COUNTIFS(Row[DeptName],P10,Row[JDate],"&gt;=1995-01-01",Row[JDate],"&lt;=2025-12-31")</f>
        <v>12</v>
      </c>
      <c r="R10" s="74">
        <f>COUNTIFS(Row[DeptName],P10,Row[QuitDate],"&gt;=1995-01-01",Row[QuitDate],"&lt;=2025-12-31")</f>
        <v>8</v>
      </c>
      <c r="S10" s="75">
        <f t="shared" si="1"/>
        <v>0.66666666666666663</v>
      </c>
      <c r="T10" s="70"/>
      <c r="U10" s="26"/>
      <c r="V10" s="27"/>
    </row>
    <row r="11" spans="2:22" ht="15" x14ac:dyDescent="0.3">
      <c r="B11" s="34" t="str">
        <v>Junior Executive</v>
      </c>
      <c r="C11" s="20">
        <f>COUNTIF('Row data'!$G$2:$G$606,'Demo Ans 2'!B27)</f>
        <v>11</v>
      </c>
      <c r="D11" s="31">
        <f t="shared" si="0"/>
        <v>1.8181818181818181E-2</v>
      </c>
      <c r="G11" s="63" t="str">
        <v>Senior Supervisor</v>
      </c>
      <c r="H11" s="63">
        <f>COUNTIFS(Row[DeptName],$G$4,Row[DesigName],G11)</f>
        <v>7</v>
      </c>
      <c r="I11" s="64">
        <f>H11/COUNTA(Row[EmpId])</f>
        <v>1.1570247933884297E-2</v>
      </c>
      <c r="K11" s="49"/>
      <c r="L11" s="20" t="str">
        <v>Store</v>
      </c>
      <c r="M11" s="20">
        <f>AVERAGEIFS(Row[Gross],Row[DeptName],L11)</f>
        <v>20718.416666666668</v>
      </c>
      <c r="N11" s="52">
        <f>AVERAGEIFS(Row[Gross Pay],Row[DeptName],L11)</f>
        <v>19604.583333333332</v>
      </c>
      <c r="O11" s="69"/>
      <c r="P11" s="34" t="str">
        <v>Accounts</v>
      </c>
      <c r="Q11" s="20">
        <f>COUNTIFS(Row[DeptName],P11,Row[JDate],"&gt;=1995-01-01",Row[JDate],"&lt;=2025-12-31")</f>
        <v>2</v>
      </c>
      <c r="R11" s="20">
        <f>COUNTIFS(Row[DeptName],P11,Row[QuitDate],"&gt;=1995-01-01",Row[QuitDate],"&lt;=2025-12-31")</f>
        <v>1</v>
      </c>
      <c r="S11" s="31">
        <f t="shared" si="1"/>
        <v>0.5</v>
      </c>
      <c r="T11" s="70"/>
      <c r="U11" s="26"/>
      <c r="V11" s="27"/>
    </row>
    <row r="12" spans="2:22" ht="15" x14ac:dyDescent="0.3">
      <c r="B12" s="34" t="str">
        <v>Assistant Cook</v>
      </c>
      <c r="C12" s="20">
        <f>COUNTIF('Row data'!$G$2:$G$606,'Demo Ans 2'!B16)</f>
        <v>10</v>
      </c>
      <c r="D12" s="31">
        <f t="shared" si="0"/>
        <v>1.6528925619834711E-2</v>
      </c>
      <c r="G12" s="63" t="str">
        <v>Trainee Shift Engineer</v>
      </c>
      <c r="H12" s="63">
        <f>COUNTIFS(Row[DeptName],$G$4,Row[DesigName],G12)</f>
        <v>1</v>
      </c>
      <c r="I12" s="64">
        <f>H12/COUNTA(Row[EmpId])</f>
        <v>1.652892561983471E-3</v>
      </c>
      <c r="K12" s="49"/>
      <c r="L12" s="20" t="str">
        <v>Accounts</v>
      </c>
      <c r="M12" s="20">
        <f>AVERAGEIFS(Row[Gross],Row[DeptName],L12)</f>
        <v>47905.5</v>
      </c>
      <c r="N12" s="52">
        <f>AVERAGEIFS(Row[Gross Pay],Row[DeptName],L12)</f>
        <v>47905.5</v>
      </c>
      <c r="O12" s="69"/>
      <c r="S12" s="22"/>
      <c r="T12" s="22"/>
      <c r="U12" s="22"/>
      <c r="V12" s="22"/>
    </row>
    <row r="13" spans="2:22" x14ac:dyDescent="0.3">
      <c r="B13" s="34" t="str">
        <v>Cook</v>
      </c>
      <c r="C13" s="20">
        <f>COUNTIF('Row data'!$G$2:$G$606,'Demo Ans 2'!B17)</f>
        <v>10</v>
      </c>
      <c r="D13" s="31">
        <f t="shared" si="0"/>
        <v>1.6528925619834711E-2</v>
      </c>
      <c r="G13" s="63" t="str">
        <v>Sr. Shift Engineer</v>
      </c>
      <c r="H13" s="63">
        <f>COUNTIFS(Row[DeptName],$G$4,Row[DesigName],G13)</f>
        <v>1</v>
      </c>
      <c r="I13" s="64">
        <f>H13/COUNTA(Row[EmpId])</f>
        <v>1.652892561983471E-3</v>
      </c>
      <c r="K13" s="49"/>
      <c r="L13" s="2"/>
      <c r="M13" s="2"/>
      <c r="N13" s="2"/>
      <c r="O13" s="2"/>
      <c r="R13" s="2"/>
      <c r="S13" s="22"/>
      <c r="T13" s="22"/>
      <c r="U13" s="22"/>
      <c r="V13" s="22"/>
    </row>
    <row r="14" spans="2:22" x14ac:dyDescent="0.3">
      <c r="B14" s="34" t="str">
        <v>Deputy General Manager</v>
      </c>
      <c r="C14" s="20">
        <f>COUNTIF('Row data'!$G$2:$G$606,'Demo Ans 2'!B66)</f>
        <v>9</v>
      </c>
      <c r="D14" s="31">
        <f t="shared" si="0"/>
        <v>1.487603305785124E-2</v>
      </c>
      <c r="G14" s="63" t="str">
        <v>Assistant Bundleman</v>
      </c>
      <c r="H14" s="63">
        <f>COUNTIFS(Row[DeptName],$G$4,Row[DesigName],G14)</f>
        <v>14</v>
      </c>
      <c r="I14" s="64">
        <f>H14/COUNTA(Row[EmpId])</f>
        <v>2.3140495867768594E-2</v>
      </c>
      <c r="K14" s="49"/>
      <c r="L14" s="2"/>
      <c r="M14" s="2"/>
      <c r="N14" s="2"/>
      <c r="O14" s="2"/>
      <c r="S14" s="22"/>
      <c r="T14" s="22"/>
      <c r="U14" s="22"/>
      <c r="V14" s="22"/>
    </row>
    <row r="15" spans="2:22" x14ac:dyDescent="0.3">
      <c r="B15" s="34" t="str">
        <v>Lady Checker</v>
      </c>
      <c r="C15" s="20">
        <f>COUNTIF('Row data'!$G$2:$G$606,'Demo Ans 2'!B78)</f>
        <v>9</v>
      </c>
      <c r="D15" s="31">
        <f t="shared" si="0"/>
        <v>1.487603305785124E-2</v>
      </c>
      <c r="G15" s="63" t="str">
        <v>Designer</v>
      </c>
      <c r="H15" s="63">
        <f>COUNTIFS(Row[DeptName],$G$4,Row[DesigName],G15)</f>
        <v>1</v>
      </c>
      <c r="I15" s="64">
        <f>H15/COUNTA(Row[EmpId])</f>
        <v>1.652892561983471E-3</v>
      </c>
      <c r="K15" s="49"/>
      <c r="L15" s="2"/>
      <c r="M15" s="2"/>
      <c r="N15" s="2"/>
      <c r="O15" s="2"/>
      <c r="S15" s="22"/>
      <c r="T15" s="22"/>
      <c r="U15" s="22"/>
      <c r="V15" s="22"/>
    </row>
    <row r="16" spans="2:22" x14ac:dyDescent="0.3">
      <c r="B16" s="34" t="str">
        <v>Loader</v>
      </c>
      <c r="C16" s="20">
        <f>COUNTIF('Row data'!$G$2:$G$606,'Demo Ans 2'!B83)</f>
        <v>8</v>
      </c>
      <c r="D16" s="31">
        <f t="shared" si="0"/>
        <v>1.3223140495867768E-2</v>
      </c>
      <c r="G16" s="63" t="str">
        <v>Supervisor</v>
      </c>
      <c r="H16" s="63">
        <f>COUNTIFS(Row[DeptName],$G$4,Row[DesigName],G16)</f>
        <v>5</v>
      </c>
      <c r="I16" s="64">
        <f>H16/COUNTA(Row[EmpId])</f>
        <v>8.2644628099173556E-3</v>
      </c>
      <c r="K16" s="49"/>
      <c r="L16" s="2"/>
      <c r="M16" s="2"/>
      <c r="N16" s="2"/>
      <c r="O16" s="2"/>
      <c r="S16" s="22"/>
      <c r="T16" s="22"/>
      <c r="U16" s="22"/>
      <c r="V16" s="22"/>
    </row>
    <row r="17" spans="2:22" x14ac:dyDescent="0.3">
      <c r="B17" s="34" t="str">
        <v>Driver</v>
      </c>
      <c r="C17" s="20">
        <f>COUNTIF('Row data'!$G$2:$G$606,'Demo Ans 2'!B93)</f>
        <v>8</v>
      </c>
      <c r="D17" s="31">
        <f t="shared" si="0"/>
        <v>1.3223140495867768E-2</v>
      </c>
      <c r="G17" s="63" t="str">
        <v>Laser Cutting Machine Operator</v>
      </c>
      <c r="H17" s="63">
        <f>COUNTIFS(Row[DeptName],$G$4,Row[DesigName],G17)</f>
        <v>1</v>
      </c>
      <c r="I17" s="64">
        <f>H17/COUNTA(Row[EmpId])</f>
        <v>1.652892561983471E-3</v>
      </c>
      <c r="K17" s="49"/>
      <c r="L17" s="2"/>
      <c r="M17" s="2"/>
      <c r="N17" s="2"/>
      <c r="O17" s="2"/>
      <c r="S17" s="22"/>
      <c r="T17" s="22"/>
      <c r="U17" s="22"/>
      <c r="V17" s="22"/>
    </row>
    <row r="18" spans="2:22" x14ac:dyDescent="0.3">
      <c r="B18" s="34" t="str">
        <v>Assistant Forklift Driver</v>
      </c>
      <c r="C18" s="20">
        <f>COUNTIF('Row data'!$G$2:$G$606,'Demo Ans 2'!B10)</f>
        <v>7</v>
      </c>
      <c r="D18" s="31">
        <f t="shared" si="0"/>
        <v>1.1570247933884297E-2</v>
      </c>
      <c r="G18" s="63" t="str">
        <v>Quality Inspector</v>
      </c>
      <c r="H18" s="63">
        <f>COUNTIFS(Row[DeptName],$G$4,Row[DesigName],G18)</f>
        <v>11</v>
      </c>
      <c r="I18" s="64">
        <f>H18/COUNTA(Row[EmpId])</f>
        <v>1.8181818181818181E-2</v>
      </c>
      <c r="K18" s="49"/>
      <c r="L18" s="2"/>
      <c r="M18" s="2"/>
      <c r="N18" s="2"/>
      <c r="O18" s="2"/>
      <c r="P18" s="76"/>
      <c r="Q18" s="76"/>
      <c r="R18" s="76"/>
      <c r="S18" s="76"/>
      <c r="T18" s="76"/>
    </row>
    <row r="19" spans="2:22" x14ac:dyDescent="0.3">
      <c r="B19" s="34" t="str">
        <v>Asst. Admin Officer</v>
      </c>
      <c r="C19" s="20">
        <f>COUNTIF('Row data'!$G$2:$G$606,'Demo Ans 2'!B69)</f>
        <v>7</v>
      </c>
      <c r="D19" s="31">
        <f t="shared" si="0"/>
        <v>1.1570247933884297E-2</v>
      </c>
      <c r="G19" s="63" t="str">
        <v>Operator</v>
      </c>
      <c r="H19" s="63">
        <f>COUNTIFS(Row[DeptName],$G$4,Row[DesigName],G19)</f>
        <v>66</v>
      </c>
      <c r="I19" s="64">
        <f>H19/COUNTA(Row[EmpId])</f>
        <v>0.10909090909090909</v>
      </c>
      <c r="K19" s="49"/>
      <c r="L19" s="2"/>
      <c r="M19" s="2"/>
      <c r="N19" s="2"/>
      <c r="O19" s="2"/>
      <c r="P19" s="61"/>
      <c r="Q19" s="61"/>
      <c r="R19" s="61"/>
      <c r="S19" s="62"/>
      <c r="T19" s="61"/>
    </row>
    <row r="20" spans="2:22" x14ac:dyDescent="0.3">
      <c r="B20" s="34" t="str">
        <v>Executive</v>
      </c>
      <c r="C20" s="20">
        <f>COUNTIF('Row data'!$G$2:$G$606,'Demo Ans 2'!B85)</f>
        <v>7</v>
      </c>
      <c r="D20" s="31">
        <f t="shared" si="0"/>
        <v>1.1570247933884297E-2</v>
      </c>
      <c r="G20" s="63" t="str">
        <v>Assistant Operator</v>
      </c>
      <c r="H20" s="63">
        <f>COUNTIFS(Row[DeptName],$G$4,Row[DesigName],G20)</f>
        <v>42</v>
      </c>
      <c r="I20" s="64">
        <f>H20/COUNTA(Row[EmpId])</f>
        <v>6.9421487603305784E-2</v>
      </c>
      <c r="K20" s="49"/>
      <c r="L20" s="2"/>
      <c r="M20" s="2"/>
      <c r="N20" s="2"/>
      <c r="O20" s="2"/>
      <c r="P20" s="61"/>
      <c r="Q20" s="61"/>
      <c r="R20" s="61"/>
      <c r="S20" s="62"/>
      <c r="T20" s="61"/>
    </row>
    <row r="21" spans="2:22" x14ac:dyDescent="0.3">
      <c r="B21" s="34" t="str">
        <v>Trainee Shift Engineer</v>
      </c>
      <c r="C21" s="20">
        <f>COUNTIF('Row data'!$G$2:$G$606,'Demo Ans 2'!B97)</f>
        <v>7</v>
      </c>
      <c r="D21" s="31">
        <f t="shared" si="0"/>
        <v>1.1570247933884297E-2</v>
      </c>
      <c r="G21" s="63" t="str">
        <v>Assistant Supervisor</v>
      </c>
      <c r="H21" s="63">
        <f>COUNTIFS(Row[DeptName],$G$4,Row[DesigName],G21)</f>
        <v>2</v>
      </c>
      <c r="I21" s="64">
        <f>H21/COUNTA(Row[EmpId])</f>
        <v>3.3057851239669421E-3</v>
      </c>
      <c r="K21" s="49"/>
      <c r="L21" s="2"/>
      <c r="M21" s="2"/>
      <c r="N21" s="2"/>
      <c r="O21" s="2"/>
      <c r="P21" s="61"/>
      <c r="Q21" s="61"/>
      <c r="R21" s="61"/>
      <c r="S21" s="62"/>
      <c r="T21" s="61"/>
    </row>
    <row r="22" spans="2:22" x14ac:dyDescent="0.3">
      <c r="B22" s="34" t="str">
        <v>Sr. Shift Engineer</v>
      </c>
      <c r="C22" s="20">
        <f>COUNTIF('Row data'!$G$2:$G$606,'Demo Ans 2'!B9)</f>
        <v>6</v>
      </c>
      <c r="D22" s="31">
        <f t="shared" si="0"/>
        <v>9.9173553719008271E-3</v>
      </c>
      <c r="G22" s="63" t="str">
        <v>Mechanic</v>
      </c>
      <c r="H22" s="63">
        <f>COUNTIFS(Row[DeptName],$G$4,Row[DesigName],G22)</f>
        <v>2</v>
      </c>
      <c r="I22" s="64">
        <f>H22/COUNTA(Row[EmpId])</f>
        <v>3.3057851239669421E-3</v>
      </c>
      <c r="K22" s="49"/>
      <c r="L22" s="2"/>
      <c r="M22" s="2"/>
      <c r="N22" s="2"/>
      <c r="O22" s="2"/>
      <c r="P22" s="61"/>
      <c r="Q22" s="61"/>
      <c r="R22" s="61"/>
      <c r="S22" s="62"/>
      <c r="T22" s="61"/>
    </row>
    <row r="23" spans="2:22" x14ac:dyDescent="0.3">
      <c r="B23" s="34" t="str">
        <v>Assistant Bundleman</v>
      </c>
      <c r="C23" s="20">
        <f>COUNTIF('Row data'!$G$2:$G$606,'Demo Ans 2'!B32)</f>
        <v>6</v>
      </c>
      <c r="D23" s="31">
        <f t="shared" si="0"/>
        <v>9.9173553719008271E-3</v>
      </c>
      <c r="G23" s="63" t="str">
        <v>General Quality Inspector</v>
      </c>
      <c r="H23" s="63">
        <f>COUNTIFS(Row[DeptName],$G$4,Row[DesigName],G23)</f>
        <v>6</v>
      </c>
      <c r="I23" s="64">
        <f>H23/COUNTA(Row[EmpId])</f>
        <v>9.9173553719008271E-3</v>
      </c>
      <c r="K23" s="49"/>
      <c r="L23" s="2"/>
      <c r="M23" s="2"/>
      <c r="N23" s="2"/>
      <c r="O23" s="2"/>
      <c r="P23" s="61"/>
      <c r="Q23" s="61"/>
      <c r="R23" s="61"/>
      <c r="S23" s="62"/>
      <c r="T23" s="61"/>
    </row>
    <row r="24" spans="2:22" x14ac:dyDescent="0.3">
      <c r="B24" s="34" t="str">
        <v>Designer</v>
      </c>
      <c r="C24" s="20">
        <f>COUNTIF('Row data'!$G$2:$G$606,'Demo Ans 2'!B25)</f>
        <v>5</v>
      </c>
      <c r="D24" s="31">
        <f t="shared" si="0"/>
        <v>8.2644628099173556E-3</v>
      </c>
      <c r="G24" s="63" t="str">
        <v>Senior Packingman</v>
      </c>
      <c r="H24" s="63">
        <f>COUNTIFS(Row[DeptName],$G$4,Row[DesigName],G24)</f>
        <v>1</v>
      </c>
      <c r="I24" s="64">
        <f>H24/COUNTA(Row[EmpId])</f>
        <v>1.652892561983471E-3</v>
      </c>
      <c r="K24" s="49"/>
      <c r="L24" s="2"/>
      <c r="M24" s="2"/>
      <c r="N24" s="2"/>
      <c r="O24" s="2"/>
      <c r="P24" s="61"/>
      <c r="Q24" s="61"/>
      <c r="R24" s="61"/>
      <c r="S24" s="62"/>
      <c r="T24" s="61"/>
    </row>
    <row r="25" spans="2:22" x14ac:dyDescent="0.3">
      <c r="B25" s="34" t="str">
        <v>Supervisor</v>
      </c>
      <c r="C25" s="20">
        <f>COUNTIF('Row data'!$G$2:$G$606,'Demo Ans 2'!B64)</f>
        <v>5</v>
      </c>
      <c r="D25" s="31">
        <f t="shared" si="0"/>
        <v>8.2644628099173556E-3</v>
      </c>
      <c r="G25" s="63" t="str">
        <v>Senior Operator</v>
      </c>
      <c r="H25" s="63">
        <f>COUNTIFS(Row[DeptName],$G$4,Row[DesigName],G25)</f>
        <v>2</v>
      </c>
      <c r="I25" s="64">
        <f>H25/COUNTA(Row[EmpId])</f>
        <v>3.3057851239669421E-3</v>
      </c>
      <c r="K25" s="49"/>
      <c r="L25" s="2"/>
      <c r="M25" s="2"/>
      <c r="N25" s="2"/>
      <c r="O25" s="2"/>
      <c r="P25" s="61"/>
      <c r="Q25" s="61"/>
      <c r="R25" s="61"/>
      <c r="S25" s="62"/>
      <c r="T25" s="61"/>
    </row>
    <row r="26" spans="2:22" x14ac:dyDescent="0.3">
      <c r="B26" s="34" t="str">
        <v>Laser Cutting Machine Operator</v>
      </c>
      <c r="C26" s="20">
        <f>COUNTIF('Row data'!$G$2:$G$606,'Demo Ans 2'!B86)</f>
        <v>5</v>
      </c>
      <c r="D26" s="31">
        <f t="shared" si="0"/>
        <v>8.2644628099173556E-3</v>
      </c>
      <c r="G26" s="63" t="str">
        <v>Padding Machine Operator</v>
      </c>
      <c r="H26" s="63">
        <f>COUNTIFS(Row[DeptName],$G$4,Row[DesigName],G26)</f>
        <v>3</v>
      </c>
      <c r="I26" s="64">
        <f>H26/COUNTA(Row[EmpId])</f>
        <v>4.9586776859504135E-3</v>
      </c>
      <c r="K26" s="49"/>
      <c r="L26" s="2"/>
      <c r="M26" s="2"/>
      <c r="N26" s="2"/>
      <c r="O26" s="2"/>
      <c r="P26" s="61"/>
      <c r="Q26" s="61"/>
      <c r="R26" s="61"/>
      <c r="S26" s="62"/>
      <c r="T26" s="61"/>
    </row>
    <row r="27" spans="2:22" x14ac:dyDescent="0.3">
      <c r="B27" s="34" t="str">
        <v>Quality Inspector</v>
      </c>
      <c r="C27" s="20">
        <f>COUNTIF('Row data'!$G$2:$G$606,'Demo Ans 2'!B5)</f>
        <v>4</v>
      </c>
      <c r="D27" s="31">
        <f t="shared" si="0"/>
        <v>6.6115702479338841E-3</v>
      </c>
      <c r="G27" s="63" t="str">
        <v>Senior Carding Operator</v>
      </c>
      <c r="H27" s="63">
        <f>COUNTIFS(Row[DeptName],$G$4,Row[DesigName],G27)</f>
        <v>1</v>
      </c>
      <c r="I27" s="64">
        <f>H27/COUNTA(Row[EmpId])</f>
        <v>1.652892561983471E-3</v>
      </c>
      <c r="K27" s="49"/>
      <c r="L27" s="2"/>
      <c r="M27" s="2"/>
      <c r="N27" s="2"/>
      <c r="O27" s="2"/>
    </row>
    <row r="28" spans="2:22" x14ac:dyDescent="0.3">
      <c r="B28" s="34" t="str">
        <v>Operator</v>
      </c>
      <c r="C28" s="20">
        <f>COUNTIF('Row data'!$G$2:$G$606,'Demo Ans 2'!B12)</f>
        <v>4</v>
      </c>
      <c r="D28" s="31">
        <f t="shared" si="0"/>
        <v>6.6115702479338841E-3</v>
      </c>
      <c r="G28" s="63" t="str">
        <v>Asst. Production Incharge</v>
      </c>
      <c r="H28" s="63">
        <f>COUNTIFS(Row[DeptName],$G$4,Row[DesigName],G28)</f>
        <v>1</v>
      </c>
      <c r="I28" s="64">
        <f>H28/COUNTA(Row[EmpId])</f>
        <v>1.652892561983471E-3</v>
      </c>
      <c r="K28" s="49"/>
      <c r="L28" s="2"/>
      <c r="M28" s="2"/>
      <c r="N28" s="2"/>
      <c r="O28" s="2"/>
    </row>
    <row r="29" spans="2:22" x14ac:dyDescent="0.3">
      <c r="B29" s="34" t="str">
        <v>Assistant Operator</v>
      </c>
      <c r="C29" s="20">
        <f>COUNTIF('Row data'!$G$2:$G$606,'Demo Ans 2'!B35)</f>
        <v>4</v>
      </c>
      <c r="D29" s="31">
        <f t="shared" si="0"/>
        <v>6.6115702479338841E-3</v>
      </c>
      <c r="G29" s="63" t="str">
        <v>In Charge</v>
      </c>
      <c r="H29" s="63">
        <f>COUNTIFS(Row[DeptName],$G$4,Row[DesigName],G29)</f>
        <v>2</v>
      </c>
      <c r="I29" s="64">
        <f>H29/COUNTA(Row[EmpId])</f>
        <v>3.3057851239669421E-3</v>
      </c>
      <c r="K29" s="49"/>
      <c r="L29" s="2"/>
      <c r="M29" s="2"/>
      <c r="N29" s="2"/>
      <c r="O29" s="2"/>
    </row>
    <row r="30" spans="2:22" x14ac:dyDescent="0.3">
      <c r="B30" s="34" t="str">
        <v>Assistant Supervisor</v>
      </c>
      <c r="C30" s="20">
        <f>COUNTIF('Row data'!$G$2:$G$606,'Demo Ans 2'!B36)</f>
        <v>4</v>
      </c>
      <c r="D30" s="31">
        <f t="shared" si="0"/>
        <v>6.6115702479338841E-3</v>
      </c>
      <c r="G30" s="63" t="str">
        <v>Deputy Production Incharge</v>
      </c>
      <c r="H30" s="63">
        <f>COUNTIFS(Row[DeptName],$G$4,Row[DesigName],G30)</f>
        <v>1</v>
      </c>
      <c r="I30" s="64">
        <f>H30/COUNTA(Row[EmpId])</f>
        <v>1.652892561983471E-3</v>
      </c>
      <c r="K30" s="49"/>
      <c r="L30" s="2"/>
      <c r="M30" s="2"/>
      <c r="N30" s="2"/>
      <c r="O30" s="2"/>
    </row>
    <row r="31" spans="2:22" x14ac:dyDescent="0.3">
      <c r="B31" s="34" t="str">
        <v>Mechanic</v>
      </c>
      <c r="C31" s="20">
        <f>COUNTIF('Row data'!$G$2:$G$606,'Demo Ans 2'!B90)</f>
        <v>4</v>
      </c>
      <c r="D31" s="31">
        <f t="shared" si="0"/>
        <v>6.6115702479338841E-3</v>
      </c>
      <c r="G31" s="63" t="str">
        <v>Senior Quality Inspector</v>
      </c>
      <c r="H31" s="63">
        <f>COUNTIFS(Row[DeptName],$G$4,Row[DesigName],G31)</f>
        <v>2</v>
      </c>
      <c r="I31" s="64">
        <f>H31/COUNTA(Row[EmpId])</f>
        <v>3.3057851239669421E-3</v>
      </c>
      <c r="K31" s="49"/>
      <c r="L31" s="2"/>
      <c r="M31" s="2"/>
      <c r="N31" s="2"/>
      <c r="O31" s="2"/>
    </row>
    <row r="32" spans="2:22" x14ac:dyDescent="0.3">
      <c r="B32" s="34" t="str">
        <v>General Quality Inspector</v>
      </c>
      <c r="C32" s="20">
        <f>COUNTIF('Row data'!$G$2:$G$606,'Demo Ans 2'!B107)</f>
        <v>4</v>
      </c>
      <c r="D32" s="31">
        <f t="shared" si="0"/>
        <v>6.6115702479338841E-3</v>
      </c>
      <c r="G32" s="63" t="str">
        <v>Asst. Production Coordinator</v>
      </c>
      <c r="H32" s="63">
        <f>COUNTIFS(Row[DeptName],$G$4,Row[DesigName],G32)</f>
        <v>1</v>
      </c>
      <c r="I32" s="64">
        <f>H32/COUNTA(Row[EmpId])</f>
        <v>1.652892561983471E-3</v>
      </c>
      <c r="K32" s="49"/>
      <c r="L32" s="2"/>
      <c r="M32" s="2"/>
      <c r="N32" s="2"/>
      <c r="O32" s="2"/>
    </row>
    <row r="33" spans="2:15" x14ac:dyDescent="0.3">
      <c r="B33" s="34" t="str">
        <v>Store Co-Ordinator(Assistant)</v>
      </c>
      <c r="C33" s="20">
        <f>COUNTIF('Row data'!$G$2:$G$606,'Demo Ans 2'!B123)</f>
        <v>4</v>
      </c>
      <c r="D33" s="31">
        <f t="shared" si="0"/>
        <v>6.6115702479338841E-3</v>
      </c>
      <c r="G33" s="63" t="str">
        <v>Senior Padding Machine Operator</v>
      </c>
      <c r="H33" s="63">
        <f>COUNTIFS(Row[DeptName],$G$4,Row[DesigName],G33)</f>
        <v>1</v>
      </c>
      <c r="I33" s="64">
        <f>H33/COUNTA(Row[EmpId])</f>
        <v>1.652892561983471E-3</v>
      </c>
      <c r="K33" s="49"/>
      <c r="L33" s="2"/>
      <c r="M33" s="2"/>
      <c r="N33" s="2"/>
      <c r="O33" s="2"/>
    </row>
    <row r="34" spans="2:15" x14ac:dyDescent="0.3">
      <c r="B34" s="34" t="str">
        <v>Store Officer</v>
      </c>
      <c r="C34" s="20">
        <f>COUNTIF('Row data'!$G$2:$G$606,'Demo Ans 2'!B22)</f>
        <v>3</v>
      </c>
      <c r="D34" s="31">
        <f t="shared" si="0"/>
        <v>4.9586776859504135E-3</v>
      </c>
      <c r="G34" s="63" t="str">
        <v>Winder Machine Operator</v>
      </c>
      <c r="H34" s="63">
        <f>COUNTIFS(Row[DeptName],$G$4,Row[DesigName],G34)</f>
        <v>2</v>
      </c>
      <c r="I34" s="64">
        <f>H34/COUNTA(Row[EmpId])</f>
        <v>3.3057851239669421E-3</v>
      </c>
      <c r="K34" s="49"/>
      <c r="L34" s="2"/>
      <c r="M34" s="2"/>
      <c r="N34" s="2"/>
      <c r="O34" s="2"/>
    </row>
    <row r="35" spans="2:15" x14ac:dyDescent="0.3">
      <c r="B35" s="34" t="str">
        <v>Junior Executive (Electrical)</v>
      </c>
      <c r="C35" s="20">
        <f>COUNTIF('Row data'!$G$2:$G$606,'Demo Ans 2'!B33)</f>
        <v>3</v>
      </c>
      <c r="D35" s="31">
        <f t="shared" si="0"/>
        <v>4.9586776859504135E-3</v>
      </c>
      <c r="G35" s="63" t="str">
        <v>Mechanic Helper</v>
      </c>
      <c r="H35" s="63">
        <f>COUNTIFS(Row[DeptName],$G$4,Row[DesigName],G35)</f>
        <v>1</v>
      </c>
      <c r="I35" s="64">
        <f>H35/COUNTA(Row[EmpId])</f>
        <v>1.652892561983471E-3</v>
      </c>
      <c r="K35" s="49"/>
      <c r="L35" s="2"/>
      <c r="M35" s="2"/>
      <c r="N35" s="2"/>
      <c r="O35" s="2"/>
    </row>
    <row r="36" spans="2:15" x14ac:dyDescent="0.3">
      <c r="B36" s="34" t="str">
        <v>Assistant Electrician</v>
      </c>
      <c r="C36" s="20">
        <f>COUNTIF('Row data'!$G$2:$G$606,'Demo Ans 2'!B40)</f>
        <v>3</v>
      </c>
      <c r="D36" s="31">
        <f t="shared" si="0"/>
        <v>4.9586776859504135E-3</v>
      </c>
      <c r="G36" s="63" t="str">
        <v>Executive Procurement</v>
      </c>
      <c r="H36" s="63">
        <f>COUNTIFS(Row[DeptName],$G$4,Row[DesigName],G36)</f>
        <v>1</v>
      </c>
      <c r="I36" s="64">
        <f>H36/COUNTA(Row[EmpId])</f>
        <v>1.652892561983471E-3</v>
      </c>
      <c r="K36" s="49"/>
      <c r="L36" s="2"/>
      <c r="M36" s="2"/>
      <c r="N36" s="2"/>
      <c r="O36" s="2"/>
    </row>
    <row r="37" spans="2:15" x14ac:dyDescent="0.3">
      <c r="B37" s="34" t="str">
        <v>Electrician</v>
      </c>
      <c r="C37" s="20">
        <f>COUNTIF('Row data'!$G$2:$G$606,'Demo Ans 2'!B42)</f>
        <v>3</v>
      </c>
      <c r="D37" s="31">
        <f t="shared" ref="D37:D68" si="2">C37/SUM($C$5:$C$125)</f>
        <v>4.9586776859504135E-3</v>
      </c>
      <c r="G37" s="63" t="str">
        <v>Asst. Supervisor</v>
      </c>
      <c r="H37" s="63">
        <f>COUNTIFS(Row[DeptName],$G$4,Row[DesigName],G37)</f>
        <v>1</v>
      </c>
      <c r="I37" s="64">
        <f>H37/COUNTA(Row[EmpId])</f>
        <v>1.652892561983471E-3</v>
      </c>
      <c r="K37" s="49"/>
      <c r="L37" s="2"/>
      <c r="M37" s="2"/>
      <c r="N37" s="2"/>
      <c r="O37" s="2"/>
    </row>
    <row r="38" spans="2:15" x14ac:dyDescent="0.3">
      <c r="B38" s="34" t="str">
        <v>Maintenance Officer</v>
      </c>
      <c r="C38" s="20">
        <f>COUNTIF('Row data'!$G$2:$G$606,'Demo Ans 2'!B43)</f>
        <v>3</v>
      </c>
      <c r="D38" s="31">
        <f t="shared" si="2"/>
        <v>4.9586776859504135E-3</v>
      </c>
      <c r="G38" s="63" t="str">
        <v>Assistant Bale Breaker Machine Operator</v>
      </c>
      <c r="H38" s="63">
        <f>COUNTIFS(Row[DeptName],$G$4,Row[DesigName],G38)</f>
        <v>7</v>
      </c>
      <c r="I38" s="64">
        <f>H38/COUNTA(Row[EmpId])</f>
        <v>1.1570247933884297E-2</v>
      </c>
      <c r="K38" s="49"/>
      <c r="L38" s="2"/>
      <c r="M38" s="2"/>
      <c r="N38" s="2"/>
      <c r="O38" s="2"/>
    </row>
    <row r="39" spans="2:15" x14ac:dyDescent="0.3">
      <c r="B39" s="34" t="str">
        <v>Asst. Manager</v>
      </c>
      <c r="C39" s="20">
        <f>COUNTIF('Row data'!$G$2:$G$606,'Demo Ans 2'!B56)</f>
        <v>3</v>
      </c>
      <c r="D39" s="31">
        <f t="shared" si="2"/>
        <v>4.9586776859504135E-3</v>
      </c>
      <c r="G39" s="63" t="str">
        <v>Cleaner</v>
      </c>
      <c r="H39" s="63">
        <f>COUNTIFS(Row[DeptName],$G$4,Row[DesigName],G39)</f>
        <v>3</v>
      </c>
      <c r="I39" s="64">
        <f>H39/COUNTA(Row[EmpId])</f>
        <v>4.9586776859504135E-3</v>
      </c>
      <c r="K39" s="49"/>
      <c r="L39" s="2"/>
      <c r="M39" s="2"/>
      <c r="N39" s="2"/>
      <c r="O39" s="2"/>
    </row>
    <row r="40" spans="2:15" x14ac:dyDescent="0.3">
      <c r="B40" s="34" t="str">
        <v xml:space="preserve"> Assistant Fitter Man</v>
      </c>
      <c r="C40" s="20">
        <f>COUNTIF('Row data'!$G$2:$G$606,'Demo Ans 2'!B101)</f>
        <v>3</v>
      </c>
      <c r="D40" s="31">
        <f t="shared" si="2"/>
        <v>4.9586776859504135E-3</v>
      </c>
      <c r="G40" s="63" t="str">
        <v>Assistant Winder Machine Operator</v>
      </c>
      <c r="H40" s="63">
        <f>COUNTIFS(Row[DeptName],$G$4,Row[DesigName],G40)</f>
        <v>5</v>
      </c>
      <c r="I40" s="64">
        <f>H40/COUNTA(Row[EmpId])</f>
        <v>8.2644628099173556E-3</v>
      </c>
      <c r="K40" s="49"/>
      <c r="L40" s="2"/>
      <c r="M40" s="2"/>
      <c r="N40" s="2"/>
      <c r="O40" s="2"/>
    </row>
    <row r="41" spans="2:15" x14ac:dyDescent="0.3">
      <c r="B41" s="34" t="str">
        <v>Mechanical Fitter Man</v>
      </c>
      <c r="C41" s="20">
        <f>COUNTIF('Row data'!$G$2:$G$606,'Demo Ans 2'!B104)</f>
        <v>3</v>
      </c>
      <c r="D41" s="31">
        <f t="shared" si="2"/>
        <v>4.9586776859504135E-3</v>
      </c>
      <c r="G41" s="63" t="str">
        <v>General  Winder Machine Operator</v>
      </c>
      <c r="H41" s="63">
        <f>COUNTIFS(Row[DeptName],$G$4,Row[DesigName],G41)</f>
        <v>1</v>
      </c>
      <c r="I41" s="64">
        <f>H41/COUNTA(Row[EmpId])</f>
        <v>1.652892561983471E-3</v>
      </c>
      <c r="K41" s="49"/>
      <c r="L41" s="2"/>
      <c r="M41" s="2"/>
      <c r="N41" s="2"/>
      <c r="O41" s="2"/>
    </row>
    <row r="42" spans="2:15" x14ac:dyDescent="0.3">
      <c r="B42" s="34" t="str">
        <v>Senior Executive</v>
      </c>
      <c r="C42" s="20">
        <f>COUNTIF('Row data'!$G$2:$G$606,'Demo Ans 2'!B105)</f>
        <v>3</v>
      </c>
      <c r="D42" s="31">
        <f t="shared" si="2"/>
        <v>4.9586776859504135E-3</v>
      </c>
      <c r="G42" s="63" t="str">
        <v>General  Bale Breaker Machine Operator</v>
      </c>
      <c r="H42" s="63">
        <f>COUNTIFS(Row[DeptName],$G$4,Row[DesigName],G42)</f>
        <v>1</v>
      </c>
      <c r="I42" s="64">
        <f>H42/COUNTA(Row[EmpId])</f>
        <v>1.652892561983471E-3</v>
      </c>
      <c r="K42" s="49"/>
      <c r="L42" s="2"/>
      <c r="M42" s="2"/>
      <c r="N42" s="2"/>
      <c r="O42" s="2"/>
    </row>
    <row r="43" spans="2:15" x14ac:dyDescent="0.3">
      <c r="B43" s="34" t="str">
        <v>Assistant Manager</v>
      </c>
      <c r="C43" s="20">
        <f>COUNTIF('Row data'!$G$2:$G$606,'Demo Ans 2'!B108)</f>
        <v>3</v>
      </c>
      <c r="D43" s="31">
        <f t="shared" si="2"/>
        <v>4.9586776859504135E-3</v>
      </c>
      <c r="G43" s="63" t="str">
        <v>Cutter Man</v>
      </c>
      <c r="H43" s="63">
        <f>COUNTIFS(Row[DeptName],$G$4,Row[DesigName],G43)</f>
        <v>2</v>
      </c>
      <c r="I43" s="64">
        <f>H43/COUNTA(Row[EmpId])</f>
        <v>3.3057851239669421E-3</v>
      </c>
      <c r="K43" s="49"/>
      <c r="L43" s="2"/>
      <c r="M43" s="2"/>
      <c r="N43" s="2"/>
      <c r="O43" s="2"/>
    </row>
    <row r="44" spans="2:15" x14ac:dyDescent="0.3">
      <c r="B44" s="34" t="str">
        <v>Canteen Boy</v>
      </c>
      <c r="C44" s="20">
        <f>COUNTIF('Row data'!$G$2:$G$606,'Demo Ans 2'!B112)</f>
        <v>3</v>
      </c>
      <c r="D44" s="31">
        <f t="shared" si="2"/>
        <v>4.9586776859504135E-3</v>
      </c>
      <c r="G44" s="63" t="str">
        <v>Asst. Lay Women</v>
      </c>
      <c r="H44" s="63">
        <f>COUNTIFS(Row[DeptName],$G$4,Row[DesigName],G44)</f>
        <v>4</v>
      </c>
      <c r="I44" s="64">
        <f>H44/COUNTA(Row[EmpId])</f>
        <v>6.6115702479338841E-3</v>
      </c>
      <c r="K44" s="49"/>
      <c r="L44" s="2"/>
      <c r="M44" s="2"/>
      <c r="N44" s="2"/>
      <c r="O44" s="2"/>
    </row>
    <row r="45" spans="2:15" x14ac:dyDescent="0.3">
      <c r="B45" s="34" t="str">
        <v>Governess</v>
      </c>
      <c r="C45" s="20">
        <f>COUNTIF('Row data'!$G$2:$G$606,'Demo Ans 2'!B114)</f>
        <v>3</v>
      </c>
      <c r="D45" s="31">
        <f t="shared" si="2"/>
        <v>4.9586776859504135E-3</v>
      </c>
      <c r="G45" s="63" t="str">
        <v>Junior Crush Machine Operator</v>
      </c>
      <c r="H45" s="63">
        <f>COUNTIFS(Row[DeptName],$G$4,Row[DesigName],G45)</f>
        <v>1</v>
      </c>
      <c r="I45" s="64">
        <f>H45/COUNTA(Row[EmpId])</f>
        <v>1.652892561983471E-3</v>
      </c>
      <c r="K45" s="49"/>
      <c r="L45" s="2"/>
      <c r="M45" s="2"/>
      <c r="N45" s="2"/>
      <c r="O45" s="2"/>
    </row>
    <row r="46" spans="2:15" x14ac:dyDescent="0.3">
      <c r="B46" s="34" t="str">
        <v>General Manager</v>
      </c>
      <c r="C46" s="20">
        <f>COUNTIF('Row data'!$G$2:$G$606,'Demo Ans 2'!B6)</f>
        <v>2</v>
      </c>
      <c r="D46" s="31">
        <f t="shared" si="2"/>
        <v>3.3057851239669421E-3</v>
      </c>
      <c r="G46" s="63" t="str">
        <v>Assistant Sewing Machine Operator</v>
      </c>
      <c r="H46" s="63">
        <f>COUNTIFS(Row[DeptName],$G$4,Row[DesigName],G46)</f>
        <v>34</v>
      </c>
      <c r="I46" s="64">
        <f>H46/COUNTA(Row[EmpId])</f>
        <v>5.6198347107438019E-2</v>
      </c>
      <c r="K46" s="49"/>
      <c r="L46" s="2"/>
      <c r="M46" s="2"/>
      <c r="N46" s="2"/>
      <c r="O46" s="2"/>
    </row>
    <row r="47" spans="2:15" x14ac:dyDescent="0.3">
      <c r="B47" s="34" t="str">
        <v>Nurse</v>
      </c>
      <c r="C47" s="20">
        <f>COUNTIF('Row data'!$G$2:$G$606,'Demo Ans 2'!B11)</f>
        <v>2</v>
      </c>
      <c r="D47" s="31">
        <f t="shared" si="2"/>
        <v>3.3057851239669421E-3</v>
      </c>
      <c r="G47" s="63" t="str">
        <v>Sewing Machine Operator</v>
      </c>
      <c r="H47" s="63">
        <f>COUNTIFS(Row[DeptName],$G$4,Row[DesigName],G47)</f>
        <v>8</v>
      </c>
      <c r="I47" s="64">
        <f>H47/COUNTA(Row[EmpId])</f>
        <v>1.3223140495867768E-2</v>
      </c>
      <c r="K47" s="49"/>
      <c r="L47" s="2"/>
      <c r="M47" s="2"/>
      <c r="N47" s="2"/>
      <c r="O47" s="2"/>
    </row>
    <row r="48" spans="2:15" x14ac:dyDescent="0.3">
      <c r="B48" s="34" t="str">
        <v>Security Trainee Supervisor</v>
      </c>
      <c r="C48" s="20">
        <f>COUNTIF('Row data'!$G$2:$G$606,'Demo Ans 2'!B15)</f>
        <v>2</v>
      </c>
      <c r="D48" s="31">
        <f t="shared" si="2"/>
        <v>3.3057851239669421E-3</v>
      </c>
      <c r="G48" s="63" t="str">
        <v>Asst. Cutter Man</v>
      </c>
      <c r="H48" s="63">
        <f>COUNTIFS(Row[DeptName],$G$4,Row[DesigName],G48)</f>
        <v>1</v>
      </c>
      <c r="I48" s="64">
        <f>H48/COUNTA(Row[EmpId])</f>
        <v>1.652892561983471E-3</v>
      </c>
      <c r="K48" s="49"/>
      <c r="L48" s="2"/>
      <c r="M48" s="2"/>
      <c r="N48" s="2"/>
      <c r="O48" s="2"/>
    </row>
    <row r="49" spans="2:15" x14ac:dyDescent="0.3">
      <c r="B49" s="34" t="str">
        <v>Security Guard</v>
      </c>
      <c r="C49" s="20">
        <f>COUNTIF('Row data'!$G$2:$G$606,'Demo Ans 2'!B20)</f>
        <v>2</v>
      </c>
      <c r="D49" s="31">
        <f t="shared" si="2"/>
        <v>3.3057851239669421E-3</v>
      </c>
      <c r="G49" s="63" t="str">
        <v>Embroidery Machine Operator</v>
      </c>
      <c r="H49" s="63">
        <f>COUNTIFS(Row[DeptName],$G$4,Row[DesigName],G49)</f>
        <v>1</v>
      </c>
      <c r="I49" s="64">
        <f>H49/COUNTA(Row[EmpId])</f>
        <v>1.652892561983471E-3</v>
      </c>
      <c r="K49" s="49"/>
      <c r="L49" s="2"/>
      <c r="M49" s="2"/>
      <c r="N49" s="2"/>
      <c r="O49" s="2"/>
    </row>
    <row r="50" spans="2:15" x14ac:dyDescent="0.3">
      <c r="B50" s="34" t="str">
        <v>Security In charge</v>
      </c>
      <c r="C50" s="20">
        <f>COUNTIF('Row data'!$G$2:$G$606,'Demo Ans 2'!B30)</f>
        <v>2</v>
      </c>
      <c r="D50" s="31">
        <f t="shared" si="2"/>
        <v>3.3057851239669421E-3</v>
      </c>
      <c r="G50" s="63" t="str">
        <v>Sample Man</v>
      </c>
      <c r="H50" s="63">
        <f>COUNTIFS(Row[DeptName],$G$4,Row[DesigName],G50)</f>
        <v>1</v>
      </c>
      <c r="I50" s="64">
        <f>H50/COUNTA(Row[EmpId])</f>
        <v>1.652892561983471E-3</v>
      </c>
      <c r="K50" s="49"/>
      <c r="L50" s="2"/>
      <c r="M50" s="2"/>
      <c r="N50" s="2"/>
      <c r="O50" s="2"/>
    </row>
    <row r="51" spans="2:15" x14ac:dyDescent="0.3">
      <c r="B51" s="34" t="str">
        <v>Lift Operator</v>
      </c>
      <c r="C51" s="20">
        <f>COUNTIF('Row data'!$G$2:$G$606,'Demo Ans 2'!B31)</f>
        <v>2</v>
      </c>
      <c r="D51" s="31">
        <f t="shared" si="2"/>
        <v>3.3057851239669421E-3</v>
      </c>
      <c r="G51" s="63" t="str">
        <v>Junior Operator</v>
      </c>
      <c r="H51" s="63">
        <f>COUNTIFS(Row[DeptName],$G$4,Row[DesigName],G51)</f>
        <v>7</v>
      </c>
      <c r="I51" s="64">
        <f>H51/COUNTA(Row[EmpId])</f>
        <v>1.1570247933884297E-2</v>
      </c>
      <c r="K51" s="49"/>
      <c r="L51" s="2"/>
      <c r="M51" s="2"/>
      <c r="N51" s="2"/>
      <c r="O51" s="2"/>
    </row>
    <row r="52" spans="2:15" x14ac:dyDescent="0.3">
      <c r="B52" s="34" t="str">
        <v>Asst. Manager Operation (Bottle &amp; Logistic Support</v>
      </c>
      <c r="C52" s="20">
        <f>COUNTIF('Row data'!$G$2:$G$606,'Demo Ans 2'!B34)</f>
        <v>2</v>
      </c>
      <c r="D52" s="31">
        <f t="shared" si="2"/>
        <v>3.3057851239669421E-3</v>
      </c>
      <c r="G52" s="63" t="str">
        <v>Junior Sewing Machine Operator</v>
      </c>
      <c r="H52" s="63">
        <f>COUNTIFS(Row[DeptName],$G$4,Row[DesigName],G52)</f>
        <v>1</v>
      </c>
      <c r="I52" s="64">
        <f>H52/COUNTA(Row[EmpId])</f>
        <v>1.652892561983471E-3</v>
      </c>
      <c r="K52" s="49"/>
      <c r="L52" s="2"/>
      <c r="M52" s="2"/>
      <c r="N52" s="2"/>
      <c r="O52" s="2"/>
    </row>
    <row r="53" spans="2:15" x14ac:dyDescent="0.3">
      <c r="B53" s="34" t="str">
        <v>Delivery Executive</v>
      </c>
      <c r="C53" s="20">
        <f>COUNTIF('Row data'!$G$2:$G$606,'Demo Ans 2'!B53)</f>
        <v>2</v>
      </c>
      <c r="D53" s="31">
        <f t="shared" si="2"/>
        <v>3.3057851239669421E-3</v>
      </c>
      <c r="G53" s="63" t="str">
        <v>Lay Women</v>
      </c>
      <c r="H53" s="63">
        <f>COUNTIFS(Row[DeptName],$G$4,Row[DesigName],G53)</f>
        <v>1</v>
      </c>
      <c r="I53" s="64">
        <f>H53/COUNTA(Row[EmpId])</f>
        <v>1.652892561983471E-3</v>
      </c>
      <c r="K53" s="49"/>
      <c r="L53" s="2"/>
      <c r="M53" s="2"/>
      <c r="N53" s="2"/>
      <c r="O53" s="2"/>
    </row>
    <row r="54" spans="2:15" x14ac:dyDescent="0.3">
      <c r="B54" s="34" t="str">
        <v>Senior Packingman</v>
      </c>
      <c r="C54" s="20">
        <f>COUNTIF('Row data'!$G$2:$G$606,'Demo Ans 2'!B55)</f>
        <v>2</v>
      </c>
      <c r="D54" s="31">
        <f t="shared" si="2"/>
        <v>3.3057851239669421E-3</v>
      </c>
      <c r="G54" s="63" t="str">
        <v>Assistant Cutter</v>
      </c>
      <c r="H54" s="63">
        <f>COUNTIFS(Row[DeptName],$G$4,Row[DesigName],G54)</f>
        <v>2</v>
      </c>
      <c r="I54" s="64">
        <f>H54/COUNTA(Row[EmpId])</f>
        <v>3.3057851239669421E-3</v>
      </c>
      <c r="K54" s="49"/>
      <c r="L54" s="2"/>
      <c r="M54" s="2"/>
      <c r="N54" s="2"/>
      <c r="O54" s="2"/>
    </row>
    <row r="55" spans="2:15" x14ac:dyDescent="0.3">
      <c r="B55" s="34" t="str">
        <v>Senior Operator</v>
      </c>
      <c r="C55" s="20">
        <f>COUNTIF('Row data'!$G$2:$G$606,'Demo Ans 2'!B59)</f>
        <v>2</v>
      </c>
      <c r="D55" s="31">
        <f t="shared" si="2"/>
        <v>3.3057851239669421E-3</v>
      </c>
      <c r="G55" s="63" t="str">
        <v>Junior Cutter</v>
      </c>
      <c r="H55" s="63">
        <f>COUNTIFS(Row[DeptName],$G$4,Row[DesigName],G55)</f>
        <v>1</v>
      </c>
      <c r="I55" s="64">
        <f>H55/COUNTA(Row[EmpId])</f>
        <v>1.652892561983471E-3</v>
      </c>
      <c r="K55" s="49"/>
      <c r="L55" s="2"/>
      <c r="M55" s="2"/>
      <c r="N55" s="2"/>
      <c r="O55" s="2"/>
    </row>
    <row r="56" spans="2:15" x14ac:dyDescent="0.3">
      <c r="B56" s="34" t="str">
        <v>Padding Machine Operator</v>
      </c>
      <c r="C56" s="20">
        <f>COUNTIF('Row data'!$G$2:$G$606,'Demo Ans 2'!B61)</f>
        <v>2</v>
      </c>
      <c r="D56" s="31">
        <f t="shared" si="2"/>
        <v>3.3057851239669421E-3</v>
      </c>
      <c r="G56" s="63" t="str">
        <v>Assistant Bundle Man</v>
      </c>
      <c r="H56" s="63">
        <f>COUNTIFS(Row[DeptName],$G$4,Row[DesigName],G56)</f>
        <v>3</v>
      </c>
      <c r="I56" s="64">
        <f>H56/COUNTA(Row[EmpId])</f>
        <v>4.9586776859504135E-3</v>
      </c>
      <c r="K56" s="49"/>
      <c r="L56" s="2"/>
      <c r="M56" s="2"/>
      <c r="N56" s="2"/>
      <c r="O56" s="2"/>
    </row>
    <row r="57" spans="2:15" x14ac:dyDescent="0.3">
      <c r="B57" s="34" t="str">
        <v>Senior Carding Operator</v>
      </c>
      <c r="C57" s="20">
        <f>COUNTIF('Row data'!$G$2:$G$606,'Demo Ans 2'!B68)</f>
        <v>2</v>
      </c>
      <c r="D57" s="31">
        <f t="shared" si="2"/>
        <v>3.3057851239669421E-3</v>
      </c>
      <c r="G57" s="63" t="str">
        <v>Packing Man</v>
      </c>
      <c r="H57" s="63">
        <f>COUNTIFS(Row[DeptName],$G$4,Row[DesigName],G57)</f>
        <v>3</v>
      </c>
      <c r="I57" s="64">
        <f>H57/COUNTA(Row[EmpId])</f>
        <v>4.9586776859504135E-3</v>
      </c>
      <c r="K57" s="49"/>
      <c r="L57" s="2"/>
      <c r="M57" s="2"/>
      <c r="N57" s="2"/>
      <c r="O57" s="2"/>
    </row>
    <row r="58" spans="2:15" x14ac:dyDescent="0.3">
      <c r="B58" s="34" t="str">
        <v>Asst. Production Incharge</v>
      </c>
      <c r="C58" s="20">
        <f>COUNTIF('Row data'!$G$2:$G$606,'Demo Ans 2'!B73)</f>
        <v>2</v>
      </c>
      <c r="D58" s="31">
        <f t="shared" si="2"/>
        <v>3.3057851239669421E-3</v>
      </c>
      <c r="G58" s="63" t="str">
        <v>Assistant Finishing Man</v>
      </c>
      <c r="H58" s="63">
        <f>COUNTIFS(Row[DeptName],$G$4,Row[DesigName],G58)</f>
        <v>2</v>
      </c>
      <c r="I58" s="64">
        <f>H58/COUNTA(Row[EmpId])</f>
        <v>3.3057851239669421E-3</v>
      </c>
      <c r="K58" s="49"/>
      <c r="L58" s="2"/>
      <c r="M58" s="2"/>
      <c r="N58" s="2"/>
      <c r="O58" s="2"/>
    </row>
    <row r="59" spans="2:15" x14ac:dyDescent="0.3">
      <c r="B59" s="34" t="str">
        <v>In Charge</v>
      </c>
      <c r="C59" s="20">
        <f>COUNTIF('Row data'!$G$2:$G$606,'Demo Ans 2'!B82)</f>
        <v>2</v>
      </c>
      <c r="D59" s="31">
        <f t="shared" si="2"/>
        <v>3.3057851239669421E-3</v>
      </c>
      <c r="G59" s="63" t="str">
        <v>Assistant Winder Operator</v>
      </c>
      <c r="H59" s="63">
        <f>COUNTIFS(Row[DeptName],$G$4,Row[DesigName],G59)</f>
        <v>4</v>
      </c>
      <c r="I59" s="64">
        <f>H59/COUNTA(Row[EmpId])</f>
        <v>6.6115702479338841E-3</v>
      </c>
      <c r="K59" s="49"/>
      <c r="L59" s="2"/>
      <c r="M59" s="2"/>
      <c r="N59" s="2"/>
      <c r="O59" s="2"/>
    </row>
    <row r="60" spans="2:15" x14ac:dyDescent="0.3">
      <c r="B60" s="34" t="str">
        <v>Deputy Production Incharge</v>
      </c>
      <c r="C60" s="20">
        <f>COUNTIF('Row data'!$G$2:$G$606,'Demo Ans 2'!B89)</f>
        <v>2</v>
      </c>
      <c r="D60" s="31">
        <f t="shared" si="2"/>
        <v>3.3057851239669421E-3</v>
      </c>
      <c r="G60" s="63" t="str">
        <v xml:space="preserve">Bale Breaker Machine Operator </v>
      </c>
      <c r="H60" s="63">
        <f>COUNTIFS(Row[DeptName],$G$4,Row[DesigName],G60)</f>
        <v>3</v>
      </c>
      <c r="I60" s="64">
        <f>H60/COUNTA(Row[EmpId])</f>
        <v>4.9586776859504135E-3</v>
      </c>
      <c r="K60" s="49"/>
      <c r="L60" s="2"/>
      <c r="M60" s="2"/>
      <c r="N60" s="2"/>
      <c r="O60" s="2"/>
    </row>
    <row r="61" spans="2:15" x14ac:dyDescent="0.3">
      <c r="B61" s="34" t="str">
        <v>Senior Quality Inspector</v>
      </c>
      <c r="C61" s="20">
        <f>COUNTIF('Row data'!$G$2:$G$606,'Demo Ans 2'!B102)</f>
        <v>2</v>
      </c>
      <c r="D61" s="31">
        <f t="shared" si="2"/>
        <v>3.3057851239669421E-3</v>
      </c>
      <c r="G61" s="63" t="str">
        <v>Junior bale breaker machine operator</v>
      </c>
      <c r="H61" s="63">
        <f>COUNTIFS(Row[DeptName],$G$4,Row[DesigName],G61)</f>
        <v>1</v>
      </c>
      <c r="I61" s="64">
        <f>H61/COUNTA(Row[EmpId])</f>
        <v>1.652892561983471E-3</v>
      </c>
      <c r="K61" s="49"/>
      <c r="L61" s="2"/>
      <c r="M61" s="2"/>
      <c r="N61" s="2"/>
      <c r="O61" s="2"/>
    </row>
    <row r="62" spans="2:15" x14ac:dyDescent="0.3">
      <c r="B62" s="34" t="str">
        <v>Asst. Production Officer</v>
      </c>
      <c r="C62" s="20">
        <f>COUNTIF('Row data'!$G$2:$G$606,'Demo Ans 2'!B106)</f>
        <v>2</v>
      </c>
      <c r="D62" s="31">
        <f t="shared" si="2"/>
        <v>3.3057851239669421E-3</v>
      </c>
      <c r="G62" s="63" t="str">
        <v>Junior Resin Mix. Operator</v>
      </c>
      <c r="H62" s="63">
        <f>COUNTIFS(Row[DeptName],$G$4,Row[DesigName],G62)</f>
        <v>1</v>
      </c>
      <c r="I62" s="64">
        <f>H62/COUNTA(Row[EmpId])</f>
        <v>1.652892561983471E-3</v>
      </c>
      <c r="K62" s="49"/>
      <c r="L62" s="2"/>
      <c r="M62" s="2"/>
      <c r="N62" s="2"/>
      <c r="O62" s="2"/>
    </row>
    <row r="63" spans="2:15" x14ac:dyDescent="0.3">
      <c r="B63" s="34" t="str">
        <v>Chief Mechanic</v>
      </c>
      <c r="C63" s="20">
        <f>COUNTIF('Row data'!$G$2:$G$606,'Demo Ans 2'!B122)</f>
        <v>2</v>
      </c>
      <c r="D63" s="31">
        <f t="shared" si="2"/>
        <v>3.3057851239669421E-3</v>
      </c>
      <c r="G63" s="63" t="str">
        <v>Assistant Rolling Man</v>
      </c>
      <c r="H63" s="63">
        <f>COUNTIFS(Row[DeptName],$G$4,Row[DesigName],G63)</f>
        <v>1</v>
      </c>
      <c r="I63" s="64">
        <f>H63/COUNTA(Row[EmpId])</f>
        <v>1.652892561983471E-3</v>
      </c>
      <c r="K63" s="49"/>
      <c r="L63" s="2"/>
      <c r="M63" s="2"/>
      <c r="N63" s="2"/>
      <c r="O63" s="2"/>
    </row>
    <row r="64" spans="2:15" x14ac:dyDescent="0.3">
      <c r="B64" s="34" t="str">
        <v>Junior Security Guard</v>
      </c>
      <c r="C64" s="20">
        <f>COUNTIF('Row data'!$G$2:$G$606,'Demo Ans 2'!B8)</f>
        <v>1</v>
      </c>
      <c r="D64" s="31">
        <f t="shared" si="2"/>
        <v>1.652892561983471E-3</v>
      </c>
      <c r="G64" s="63" t="str">
        <v>Rolling Man</v>
      </c>
      <c r="H64" s="63">
        <f>COUNTIFS(Row[DeptName],$G$4,Row[DesigName],G64)</f>
        <v>3</v>
      </c>
      <c r="I64" s="64">
        <f>H64/COUNTA(Row[EmpId])</f>
        <v>4.9586776859504135E-3</v>
      </c>
      <c r="K64" s="49"/>
      <c r="L64" s="2"/>
      <c r="M64" s="2"/>
      <c r="N64" s="2"/>
      <c r="O64" s="2"/>
    </row>
    <row r="65" spans="2:15" x14ac:dyDescent="0.3">
      <c r="B65" s="34" t="str">
        <v xml:space="preserve">Security Supervisor </v>
      </c>
      <c r="C65" s="20">
        <f>COUNTIF('Row data'!$G$2:$G$606,'Demo Ans 2'!B13)</f>
        <v>1</v>
      </c>
      <c r="D65" s="31">
        <f t="shared" si="2"/>
        <v>1.652892561983471E-3</v>
      </c>
      <c r="G65" s="63" t="str">
        <v>Loader</v>
      </c>
      <c r="H65" s="63">
        <f>COUNTIFS(Row[DeptName],$G$4,Row[DesigName],G65)</f>
        <v>3</v>
      </c>
      <c r="I65" s="64">
        <f>H65/COUNTA(Row[EmpId])</f>
        <v>4.9586776859504135E-3</v>
      </c>
      <c r="K65" s="49"/>
      <c r="L65" s="2"/>
      <c r="M65" s="2"/>
      <c r="N65" s="2"/>
      <c r="O65" s="2"/>
    </row>
    <row r="66" spans="2:15" x14ac:dyDescent="0.3">
      <c r="B66" s="34" t="str">
        <v>Assistant delivery man</v>
      </c>
      <c r="C66" s="20">
        <f>COUNTIF('Row data'!$G$2:$G$606,'Demo Ans 2'!B14)</f>
        <v>1</v>
      </c>
      <c r="D66" s="31">
        <f t="shared" si="2"/>
        <v>1.652892561983471E-3</v>
      </c>
      <c r="G66" s="63" t="str">
        <v>Asst. Quilting Machine Operator</v>
      </c>
      <c r="H66" s="63">
        <f>COUNTIFS(Row[DeptName],$G$4,Row[DesigName],G66)</f>
        <v>1</v>
      </c>
      <c r="I66" s="64">
        <f>H66/COUNTA(Row[EmpId])</f>
        <v>1.652892561983471E-3</v>
      </c>
      <c r="K66" s="49"/>
      <c r="L66" s="2"/>
      <c r="M66" s="2"/>
      <c r="N66" s="2"/>
      <c r="O66" s="2"/>
    </row>
    <row r="67" spans="2:15" x14ac:dyDescent="0.3">
      <c r="B67" s="34" t="str">
        <v>Sample Machinist</v>
      </c>
      <c r="C67" s="20">
        <f>COUNTIF('Row data'!$G$2:$G$606,'Demo Ans 2'!B18)</f>
        <v>1</v>
      </c>
      <c r="D67" s="31">
        <f t="shared" si="2"/>
        <v>1.652892561983471E-3</v>
      </c>
      <c r="G67" s="63" t="str">
        <v>Quilting Machine Operator</v>
      </c>
      <c r="H67" s="63">
        <f>COUNTIFS(Row[DeptName],$G$4,Row[DesigName],G67)</f>
        <v>3</v>
      </c>
      <c r="I67" s="64">
        <f>H67/COUNTA(Row[EmpId])</f>
        <v>4.9586776859504135E-3</v>
      </c>
      <c r="K67" s="49"/>
      <c r="L67" s="2"/>
      <c r="M67" s="2"/>
      <c r="N67" s="2"/>
      <c r="O67" s="2"/>
    </row>
    <row r="68" spans="2:15" x14ac:dyDescent="0.3">
      <c r="B68" s="34" t="str">
        <v>Peon</v>
      </c>
      <c r="C68" s="20">
        <f>COUNTIF('Row data'!$G$2:$G$606,'Demo Ans 2'!B19)</f>
        <v>1</v>
      </c>
      <c r="D68" s="31">
        <f t="shared" si="2"/>
        <v>1.652892561983471E-3</v>
      </c>
      <c r="G68" s="63" t="str">
        <v>General Quality</v>
      </c>
      <c r="H68" s="63">
        <f>COUNTIFS(Row[DeptName],$G$4,Row[DesigName],G68)</f>
        <v>1</v>
      </c>
      <c r="I68" s="64">
        <f>H68/COUNTA(Row[EmpId])</f>
        <v>1.652892561983471E-3</v>
      </c>
      <c r="K68" s="49"/>
      <c r="L68" s="2"/>
      <c r="M68" s="2"/>
      <c r="N68" s="2"/>
      <c r="O68" s="2"/>
    </row>
    <row r="69" spans="2:15" x14ac:dyDescent="0.3">
      <c r="B69" s="34" t="str">
        <v>Asst. Driver</v>
      </c>
      <c r="C69" s="20">
        <f>COUNTIF('Row data'!$G$2:$G$606,'Demo Ans 2'!B21)</f>
        <v>1</v>
      </c>
      <c r="D69" s="31">
        <f t="shared" ref="D69:D100" si="3">C69/SUM($C$5:$C$125)</f>
        <v>1.652892561983471E-3</v>
      </c>
      <c r="G69" s="63" t="str">
        <v>Junior Winder Operator</v>
      </c>
      <c r="H69" s="63">
        <f>COUNTIFS(Row[DeptName],$G$4,Row[DesigName],G69)</f>
        <v>1</v>
      </c>
      <c r="I69" s="64">
        <f>H69/COUNTA(Row[EmpId])</f>
        <v>1.652892561983471E-3</v>
      </c>
      <c r="K69" s="49"/>
      <c r="L69" s="2"/>
      <c r="M69" s="2"/>
      <c r="N69" s="2"/>
      <c r="O69" s="2"/>
    </row>
    <row r="70" spans="2:15" x14ac:dyDescent="0.3">
      <c r="B70" s="34" t="str">
        <v>Delivery Executive (VAT)</v>
      </c>
      <c r="C70" s="20">
        <f>COUNTIF('Row data'!$G$2:$G$606,'Demo Ans 2'!B24)</f>
        <v>1</v>
      </c>
      <c r="D70" s="31">
        <f t="shared" si="3"/>
        <v>1.652892561983471E-3</v>
      </c>
      <c r="G70" s="63" t="str">
        <v>Resin Mix Machine Operator</v>
      </c>
      <c r="H70" s="63">
        <f>COUNTIFS(Row[DeptName],$G$4,Row[DesigName],G70)</f>
        <v>1</v>
      </c>
      <c r="I70" s="64">
        <f>H70/COUNTA(Row[EmpId])</f>
        <v>1.652892561983471E-3</v>
      </c>
      <c r="K70" s="49"/>
      <c r="L70" s="2"/>
      <c r="M70" s="2"/>
      <c r="N70" s="2"/>
      <c r="O70" s="2"/>
    </row>
    <row r="71" spans="2:15" x14ac:dyDescent="0.3">
      <c r="B71" s="34" t="str">
        <v>Asst. Production Coordinator</v>
      </c>
      <c r="C71" s="20">
        <f>COUNTIF('Row data'!$G$2:$G$606,'Demo Ans 2'!B26)</f>
        <v>1</v>
      </c>
      <c r="D71" s="31">
        <f t="shared" si="3"/>
        <v>1.652892561983471E-3</v>
      </c>
      <c r="G71" s="63" t="str">
        <v>Assistant Carding Machine Operator</v>
      </c>
      <c r="H71" s="63">
        <f>COUNTIFS(Row[DeptName],$G$4,Row[DesigName],G71)</f>
        <v>1</v>
      </c>
      <c r="I71" s="64">
        <f>H71/COUNTA(Row[EmpId])</f>
        <v>1.652892561983471E-3</v>
      </c>
      <c r="K71" s="49"/>
      <c r="L71" s="2"/>
      <c r="M71" s="2"/>
      <c r="N71" s="2"/>
      <c r="O71" s="2"/>
    </row>
    <row r="72" spans="2:15" x14ac:dyDescent="0.3">
      <c r="B72" s="34" t="str">
        <v>Senior Padding Machine Operator</v>
      </c>
      <c r="C72" s="20">
        <f>COUNTIF('Row data'!$G$2:$G$606,'Demo Ans 2'!B37)</f>
        <v>1</v>
      </c>
      <c r="D72" s="31">
        <f t="shared" si="3"/>
        <v>1.652892561983471E-3</v>
      </c>
      <c r="G72" s="63" t="str">
        <v>General Bale Breaker Machine Operator</v>
      </c>
      <c r="H72" s="63">
        <f>COUNTIFS(Row[DeptName],$G$4,Row[DesigName],G72)</f>
        <v>1</v>
      </c>
      <c r="I72" s="64">
        <f>H72/COUNTA(Row[EmpId])</f>
        <v>1.652892561983471E-3</v>
      </c>
      <c r="K72" s="49"/>
      <c r="L72" s="2"/>
      <c r="M72" s="2"/>
      <c r="N72" s="2"/>
      <c r="O72" s="2"/>
    </row>
    <row r="73" spans="2:15" x14ac:dyDescent="0.3">
      <c r="B73" s="34" t="str">
        <v>Winder Machine Operator</v>
      </c>
      <c r="C73" s="20">
        <f>COUNTIF('Row data'!$G$2:$G$606,'Demo Ans 2'!B38)</f>
        <v>1</v>
      </c>
      <c r="D73" s="31">
        <f t="shared" si="3"/>
        <v>1.652892561983471E-3</v>
      </c>
      <c r="G73" s="63" t="str">
        <v>Assistant Rolling-man</v>
      </c>
      <c r="H73" s="63">
        <f>COUNTIFS(Row[DeptName],$G$4,Row[DesigName],G73)</f>
        <v>2</v>
      </c>
      <c r="I73" s="64">
        <f>H73/COUNTA(Row[EmpId])</f>
        <v>3.3057851239669421E-3</v>
      </c>
      <c r="K73" s="49"/>
      <c r="L73" s="2"/>
      <c r="M73" s="2"/>
      <c r="N73" s="2"/>
      <c r="O73" s="2"/>
    </row>
    <row r="74" spans="2:15" x14ac:dyDescent="0.3">
      <c r="B74" s="34" t="str">
        <v>Mechanic Helper</v>
      </c>
      <c r="C74" s="20">
        <f>COUNTIF('Row data'!$G$2:$G$606,'Demo Ans 2'!B39)</f>
        <v>1</v>
      </c>
      <c r="D74" s="31">
        <f t="shared" si="3"/>
        <v>1.652892561983471E-3</v>
      </c>
      <c r="G74" s="63" t="str">
        <v>Bottle Cutting Man</v>
      </c>
      <c r="H74" s="63">
        <f>COUNTIFS(Row[DeptName],$G$4,Row[DesigName],G74)</f>
        <v>4</v>
      </c>
      <c r="I74" s="64">
        <f>H74/COUNTA(Row[EmpId])</f>
        <v>6.6115702479338841E-3</v>
      </c>
      <c r="K74" s="49"/>
      <c r="L74" s="2"/>
      <c r="M74" s="2"/>
      <c r="N74" s="2"/>
      <c r="O74" s="2"/>
    </row>
    <row r="75" spans="2:15" x14ac:dyDescent="0.3">
      <c r="B75" s="34" t="str">
        <v>Asst. Executive (Sales &amp; Marketing)</v>
      </c>
      <c r="C75" s="20">
        <f>COUNTIF('Row data'!$G$2:$G$606,'Demo Ans 2'!B41)</f>
        <v>1</v>
      </c>
      <c r="D75" s="31">
        <f t="shared" si="3"/>
        <v>1.652892561983471E-3</v>
      </c>
      <c r="G75" s="63" t="str">
        <v>Wash machine operator</v>
      </c>
      <c r="H75" s="63">
        <f>COUNTIFS(Row[DeptName],$G$4,Row[DesigName],G75)</f>
        <v>1</v>
      </c>
      <c r="I75" s="64">
        <f>H75/COUNTA(Row[EmpId])</f>
        <v>1.652892561983471E-3</v>
      </c>
      <c r="K75" s="49"/>
      <c r="L75" s="2"/>
      <c r="M75" s="2"/>
      <c r="N75" s="2"/>
      <c r="O75" s="2"/>
    </row>
    <row r="76" spans="2:15" x14ac:dyDescent="0.3">
      <c r="B76" s="34" t="str">
        <v>Asst. Service Engineer Generator</v>
      </c>
      <c r="C76" s="20">
        <f>COUNTIF('Row data'!$G$2:$G$606,'Demo Ans 2'!B44)</f>
        <v>1</v>
      </c>
      <c r="D76" s="31">
        <f t="shared" si="3"/>
        <v>1.652892561983471E-3</v>
      </c>
      <c r="G76" s="63" t="str">
        <v>Asst. Drayer machine operator</v>
      </c>
      <c r="H76" s="63">
        <f>COUNTIFS(Row[DeptName],$G$4,Row[DesigName],G76)</f>
        <v>1</v>
      </c>
      <c r="I76" s="64">
        <f>H76/COUNTA(Row[EmpId])</f>
        <v>1.652892561983471E-3</v>
      </c>
    </row>
    <row r="77" spans="2:15" x14ac:dyDescent="0.3">
      <c r="B77" s="34" t="str">
        <v>Fitterman</v>
      </c>
      <c r="C77" s="20">
        <f>COUNTIF('Row data'!$G$2:$G$606,'Demo Ans 2'!B45)</f>
        <v>1</v>
      </c>
      <c r="D77" s="31">
        <f t="shared" si="3"/>
        <v>1.652892561983471E-3</v>
      </c>
      <c r="H77" s="22"/>
      <c r="I77" s="2"/>
    </row>
    <row r="78" spans="2:15" x14ac:dyDescent="0.3">
      <c r="B78" s="34" t="str">
        <v>Assistant Fitter Man</v>
      </c>
      <c r="C78" s="20">
        <f>COUNTIF('Row data'!$G$2:$G$606,'Demo Ans 2'!B46)</f>
        <v>1</v>
      </c>
      <c r="D78" s="31">
        <f t="shared" si="3"/>
        <v>1.652892561983471E-3</v>
      </c>
      <c r="H78" s="22"/>
      <c r="I78" s="2"/>
    </row>
    <row r="79" spans="2:15" x14ac:dyDescent="0.3">
      <c r="B79" s="34" t="str">
        <v>Leath Man</v>
      </c>
      <c r="C79" s="20">
        <f>COUNTIF('Row data'!$G$2:$G$606,'Demo Ans 2'!B47)</f>
        <v>1</v>
      </c>
      <c r="D79" s="31">
        <f t="shared" si="3"/>
        <v>1.652892561983471E-3</v>
      </c>
      <c r="H79" s="22"/>
      <c r="I79" s="2"/>
    </row>
    <row r="80" spans="2:15" x14ac:dyDescent="0.3">
      <c r="B80" s="34" t="str">
        <v>Executive Procurement</v>
      </c>
      <c r="C80" s="20">
        <f>COUNTIF('Row data'!$G$2:$G$606,'Demo Ans 2'!B48)</f>
        <v>1</v>
      </c>
      <c r="D80" s="31">
        <f t="shared" si="3"/>
        <v>1.652892561983471E-3</v>
      </c>
      <c r="H80" s="22"/>
      <c r="I80" s="2"/>
    </row>
    <row r="81" spans="2:9" x14ac:dyDescent="0.3">
      <c r="B81" s="34" t="str">
        <v>Asst. Supervisor</v>
      </c>
      <c r="C81" s="20">
        <f>COUNTIF('Row data'!$G$2:$G$606,'Demo Ans 2'!B50)</f>
        <v>1</v>
      </c>
      <c r="D81" s="31">
        <f t="shared" si="3"/>
        <v>1.652892561983471E-3</v>
      </c>
      <c r="H81" s="22"/>
      <c r="I81" s="2"/>
    </row>
    <row r="82" spans="2:9" x14ac:dyDescent="0.3">
      <c r="B82" s="34" t="str">
        <v>Assistant Scale Operator</v>
      </c>
      <c r="C82" s="20">
        <f>COUNTIF('Row data'!$G$2:$G$606,'Demo Ans 2'!B51)</f>
        <v>1</v>
      </c>
      <c r="D82" s="31">
        <f t="shared" si="3"/>
        <v>1.652892561983471E-3</v>
      </c>
      <c r="H82" s="22"/>
      <c r="I82" s="2"/>
    </row>
    <row r="83" spans="2:9" x14ac:dyDescent="0.3">
      <c r="B83" s="34" t="str">
        <v>Cleaner</v>
      </c>
      <c r="C83" s="20">
        <f>COUNTIF('Row data'!$G$2:$G$606,'Demo Ans 2'!B52)</f>
        <v>1</v>
      </c>
      <c r="D83" s="31">
        <f t="shared" si="3"/>
        <v>1.652892561983471E-3</v>
      </c>
      <c r="H83" s="22"/>
      <c r="I83" s="2"/>
    </row>
    <row r="84" spans="2:9" x14ac:dyDescent="0.3">
      <c r="B84" s="34" t="str">
        <v xml:space="preserve">Sweeper </v>
      </c>
      <c r="C84" s="20">
        <f>COUNTIF('Row data'!$G$2:$G$606,'Demo Ans 2'!B54)</f>
        <v>1</v>
      </c>
      <c r="D84" s="31">
        <f t="shared" si="3"/>
        <v>1.652892561983471E-3</v>
      </c>
      <c r="H84" s="22"/>
      <c r="I84" s="2"/>
    </row>
    <row r="85" spans="2:9" x14ac:dyDescent="0.3">
      <c r="B85" s="34" t="str">
        <v>Assistant Bale Breaker Machine Operator</v>
      </c>
      <c r="C85" s="20">
        <f>COUNTIF('Row data'!$G$2:$G$606,'Demo Ans 2'!B57)</f>
        <v>1</v>
      </c>
      <c r="D85" s="31">
        <f t="shared" si="3"/>
        <v>1.652892561983471E-3</v>
      </c>
      <c r="H85" s="22"/>
      <c r="I85" s="2"/>
    </row>
    <row r="86" spans="2:9" x14ac:dyDescent="0.3">
      <c r="B86" s="34" t="str">
        <v>Assistant Winder Machine Operator</v>
      </c>
      <c r="C86" s="20">
        <f>COUNTIF('Row data'!$G$2:$G$606,'Demo Ans 2'!B58)</f>
        <v>1</v>
      </c>
      <c r="D86" s="31">
        <f t="shared" si="3"/>
        <v>1.652892561983471E-3</v>
      </c>
      <c r="H86" s="22"/>
      <c r="I86" s="2"/>
    </row>
    <row r="87" spans="2:9" x14ac:dyDescent="0.3">
      <c r="B87" s="34" t="str">
        <v>General  Winder Machine Operator</v>
      </c>
      <c r="C87" s="20">
        <f>COUNTIF('Row data'!$G$2:$G$606,'Demo Ans 2'!B60)</f>
        <v>1</v>
      </c>
      <c r="D87" s="31">
        <f t="shared" si="3"/>
        <v>1.652892561983471E-3</v>
      </c>
      <c r="H87" s="22"/>
      <c r="I87" s="2"/>
    </row>
    <row r="88" spans="2:9" x14ac:dyDescent="0.3">
      <c r="B88" s="34" t="str">
        <v>General  Bale Breaker Machine Operator</v>
      </c>
      <c r="C88" s="20">
        <f>COUNTIF('Row data'!$G$2:$G$606,'Demo Ans 2'!B62)</f>
        <v>1</v>
      </c>
      <c r="D88" s="31">
        <f t="shared" si="3"/>
        <v>1.652892561983471E-3</v>
      </c>
      <c r="H88" s="22"/>
      <c r="I88" s="2"/>
    </row>
    <row r="89" spans="2:9" x14ac:dyDescent="0.3">
      <c r="B89" s="34" t="str">
        <v>Cutter Man</v>
      </c>
      <c r="C89" s="20">
        <f>COUNTIF('Row data'!$G$2:$G$606,'Demo Ans 2'!B63)</f>
        <v>1</v>
      </c>
      <c r="D89" s="31">
        <f t="shared" si="3"/>
        <v>1.652892561983471E-3</v>
      </c>
      <c r="H89" s="22"/>
      <c r="I89" s="2"/>
    </row>
    <row r="90" spans="2:9" x14ac:dyDescent="0.3">
      <c r="B90" s="34" t="str">
        <v>Asst. Lay Women</v>
      </c>
      <c r="C90" s="20">
        <f>COUNTIF('Row data'!$G$2:$G$606,'Demo Ans 2'!B65)</f>
        <v>1</v>
      </c>
      <c r="D90" s="31">
        <f t="shared" si="3"/>
        <v>1.652892561983471E-3</v>
      </c>
      <c r="H90" s="22"/>
      <c r="I90" s="2"/>
    </row>
    <row r="91" spans="2:9" x14ac:dyDescent="0.3">
      <c r="B91" s="34" t="str">
        <v>Junior Crush Machine Operator</v>
      </c>
      <c r="C91" s="20">
        <f>COUNTIF('Row data'!$G$2:$G$606,'Demo Ans 2'!B67)</f>
        <v>1</v>
      </c>
      <c r="D91" s="31">
        <f t="shared" si="3"/>
        <v>1.652892561983471E-3</v>
      </c>
      <c r="H91" s="22"/>
      <c r="I91" s="2"/>
    </row>
    <row r="92" spans="2:9" x14ac:dyDescent="0.3">
      <c r="B92" s="34" t="str">
        <v>Assistant Sewing Machine Operator</v>
      </c>
      <c r="C92" s="20">
        <f>COUNTIF('Row data'!$G$2:$G$606,'Demo Ans 2'!B70)</f>
        <v>1</v>
      </c>
      <c r="D92" s="31">
        <f t="shared" si="3"/>
        <v>1.652892561983471E-3</v>
      </c>
      <c r="H92" s="22"/>
      <c r="I92" s="2"/>
    </row>
    <row r="93" spans="2:9" x14ac:dyDescent="0.3">
      <c r="B93" s="34" t="str">
        <v>Sewing Machine Operator</v>
      </c>
      <c r="C93" s="20">
        <f>COUNTIF('Row data'!$G$2:$G$606,'Demo Ans 2'!B71)</f>
        <v>1</v>
      </c>
      <c r="D93" s="31">
        <f t="shared" si="3"/>
        <v>1.652892561983471E-3</v>
      </c>
      <c r="H93" s="22"/>
      <c r="I93" s="2"/>
    </row>
    <row r="94" spans="2:9" x14ac:dyDescent="0.3">
      <c r="B94" s="34" t="str">
        <v>Asst. Cutter Man</v>
      </c>
      <c r="C94" s="20">
        <f>COUNTIF('Row data'!$G$2:$G$606,'Demo Ans 2'!B72)</f>
        <v>1</v>
      </c>
      <c r="D94" s="31">
        <f t="shared" si="3"/>
        <v>1.652892561983471E-3</v>
      </c>
      <c r="H94" s="22"/>
      <c r="I94" s="2"/>
    </row>
    <row r="95" spans="2:9" x14ac:dyDescent="0.3">
      <c r="B95" s="34" t="str">
        <v>Embroidery Machine Operator</v>
      </c>
      <c r="C95" s="20">
        <f>COUNTIF('Row data'!$G$2:$G$606,'Demo Ans 2'!B74)</f>
        <v>1</v>
      </c>
      <c r="D95" s="31">
        <f t="shared" si="3"/>
        <v>1.652892561983471E-3</v>
      </c>
      <c r="H95" s="22"/>
      <c r="I95" s="2"/>
    </row>
    <row r="96" spans="2:9" x14ac:dyDescent="0.3">
      <c r="B96" s="34" t="str">
        <v>Sample Man</v>
      </c>
      <c r="C96" s="20">
        <f>COUNTIF('Row data'!$G$2:$G$606,'Demo Ans 2'!B75)</f>
        <v>1</v>
      </c>
      <c r="D96" s="31">
        <f t="shared" si="3"/>
        <v>1.652892561983471E-3</v>
      </c>
      <c r="H96" s="22"/>
      <c r="I96" s="2"/>
    </row>
    <row r="97" spans="2:9" x14ac:dyDescent="0.3">
      <c r="B97" s="34" t="str">
        <v>Junior Operator</v>
      </c>
      <c r="C97" s="20">
        <f>COUNTIF('Row data'!$G$2:$G$606,'Demo Ans 2'!B76)</f>
        <v>1</v>
      </c>
      <c r="D97" s="31">
        <f t="shared" si="3"/>
        <v>1.652892561983471E-3</v>
      </c>
      <c r="H97" s="22"/>
      <c r="I97" s="2"/>
    </row>
    <row r="98" spans="2:9" x14ac:dyDescent="0.3">
      <c r="B98" s="34" t="str">
        <v>Junior Sewing Machine Operator</v>
      </c>
      <c r="C98" s="20">
        <f>COUNTIF('Row data'!$G$2:$G$606,'Demo Ans 2'!B77)</f>
        <v>1</v>
      </c>
      <c r="D98" s="31">
        <f t="shared" si="3"/>
        <v>1.652892561983471E-3</v>
      </c>
      <c r="H98" s="22"/>
      <c r="I98" s="2"/>
    </row>
    <row r="99" spans="2:9" x14ac:dyDescent="0.3">
      <c r="B99" s="34" t="str">
        <v>Lay Women</v>
      </c>
      <c r="C99" s="20">
        <f>COUNTIF('Row data'!$G$2:$G$606,'Demo Ans 2'!B79)</f>
        <v>1</v>
      </c>
      <c r="D99" s="31">
        <f t="shared" si="3"/>
        <v>1.652892561983471E-3</v>
      </c>
      <c r="H99" s="22"/>
      <c r="I99" s="2"/>
    </row>
    <row r="100" spans="2:9" x14ac:dyDescent="0.3">
      <c r="B100" s="34" t="str">
        <v>Armechar Assistant</v>
      </c>
      <c r="C100" s="20">
        <f>COUNTIF('Row data'!$G$2:$G$606,'Demo Ans 2'!B80)</f>
        <v>1</v>
      </c>
      <c r="D100" s="31">
        <f t="shared" si="3"/>
        <v>1.652892561983471E-3</v>
      </c>
      <c r="H100" s="22"/>
      <c r="I100" s="2"/>
    </row>
    <row r="101" spans="2:9" x14ac:dyDescent="0.3">
      <c r="B101" s="34" t="str">
        <v>Sweeper</v>
      </c>
      <c r="C101" s="20">
        <f>COUNTIF('Row data'!$G$2:$G$606,'Demo Ans 2'!B81)</f>
        <v>1</v>
      </c>
      <c r="D101" s="31">
        <f t="shared" ref="D101:D125" si="4">C101/SUM($C$5:$C$125)</f>
        <v>1.652892561983471E-3</v>
      </c>
      <c r="H101" s="22"/>
      <c r="I101" s="2"/>
    </row>
    <row r="102" spans="2:9" x14ac:dyDescent="0.3">
      <c r="B102" s="34" t="str">
        <v>Assistant Cutter</v>
      </c>
      <c r="C102" s="20">
        <f>COUNTIF('Row data'!$G$2:$G$606,'Demo Ans 2'!B84)</f>
        <v>1</v>
      </c>
      <c r="D102" s="31">
        <f t="shared" si="4"/>
        <v>1.652892561983471E-3</v>
      </c>
      <c r="H102" s="22"/>
      <c r="I102" s="2"/>
    </row>
    <row r="103" spans="2:9" x14ac:dyDescent="0.3">
      <c r="B103" s="34" t="str">
        <v>Junior Cutter</v>
      </c>
      <c r="C103" s="20">
        <f>COUNTIF('Row data'!$G$2:$G$606,'Demo Ans 2'!B87)</f>
        <v>1</v>
      </c>
      <c r="D103" s="31">
        <f t="shared" si="4"/>
        <v>1.652892561983471E-3</v>
      </c>
      <c r="H103" s="22"/>
      <c r="I103" s="2"/>
    </row>
    <row r="104" spans="2:9" x14ac:dyDescent="0.3">
      <c r="B104" s="34" t="str">
        <v>Assistant Bundle Man</v>
      </c>
      <c r="C104" s="20">
        <f>COUNTIF('Row data'!$G$2:$G$606,'Demo Ans 2'!B88)</f>
        <v>1</v>
      </c>
      <c r="D104" s="31">
        <f t="shared" si="4"/>
        <v>1.652892561983471E-3</v>
      </c>
      <c r="H104" s="22"/>
      <c r="I104" s="2"/>
    </row>
    <row r="105" spans="2:9" x14ac:dyDescent="0.3">
      <c r="B105" s="34" t="str">
        <v>Packing Man</v>
      </c>
      <c r="C105" s="20">
        <f>COUNTIF('Row data'!$G$2:$G$606,'Demo Ans 2'!B91)</f>
        <v>1</v>
      </c>
      <c r="D105" s="31">
        <f t="shared" si="4"/>
        <v>1.652892561983471E-3</v>
      </c>
      <c r="H105" s="22"/>
      <c r="I105" s="2"/>
    </row>
    <row r="106" spans="2:9" x14ac:dyDescent="0.3">
      <c r="B106" s="34" t="str">
        <v>Assistant Finishing Man</v>
      </c>
      <c r="C106" s="20">
        <f>COUNTIF('Row data'!$G$2:$G$606,'Demo Ans 2'!B94)</f>
        <v>1</v>
      </c>
      <c r="D106" s="31">
        <f t="shared" si="4"/>
        <v>1.652892561983471E-3</v>
      </c>
      <c r="H106" s="22"/>
      <c r="I106" s="2"/>
    </row>
    <row r="107" spans="2:9" x14ac:dyDescent="0.3">
      <c r="B107" s="34" t="str">
        <v>Assistant Winder Operator</v>
      </c>
      <c r="C107" s="20">
        <f>COUNTIF('Row data'!$G$2:$G$606,'Demo Ans 2'!B95)</f>
        <v>1</v>
      </c>
      <c r="D107" s="31">
        <f t="shared" si="4"/>
        <v>1.652892561983471E-3</v>
      </c>
      <c r="H107" s="22"/>
      <c r="I107" s="2"/>
    </row>
    <row r="108" spans="2:9" x14ac:dyDescent="0.3">
      <c r="B108" s="34" t="str">
        <v xml:space="preserve">Bale Breaker Machine Operator </v>
      </c>
      <c r="C108" s="20">
        <f>COUNTIF('Row data'!$G$2:$G$606,'Demo Ans 2'!B96)</f>
        <v>1</v>
      </c>
      <c r="D108" s="31">
        <f t="shared" si="4"/>
        <v>1.652892561983471E-3</v>
      </c>
      <c r="H108" s="22"/>
      <c r="I108" s="2"/>
    </row>
    <row r="109" spans="2:9" x14ac:dyDescent="0.3">
      <c r="B109" s="34" t="str">
        <v>Junior bale breaker machine operator</v>
      </c>
      <c r="C109" s="20">
        <f>COUNTIF('Row data'!$G$2:$G$606,'Demo Ans 2'!B98)</f>
        <v>1</v>
      </c>
      <c r="D109" s="31">
        <f t="shared" si="4"/>
        <v>1.652892561983471E-3</v>
      </c>
      <c r="H109" s="22"/>
      <c r="I109" s="2"/>
    </row>
    <row r="110" spans="2:9" x14ac:dyDescent="0.3">
      <c r="B110" s="34" t="str">
        <v>Junior Resin Mix. Operator</v>
      </c>
      <c r="C110" s="20">
        <f>COUNTIF('Row data'!$G$2:$G$606,'Demo Ans 2'!B99)</f>
        <v>1</v>
      </c>
      <c r="D110" s="31">
        <f t="shared" si="4"/>
        <v>1.652892561983471E-3</v>
      </c>
      <c r="H110" s="22"/>
      <c r="I110" s="2"/>
    </row>
    <row r="111" spans="2:9" x14ac:dyDescent="0.3">
      <c r="B111" s="34" t="str">
        <v>Assistant Rolling Man</v>
      </c>
      <c r="C111" s="20">
        <f>COUNTIF('Row data'!$G$2:$G$606,'Demo Ans 2'!B100)</f>
        <v>1</v>
      </c>
      <c r="D111" s="31">
        <f t="shared" si="4"/>
        <v>1.652892561983471E-3</v>
      </c>
      <c r="H111" s="22"/>
      <c r="I111" s="2"/>
    </row>
    <row r="112" spans="2:9" x14ac:dyDescent="0.3">
      <c r="B112" s="34" t="str">
        <v>Rolling Man</v>
      </c>
      <c r="C112" s="20">
        <f>COUNTIF('Row data'!$G$2:$G$606,'Demo Ans 2'!B103)</f>
        <v>1</v>
      </c>
      <c r="D112" s="31">
        <f t="shared" si="4"/>
        <v>1.652892561983471E-3</v>
      </c>
      <c r="H112" s="22"/>
      <c r="I112" s="2"/>
    </row>
    <row r="113" spans="2:9" x14ac:dyDescent="0.3">
      <c r="B113" s="34" t="str">
        <v>Asst. Quilting Machine Operator</v>
      </c>
      <c r="C113" s="20">
        <f>COUNTIF('Row data'!$G$2:$G$606,'Demo Ans 2'!B109)</f>
        <v>1</v>
      </c>
      <c r="D113" s="31">
        <f t="shared" si="4"/>
        <v>1.652892561983471E-3</v>
      </c>
      <c r="H113" s="22"/>
      <c r="I113" s="2"/>
    </row>
    <row r="114" spans="2:9" x14ac:dyDescent="0.3">
      <c r="B114" s="34" t="str">
        <v>Quilting Machine Operator</v>
      </c>
      <c r="C114" s="20">
        <f>COUNTIF('Row data'!$G$2:$G$606,'Demo Ans 2'!B110)</f>
        <v>1</v>
      </c>
      <c r="D114" s="31">
        <f t="shared" si="4"/>
        <v>1.652892561983471E-3</v>
      </c>
      <c r="H114" s="22"/>
      <c r="I114" s="2"/>
    </row>
    <row r="115" spans="2:9" x14ac:dyDescent="0.3">
      <c r="B115" s="34" t="str">
        <v>Gardener</v>
      </c>
      <c r="C115" s="20">
        <f>COUNTIF('Row data'!$G$2:$G$606,'Demo Ans 2'!B111)</f>
        <v>1</v>
      </c>
      <c r="D115" s="31">
        <f t="shared" si="4"/>
        <v>1.652892561983471E-3</v>
      </c>
      <c r="H115" s="22"/>
      <c r="I115" s="2"/>
    </row>
    <row r="116" spans="2:9" x14ac:dyDescent="0.3">
      <c r="B116" s="34" t="str">
        <v>Auto Driver</v>
      </c>
      <c r="C116" s="20">
        <f>COUNTIF('Row data'!$G$2:$G$606,'Demo Ans 2'!B113)</f>
        <v>1</v>
      </c>
      <c r="D116" s="31">
        <f t="shared" si="4"/>
        <v>1.652892561983471E-3</v>
      </c>
      <c r="H116" s="22"/>
      <c r="I116" s="2"/>
    </row>
    <row r="117" spans="2:9" x14ac:dyDescent="0.3">
      <c r="B117" s="34" t="str">
        <v>General Quality</v>
      </c>
      <c r="C117" s="20">
        <f>COUNTIF('Row data'!$G$2:$G$606,'Demo Ans 2'!B115)</f>
        <v>1</v>
      </c>
      <c r="D117" s="31">
        <f t="shared" si="4"/>
        <v>1.652892561983471E-3</v>
      </c>
      <c r="H117" s="22"/>
      <c r="I117" s="2"/>
    </row>
    <row r="118" spans="2:9" x14ac:dyDescent="0.3">
      <c r="B118" s="34" t="str">
        <v>Junior Winder Operator</v>
      </c>
      <c r="C118" s="20">
        <f>COUNTIF('Row data'!$G$2:$G$606,'Demo Ans 2'!B116)</f>
        <v>1</v>
      </c>
      <c r="D118" s="31">
        <f t="shared" si="4"/>
        <v>1.652892561983471E-3</v>
      </c>
      <c r="H118" s="22"/>
      <c r="I118" s="2"/>
    </row>
    <row r="119" spans="2:9" x14ac:dyDescent="0.3">
      <c r="B119" s="34" t="str">
        <v>Resin Mix Machine Operator</v>
      </c>
      <c r="C119" s="20">
        <f>COUNTIF('Row data'!$G$2:$G$606,'Demo Ans 2'!B117)</f>
        <v>1</v>
      </c>
      <c r="D119" s="31">
        <f t="shared" si="4"/>
        <v>1.652892561983471E-3</v>
      </c>
      <c r="H119" s="22"/>
      <c r="I119" s="2"/>
    </row>
    <row r="120" spans="2:9" x14ac:dyDescent="0.3">
      <c r="B120" s="34" t="str">
        <v>Assistant Carding Machine Operator</v>
      </c>
      <c r="C120" s="20">
        <f>COUNTIF('Row data'!$G$2:$G$606,'Demo Ans 2'!B118)</f>
        <v>1</v>
      </c>
      <c r="D120" s="31">
        <f t="shared" si="4"/>
        <v>1.652892561983471E-3</v>
      </c>
      <c r="H120" s="22"/>
      <c r="I120" s="2"/>
    </row>
    <row r="121" spans="2:9" x14ac:dyDescent="0.3">
      <c r="B121" s="34" t="str">
        <v>General Bale Breaker Machine Operator</v>
      </c>
      <c r="C121" s="20">
        <f>COUNTIF('Row data'!$G$2:$G$606,'Demo Ans 2'!B119)</f>
        <v>1</v>
      </c>
      <c r="D121" s="31">
        <f t="shared" si="4"/>
        <v>1.652892561983471E-3</v>
      </c>
      <c r="H121" s="22"/>
      <c r="I121" s="2"/>
    </row>
    <row r="122" spans="2:9" x14ac:dyDescent="0.3">
      <c r="B122" s="34" t="str">
        <v>Assistant Rolling-man</v>
      </c>
      <c r="C122" s="20">
        <f>COUNTIF('Row data'!$G$2:$G$606,'Demo Ans 2'!B120)</f>
        <v>1</v>
      </c>
      <c r="D122" s="31">
        <f t="shared" si="4"/>
        <v>1.652892561983471E-3</v>
      </c>
      <c r="H122" s="22"/>
      <c r="I122" s="2"/>
    </row>
    <row r="123" spans="2:9" x14ac:dyDescent="0.3">
      <c r="B123" s="34" t="str">
        <v>Bottle Cutting Man</v>
      </c>
      <c r="C123" s="20">
        <f>COUNTIF('Row data'!$G$2:$G$606,'Demo Ans 2'!B121)</f>
        <v>1</v>
      </c>
      <c r="D123" s="31">
        <f t="shared" si="4"/>
        <v>1.652892561983471E-3</v>
      </c>
      <c r="H123" s="22"/>
      <c r="I123" s="2"/>
    </row>
    <row r="124" spans="2:9" x14ac:dyDescent="0.3">
      <c r="B124" s="34" t="str">
        <v>Wash machine operator</v>
      </c>
      <c r="C124" s="20">
        <f>COUNTIF('Row data'!$G$2:$G$606,'Demo Ans 2'!B124)</f>
        <v>1</v>
      </c>
      <c r="D124" s="31">
        <f t="shared" si="4"/>
        <v>1.652892561983471E-3</v>
      </c>
      <c r="H124" s="22"/>
      <c r="I124" s="2"/>
    </row>
    <row r="125" spans="2:9" x14ac:dyDescent="0.3">
      <c r="B125" s="34" t="str">
        <v>Asst. Drayer machine operator</v>
      </c>
      <c r="C125" s="20">
        <f>COUNTIF('Row data'!$G$2:$G$606,'Demo Ans 2'!B125)</f>
        <v>1</v>
      </c>
      <c r="D125" s="31">
        <f t="shared" si="4"/>
        <v>1.652892561983471E-3</v>
      </c>
      <c r="H125" s="22"/>
      <c r="I125" s="2"/>
    </row>
  </sheetData>
  <sortState xmlns:xlrd2="http://schemas.microsoft.com/office/spreadsheetml/2017/richdata2" ref="H6:H76">
    <sortCondition descending="1" ref="H6:H76"/>
  </sortState>
  <mergeCells count="2">
    <mergeCell ref="G4:I4"/>
    <mergeCell ref="G3:I3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88A945-6416-43A1-B512-F8C7D2886353}">
          <x14:formula1>
            <xm:f>'Row data'!$E$2:$E$606</xm:f>
          </x14:formula1>
          <xm:sqref>G4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8EA8-98C6-4CA3-9D5D-D4DDCEC611D1}">
  <dimension ref="B1:AC32"/>
  <sheetViews>
    <sheetView showGridLines="0" zoomScaleNormal="100" workbookViewId="0">
      <selection activeCell="K10" sqref="K10"/>
    </sheetView>
  </sheetViews>
  <sheetFormatPr defaultRowHeight="14.4" outlineLevelCol="1" x14ac:dyDescent="0.3"/>
  <cols>
    <col min="2" max="2" width="19.44140625" customWidth="1" outlineLevel="1"/>
    <col min="3" max="3" width="21.5546875" style="3" customWidth="1" outlineLevel="1"/>
    <col min="4" max="4" width="8.6640625" customWidth="1" outlineLevel="1"/>
    <col min="5" max="5" width="18.109375" customWidth="1" outlineLevel="1"/>
    <col min="7" max="7" width="12.44140625" customWidth="1" outlineLevel="1"/>
    <col min="8" max="8" width="10.5546875" bestFit="1" customWidth="1" outlineLevel="1"/>
    <col min="9" max="10" width="8.6640625" customWidth="1" outlineLevel="1"/>
    <col min="11" max="11" width="45.21875" customWidth="1" outlineLevel="1"/>
    <col min="12" max="12" width="8.6640625" customWidth="1" outlineLevel="1"/>
    <col min="14" max="14" width="15.33203125" customWidth="1"/>
    <col min="19" max="19" width="16.5546875" customWidth="1"/>
    <col min="20" max="20" width="9.77734375" bestFit="1" customWidth="1"/>
    <col min="21" max="21" width="9.77734375" customWidth="1"/>
    <col min="26" max="26" width="33.21875" bestFit="1" customWidth="1"/>
    <col min="27" max="27" width="11.44140625" bestFit="1" customWidth="1"/>
    <col min="28" max="28" width="9.5546875" bestFit="1" customWidth="1"/>
    <col min="29" max="29" width="7.33203125" bestFit="1" customWidth="1"/>
  </cols>
  <sheetData>
    <row r="1" spans="2:29" x14ac:dyDescent="0.3">
      <c r="G1" s="25" t="s">
        <v>1049</v>
      </c>
      <c r="N1" s="25" t="s">
        <v>1048</v>
      </c>
      <c r="S1" s="25" t="s">
        <v>1052</v>
      </c>
      <c r="Z1" s="25" t="s">
        <v>1055</v>
      </c>
    </row>
    <row r="2" spans="2:29" x14ac:dyDescent="0.3">
      <c r="B2" t="s">
        <v>1050</v>
      </c>
    </row>
    <row r="3" spans="2:29" ht="15" x14ac:dyDescent="0.35">
      <c r="C3" s="77"/>
      <c r="G3" s="81" t="s">
        <v>1047</v>
      </c>
      <c r="H3" s="81" t="s">
        <v>1039</v>
      </c>
      <c r="I3" s="81" t="s">
        <v>1046</v>
      </c>
      <c r="N3" s="56" t="s">
        <v>1039</v>
      </c>
      <c r="O3" s="56" t="s">
        <v>1064</v>
      </c>
      <c r="P3" s="56" t="s">
        <v>1065</v>
      </c>
      <c r="S3" s="25" t="s">
        <v>1053</v>
      </c>
      <c r="T3" s="25"/>
      <c r="U3" s="25"/>
      <c r="V3" s="25"/>
      <c r="W3" s="25"/>
      <c r="X3" s="25"/>
      <c r="Y3" s="25"/>
    </row>
    <row r="4" spans="2:29" x14ac:dyDescent="0.3">
      <c r="B4" s="55" t="s">
        <v>1039</v>
      </c>
      <c r="C4" s="55" t="s">
        <v>1072</v>
      </c>
      <c r="G4" s="54" t="str">
        <f>_xlfn.XLOOKUP(I4,Row[Gross],Row[Employee Name],"Not Found",0)</f>
        <v>Rubel</v>
      </c>
      <c r="H4" s="54" t="str">
        <f>LOOKUP(G4,Row[DeptName])</f>
        <v>Production</v>
      </c>
      <c r="I4" s="54" cm="1">
        <f t="array" ref="I4:I6">LARGE(Row[Gross],{1;2;3})</f>
        <v>185000</v>
      </c>
      <c r="N4" s="54" t="str" cm="1">
        <f t="array" ref="N4:N11">_xlfn.UNIQUE(Row[DeptName])</f>
        <v>Production</v>
      </c>
      <c r="O4" s="54">
        <f>COUNTIFS(Row[DeptName],N4,Row[OT],"Y")</f>
        <v>386</v>
      </c>
      <c r="P4" s="54">
        <f>SUMIFS(Row[OT Amount],Row[DeptName],N4)</f>
        <v>29503</v>
      </c>
      <c r="S4" s="57" t="s">
        <v>3</v>
      </c>
      <c r="T4" s="57" t="s">
        <v>1066</v>
      </c>
      <c r="U4" s="57" t="s">
        <v>24</v>
      </c>
      <c r="V4" s="57" t="s">
        <v>1073</v>
      </c>
      <c r="Z4" s="80" t="s">
        <v>3</v>
      </c>
      <c r="AA4" s="80" t="s">
        <v>1067</v>
      </c>
      <c r="AB4" s="80" t="s">
        <v>1068</v>
      </c>
      <c r="AC4" s="80" t="s">
        <v>1069</v>
      </c>
    </row>
    <row r="5" spans="2:29" x14ac:dyDescent="0.3">
      <c r="B5" s="54" t="str" cm="1">
        <f t="array" ref="B5:B12">_xlfn.UNIQUE(Row[DeptName])</f>
        <v>Production</v>
      </c>
      <c r="C5" s="78">
        <f>AVERAGEIF(Row[DeptName],B5,Row[Gross])</f>
        <v>16202.811816192559</v>
      </c>
      <c r="G5" s="54" t="str">
        <f>_xlfn.XLOOKUP(I5,Row[Gross],Row[Employee Name],"Not Found",0)</f>
        <v>Bashir</v>
      </c>
      <c r="H5" s="54" t="str">
        <f>LOOKUP(G5,Row[DeptName])</f>
        <v>Admin</v>
      </c>
      <c r="I5" s="54">
        <v>135000</v>
      </c>
      <c r="N5" s="54" t="str">
        <v>Utility &amp; Maintenance</v>
      </c>
      <c r="O5" s="54">
        <f>COUNTIFS(Row[DeptName],N5,Row[OT],"Y")</f>
        <v>1</v>
      </c>
      <c r="P5" s="54">
        <f>SUMIFS(Row[OT Amount],Row[DeptName],N5)</f>
        <v>0</v>
      </c>
      <c r="S5" s="54" t="str" cm="1">
        <f t="array" ref="S5:V10">_xlfn.SORTBY(_xlfn._xlws.FILTER(_xlfn.HSTACK(Row[Employee Name],Row[Gross],Row[OT Amount],Row[Net Payable]),Row[OT Amount]&gt;0,""),_xlfn._xlws.FILTER(Row[OT Amount],Row[OT Amount]&gt;0),1)</f>
        <v>Abdul Aziz</v>
      </c>
      <c r="T5" s="54">
        <v>13405</v>
      </c>
      <c r="U5" s="54">
        <v>4213</v>
      </c>
      <c r="V5" s="54">
        <v>17968</v>
      </c>
      <c r="Z5" s="54" t="str" cm="1">
        <f t="array" ref="Z5:Z32">_xlfn._xlws.FILTER(Row[Employee Name],Row[Loan]&gt;0)</f>
        <v>Aminul</v>
      </c>
      <c r="AA5" s="54">
        <f>_xlfn.XLOOKUP(Z5,Row[Employee Name],Row[Loan],,0)</f>
        <v>15000</v>
      </c>
      <c r="AB5" s="54">
        <f>_xlfn.XLOOKUP(Z5,Row[Employee Name],Row[Net Payable],,0)</f>
        <v>17700</v>
      </c>
      <c r="AC5" s="59">
        <f>AA5/AB5</f>
        <v>0.84745762711864403</v>
      </c>
    </row>
    <row r="6" spans="2:29" x14ac:dyDescent="0.3">
      <c r="B6" s="54" t="str">
        <v>Utility &amp; Maintenance</v>
      </c>
      <c r="C6" s="78">
        <f>AVERAGEIF(Row[DeptName],B6,Row[Gross])</f>
        <v>25814.564102564102</v>
      </c>
      <c r="G6" s="54" t="str">
        <f>_xlfn.XLOOKUP(I6,Row[Gross],Row[Employee Name],"Not Found",0)</f>
        <v>Siam</v>
      </c>
      <c r="H6" s="54" t="str">
        <f>LOOKUP(G6,Row[DeptName])</f>
        <v>Production</v>
      </c>
      <c r="I6" s="54">
        <v>88727</v>
      </c>
      <c r="N6" s="54" t="str">
        <v>Admin</v>
      </c>
      <c r="O6" s="54">
        <f>COUNTIFS(Row[DeptName],N6,Row[OT],"Y")</f>
        <v>11</v>
      </c>
      <c r="P6" s="54">
        <f>SUMIFS(Row[OT Amount],Row[DeptName],N6)</f>
        <v>0</v>
      </c>
      <c r="S6" s="54" t="str">
        <v>Grace</v>
      </c>
      <c r="T6" s="54">
        <v>15337</v>
      </c>
      <c r="U6" s="54">
        <v>4626</v>
      </c>
      <c r="V6" s="54">
        <v>20313</v>
      </c>
      <c r="Z6" s="54" t="str">
        <v>Imran</v>
      </c>
      <c r="AA6" s="54">
        <f>_xlfn.XLOOKUP(Z6,Row[Employee Name],Row[Loan],,0)</f>
        <v>2500</v>
      </c>
      <c r="AB6" s="54">
        <f>_xlfn.XLOOKUP(Z6,Row[Employee Name],Row[Net Payable],,0)</f>
        <v>24751</v>
      </c>
      <c r="AC6" s="59">
        <f t="shared" ref="AC6:AC32" si="0">AA6/AB6</f>
        <v>0.10100601995878955</v>
      </c>
    </row>
    <row r="7" spans="2:29" x14ac:dyDescent="0.3">
      <c r="B7" s="54" t="str">
        <v>Admin</v>
      </c>
      <c r="C7" s="78">
        <f>AVERAGEIF(Row[DeptName],B7,Row[Gross])</f>
        <v>21231.843373493975</v>
      </c>
      <c r="N7" s="54" t="str">
        <v>Delivery</v>
      </c>
      <c r="O7" s="54">
        <f>COUNTIFS(Row[DeptName],N7,Row[OT],"Y")</f>
        <v>0</v>
      </c>
      <c r="P7" s="54">
        <f>SUMIFS(Row[OT Amount],Row[DeptName],N7)</f>
        <v>0</v>
      </c>
      <c r="S7" s="54" t="str">
        <v>George</v>
      </c>
      <c r="T7" s="54">
        <v>13405</v>
      </c>
      <c r="U7" s="54">
        <v>4634</v>
      </c>
      <c r="V7" s="54">
        <v>18389</v>
      </c>
      <c r="Z7" s="54" t="str">
        <v>Liton</v>
      </c>
      <c r="AA7" s="54">
        <f>_xlfn.XLOOKUP(Z7,Row[Employee Name],Row[Loan],,0)</f>
        <v>3000</v>
      </c>
      <c r="AB7" s="54">
        <f>_xlfn.XLOOKUP(Z7,Row[Employee Name],Row[Net Payable],,0)</f>
        <v>23421</v>
      </c>
      <c r="AC7" s="59">
        <f t="shared" si="0"/>
        <v>0.1280901754835404</v>
      </c>
    </row>
    <row r="8" spans="2:29" x14ac:dyDescent="0.3">
      <c r="B8" s="54" t="str">
        <v>Delivery</v>
      </c>
      <c r="C8" s="78">
        <f>AVERAGEIF(Row[DeptName],B8,Row[Gross])</f>
        <v>33999.5</v>
      </c>
      <c r="N8" s="54" t="str">
        <v>HR &amp; Compliance</v>
      </c>
      <c r="O8" s="54">
        <f>COUNTIFS(Row[DeptName],N8,Row[OT],"Y")</f>
        <v>0</v>
      </c>
      <c r="P8" s="54">
        <f>SUMIFS(Row[OT Amount],Row[DeptName],N8)</f>
        <v>0</v>
      </c>
      <c r="S8" s="54" t="str">
        <v>Grayson</v>
      </c>
      <c r="T8" s="54">
        <v>13405</v>
      </c>
      <c r="U8" s="54">
        <v>4634</v>
      </c>
      <c r="V8" s="54">
        <v>18389</v>
      </c>
      <c r="Z8" s="54" t="str">
        <v>Rashid</v>
      </c>
      <c r="AA8" s="54">
        <f>_xlfn.XLOOKUP(Z8,Row[Employee Name],Row[Loan],,0)</f>
        <v>5000</v>
      </c>
      <c r="AB8" s="54">
        <f>_xlfn.XLOOKUP(Z8,Row[Employee Name],Row[Net Payable],,0)</f>
        <v>30533</v>
      </c>
      <c r="AC8" s="59">
        <f t="shared" si="0"/>
        <v>0.16375724625814692</v>
      </c>
    </row>
    <row r="9" spans="2:29" x14ac:dyDescent="0.3">
      <c r="B9" s="54" t="str">
        <v>HR &amp; Compliance</v>
      </c>
      <c r="C9" s="78">
        <f>AVERAGEIF(Row[DeptName],B9,Row[Gross])</f>
        <v>32836.5</v>
      </c>
      <c r="N9" s="54" t="str">
        <v>IT</v>
      </c>
      <c r="O9" s="54">
        <f>COUNTIFS(Row[DeptName],N9,Row[OT],"Y")</f>
        <v>0</v>
      </c>
      <c r="P9" s="54">
        <f>SUMIFS(Row[OT Amount],Row[DeptName],N9)</f>
        <v>0</v>
      </c>
      <c r="S9" s="54" t="str">
        <v>Gabriel</v>
      </c>
      <c r="T9" s="54">
        <v>14549</v>
      </c>
      <c r="U9" s="54">
        <v>4653</v>
      </c>
      <c r="V9" s="54">
        <v>19552</v>
      </c>
      <c r="Z9" s="54" t="str">
        <v>Sagor</v>
      </c>
      <c r="AA9" s="54">
        <f>_xlfn.XLOOKUP(Z9,Row[Employee Name],Row[Loan],,0)</f>
        <v>500</v>
      </c>
      <c r="AB9" s="54">
        <f>_xlfn.XLOOKUP(Z9,Row[Employee Name],Row[Net Payable],,0)</f>
        <v>23441</v>
      </c>
      <c r="AC9" s="59">
        <f t="shared" si="0"/>
        <v>2.1330148031227337E-2</v>
      </c>
    </row>
    <row r="10" spans="2:29" x14ac:dyDescent="0.3">
      <c r="B10" s="54" t="str">
        <v>IT</v>
      </c>
      <c r="C10" s="78">
        <f>AVERAGEIF(Row[DeptName],B10,Row[Gross])</f>
        <v>41420</v>
      </c>
      <c r="N10" s="54" t="str">
        <v>Store</v>
      </c>
      <c r="O10" s="54">
        <f>COUNTIFS(Row[DeptName],N10,Row[OT],"Y")</f>
        <v>0</v>
      </c>
      <c r="P10" s="54">
        <f>SUMIFS(Row[OT Amount],Row[DeptName],N10)</f>
        <v>0</v>
      </c>
      <c r="S10" s="54" t="str">
        <v>Prosenjit Bappi</v>
      </c>
      <c r="T10" s="54">
        <v>18388</v>
      </c>
      <c r="U10" s="54">
        <v>6743</v>
      </c>
      <c r="V10" s="54">
        <v>24481</v>
      </c>
      <c r="Z10" s="54" t="str">
        <v>Shafayet</v>
      </c>
      <c r="AA10" s="54">
        <f>_xlfn.XLOOKUP(Z10,Row[Employee Name],Row[Loan],,0)</f>
        <v>4000</v>
      </c>
      <c r="AB10" s="54">
        <f>_xlfn.XLOOKUP(Z10,Row[Employee Name],Row[Net Payable],,0)</f>
        <v>37515</v>
      </c>
      <c r="AC10" s="59">
        <f t="shared" si="0"/>
        <v>0.10662401705984273</v>
      </c>
    </row>
    <row r="11" spans="2:29" x14ac:dyDescent="0.3">
      <c r="B11" s="54" t="str">
        <v>Store</v>
      </c>
      <c r="C11" s="78">
        <f>AVERAGEIF(Row[DeptName],B11,Row[Gross])</f>
        <v>20718.416666666668</v>
      </c>
      <c r="N11" s="54" t="str">
        <v>Accounts</v>
      </c>
      <c r="O11" s="54">
        <f>COUNTIFS(Row[DeptName],N11,Row[OT],"Y")</f>
        <v>0</v>
      </c>
      <c r="P11" s="54">
        <f>SUMIFS(Row[OT Amount],Row[DeptName],N11)</f>
        <v>0</v>
      </c>
      <c r="Z11" s="54" t="str">
        <v>Siam</v>
      </c>
      <c r="AA11" s="54">
        <f>_xlfn.XLOOKUP(Z11,Row[Employee Name],Row[Loan],,0)</f>
        <v>5000</v>
      </c>
      <c r="AB11" s="54">
        <f>_xlfn.XLOOKUP(Z11,Row[Employee Name],Row[Net Payable],,0)</f>
        <v>81927</v>
      </c>
      <c r="AC11" s="59">
        <f t="shared" si="0"/>
        <v>6.1029941289196477E-2</v>
      </c>
    </row>
    <row r="12" spans="2:29" x14ac:dyDescent="0.3">
      <c r="B12" s="54" t="str">
        <v>Accounts</v>
      </c>
      <c r="C12" s="78">
        <f>AVERAGEIF(Row[DeptName],B12,Row[Gross])</f>
        <v>47905.5</v>
      </c>
      <c r="Z12" s="54" t="str">
        <v>Sujan</v>
      </c>
      <c r="AA12" s="54">
        <f>_xlfn.XLOOKUP(Z12,Row[Employee Name],Row[Loan],,0)</f>
        <v>1500</v>
      </c>
      <c r="AB12" s="54">
        <f>_xlfn.XLOOKUP(Z12,Row[Employee Name],Row[Net Payable],,0)</f>
        <v>14868</v>
      </c>
      <c r="AC12" s="59">
        <f t="shared" si="0"/>
        <v>0.10088781275221953</v>
      </c>
    </row>
    <row r="13" spans="2:29" x14ac:dyDescent="0.3">
      <c r="Z13" s="54" t="str">
        <v>Wahid</v>
      </c>
      <c r="AA13" s="54">
        <f>_xlfn.XLOOKUP(Z13,Row[Employee Name],Row[Loan],,0)</f>
        <v>3000</v>
      </c>
      <c r="AB13" s="54">
        <f>_xlfn.XLOOKUP(Z13,Row[Employee Name],Row[Net Payable],,0)</f>
        <v>17136</v>
      </c>
      <c r="AC13" s="59">
        <f t="shared" si="0"/>
        <v>0.17507002801120447</v>
      </c>
    </row>
    <row r="14" spans="2:29" x14ac:dyDescent="0.3">
      <c r="E14" s="28"/>
      <c r="Z14" s="54" t="str">
        <v>Alia</v>
      </c>
      <c r="AA14" s="54">
        <f>_xlfn.XLOOKUP(Z14,Row[Employee Name],Row[Loan],,0)</f>
        <v>3000</v>
      </c>
      <c r="AB14" s="54">
        <f>_xlfn.XLOOKUP(Z14,Row[Employee Name],Row[Net Payable],,0)</f>
        <v>34942</v>
      </c>
      <c r="AC14" s="59">
        <f t="shared" si="0"/>
        <v>8.5856562303245385E-2</v>
      </c>
    </row>
    <row r="15" spans="2:29" x14ac:dyDescent="0.3">
      <c r="Z15" s="54" t="str">
        <v>Anika</v>
      </c>
      <c r="AA15" s="54">
        <f>_xlfn.XLOOKUP(Z15,Row[Employee Name],Row[Loan],,0)</f>
        <v>2000</v>
      </c>
      <c r="AB15" s="54">
        <f>_xlfn.XLOOKUP(Z15,Row[Employee Name],Row[Net Payable],,0)</f>
        <v>27457</v>
      </c>
      <c r="AC15" s="59">
        <f t="shared" si="0"/>
        <v>7.2841169829187452E-2</v>
      </c>
    </row>
    <row r="16" spans="2:29" x14ac:dyDescent="0.3">
      <c r="F16" s="90"/>
      <c r="G16" s="91"/>
      <c r="H16" s="91"/>
      <c r="I16" s="91"/>
      <c r="J16" s="91"/>
      <c r="K16" s="91"/>
      <c r="Z16" s="54" t="str">
        <v>Labiba</v>
      </c>
      <c r="AA16" s="54">
        <f>_xlfn.XLOOKUP(Z16,Row[Employee Name],Row[Loan],,0)</f>
        <v>500</v>
      </c>
      <c r="AB16" s="54">
        <f>_xlfn.XLOOKUP(Z16,Row[Employee Name],Row[Net Payable],,0)</f>
        <v>15063</v>
      </c>
      <c r="AC16" s="59">
        <f t="shared" si="0"/>
        <v>3.319391887406227E-2</v>
      </c>
    </row>
    <row r="17" spans="6:29" x14ac:dyDescent="0.3">
      <c r="F17" s="76"/>
      <c r="G17" s="76"/>
      <c r="H17" s="76"/>
      <c r="I17" s="76"/>
      <c r="J17" s="76"/>
      <c r="K17" s="76"/>
      <c r="Q17" s="58"/>
      <c r="Z17" s="54" t="str">
        <v>Maleka</v>
      </c>
      <c r="AA17" s="54">
        <f>_xlfn.XLOOKUP(Z17,Row[Employee Name],Row[Loan],,0)</f>
        <v>5000</v>
      </c>
      <c r="AB17" s="54">
        <f>_xlfn.XLOOKUP(Z17,Row[Employee Name],Row[Net Payable],,0)</f>
        <v>20461</v>
      </c>
      <c r="AC17" s="59">
        <f t="shared" si="0"/>
        <v>0.24436733297492791</v>
      </c>
    </row>
    <row r="18" spans="6:29" x14ac:dyDescent="0.3">
      <c r="F18" s="61"/>
      <c r="G18" s="61"/>
      <c r="H18" s="61"/>
      <c r="I18" s="79"/>
      <c r="J18" s="79"/>
      <c r="K18" s="79"/>
      <c r="Z18" s="54" t="str">
        <v>Maria</v>
      </c>
      <c r="AA18" s="54">
        <f>_xlfn.XLOOKUP(Z18,Row[Employee Name],Row[Loan],,0)</f>
        <v>1000</v>
      </c>
      <c r="AB18" s="54">
        <f>_xlfn.XLOOKUP(Z18,Row[Employee Name],Row[Net Payable],,0)</f>
        <v>26145</v>
      </c>
      <c r="AC18" s="59">
        <f t="shared" si="0"/>
        <v>3.8248231019315355E-2</v>
      </c>
    </row>
    <row r="19" spans="6:29" x14ac:dyDescent="0.3">
      <c r="F19" s="61"/>
      <c r="G19" s="61"/>
      <c r="H19" s="61"/>
      <c r="I19" s="79"/>
      <c r="J19" s="79"/>
      <c r="K19" s="79"/>
      <c r="Z19" s="54" t="str">
        <v>Moushumi</v>
      </c>
      <c r="AA19" s="54">
        <f>_xlfn.XLOOKUP(Z19,Row[Employee Name],Row[Loan],,0)</f>
        <v>1000</v>
      </c>
      <c r="AB19" s="54">
        <f>_xlfn.XLOOKUP(Z19,Row[Employee Name],Row[Net Payable],,0)</f>
        <v>14805</v>
      </c>
      <c r="AC19" s="59">
        <f t="shared" si="0"/>
        <v>6.7544748395812232E-2</v>
      </c>
    </row>
    <row r="20" spans="6:29" x14ac:dyDescent="0.3">
      <c r="F20" s="61"/>
      <c r="G20" s="61"/>
      <c r="H20" s="61"/>
      <c r="I20" s="79"/>
      <c r="J20" s="79"/>
      <c r="K20" s="79"/>
      <c r="Z20" s="54" t="str">
        <v>Nasima</v>
      </c>
      <c r="AA20" s="54">
        <f>_xlfn.XLOOKUP(Z20,Row[Employee Name],Row[Loan],,0)</f>
        <v>5000</v>
      </c>
      <c r="AB20" s="54">
        <f>_xlfn.XLOOKUP(Z20,Row[Employee Name],Row[Net Payable],,0)</f>
        <v>31078</v>
      </c>
      <c r="AC20" s="59">
        <f t="shared" si="0"/>
        <v>0.1608855138683313</v>
      </c>
    </row>
    <row r="21" spans="6:29" x14ac:dyDescent="0.3">
      <c r="Z21" s="54" t="str">
        <v>Nazia</v>
      </c>
      <c r="AA21" s="54">
        <f>_xlfn.XLOOKUP(Z21,Row[Employee Name],Row[Loan],,0)</f>
        <v>2000</v>
      </c>
      <c r="AB21" s="54">
        <f>_xlfn.XLOOKUP(Z21,Row[Employee Name],Row[Net Payable],,0)</f>
        <v>19495</v>
      </c>
      <c r="AC21" s="59">
        <f t="shared" si="0"/>
        <v>0.10259040779687099</v>
      </c>
    </row>
    <row r="22" spans="6:29" x14ac:dyDescent="0.3">
      <c r="Z22" s="54" t="str">
        <v>Ritu</v>
      </c>
      <c r="AA22" s="54">
        <f>_xlfn.XLOOKUP(Z22,Row[Employee Name],Row[Loan],,0)</f>
        <v>500</v>
      </c>
      <c r="AB22" s="54">
        <f>_xlfn.XLOOKUP(Z22,Row[Employee Name],Row[Net Payable],,0)</f>
        <v>15063</v>
      </c>
      <c r="AC22" s="59">
        <f t="shared" si="0"/>
        <v>3.319391887406227E-2</v>
      </c>
    </row>
    <row r="23" spans="6:29" x14ac:dyDescent="0.3">
      <c r="Z23" s="54" t="str">
        <v>Rumana</v>
      </c>
      <c r="AA23" s="54">
        <f>_xlfn.XLOOKUP(Z23,Row[Employee Name],Row[Loan],,0)</f>
        <v>3000</v>
      </c>
      <c r="AB23" s="54">
        <f>_xlfn.XLOOKUP(Z23,Row[Employee Name],Row[Net Payable],,0)</f>
        <v>23705</v>
      </c>
      <c r="AC23" s="59">
        <f t="shared" si="0"/>
        <v>0.12655557899177389</v>
      </c>
    </row>
    <row r="24" spans="6:29" x14ac:dyDescent="0.3">
      <c r="Z24" s="54" t="str">
        <v>Tasfia</v>
      </c>
      <c r="AA24" s="54">
        <f>_xlfn.XLOOKUP(Z24,Row[Employee Name],Row[Loan],,0)</f>
        <v>1500</v>
      </c>
      <c r="AB24" s="54">
        <f>_xlfn.XLOOKUP(Z24,Row[Employee Name],Row[Net Payable],,0)</f>
        <v>13837</v>
      </c>
      <c r="AC24" s="59">
        <f t="shared" si="0"/>
        <v>0.10840500108405002</v>
      </c>
    </row>
    <row r="25" spans="6:29" x14ac:dyDescent="0.3">
      <c r="Z25" s="54" t="str">
        <v>Golam Rabbani</v>
      </c>
      <c r="AA25" s="54">
        <f>_xlfn.XLOOKUP(Z25,Row[Employee Name],Row[Loan],,0)</f>
        <v>1000</v>
      </c>
      <c r="AB25" s="54">
        <f>_xlfn.XLOOKUP(Z25,Row[Employee Name],Row[Net Payable],,0)</f>
        <v>12463</v>
      </c>
      <c r="AC25" s="59">
        <f t="shared" si="0"/>
        <v>8.0237503008906363E-2</v>
      </c>
    </row>
    <row r="26" spans="6:29" x14ac:dyDescent="0.3">
      <c r="Z26" s="54" t="str">
        <v>Lutfar Rahman</v>
      </c>
      <c r="AA26" s="54">
        <f>_xlfn.XLOOKUP(Z26,Row[Employee Name],Row[Loan],,0)</f>
        <v>1000</v>
      </c>
      <c r="AB26" s="54">
        <f>_xlfn.XLOOKUP(Z26,Row[Employee Name],Row[Net Payable],,0)</f>
        <v>20323</v>
      </c>
      <c r="AC26" s="59">
        <f t="shared" si="0"/>
        <v>4.9205333858190231E-2</v>
      </c>
    </row>
    <row r="27" spans="6:29" x14ac:dyDescent="0.3">
      <c r="Z27" s="54" t="str">
        <v>Evelyn</v>
      </c>
      <c r="AA27" s="54">
        <f>_xlfn.XLOOKUP(Z27,Row[Employee Name],Row[Loan],,0)</f>
        <v>2500</v>
      </c>
      <c r="AB27" s="54">
        <f>_xlfn.XLOOKUP(Z27,Row[Employee Name],Row[Net Payable],,0)</f>
        <v>13187</v>
      </c>
      <c r="AC27" s="59">
        <f t="shared" si="0"/>
        <v>0.18958064760749221</v>
      </c>
    </row>
    <row r="28" spans="6:29" x14ac:dyDescent="0.3">
      <c r="Z28" s="54" t="str">
        <v>Prosenjit Bappi</v>
      </c>
      <c r="AA28" s="54">
        <f>_xlfn.XLOOKUP(Z28,Row[Employee Name],Row[Loan],,0)</f>
        <v>1000</v>
      </c>
      <c r="AB28" s="54">
        <f>_xlfn.XLOOKUP(Z28,Row[Employee Name],Row[Net Payable],,0)</f>
        <v>24481</v>
      </c>
      <c r="AC28" s="59">
        <f t="shared" si="0"/>
        <v>4.0848004574976511E-2</v>
      </c>
    </row>
    <row r="29" spans="6:29" x14ac:dyDescent="0.3">
      <c r="Z29" s="54" t="str">
        <v>Hannah</v>
      </c>
      <c r="AA29" s="54">
        <f>_xlfn.XLOOKUP(Z29,Row[Employee Name],Row[Loan],,0)</f>
        <v>500</v>
      </c>
      <c r="AB29" s="54">
        <f>_xlfn.XLOOKUP(Z29,Row[Employee Name],Row[Net Payable],,0)</f>
        <v>14223</v>
      </c>
      <c r="AC29" s="59">
        <f t="shared" si="0"/>
        <v>3.5154327497714966E-2</v>
      </c>
    </row>
    <row r="30" spans="6:29" x14ac:dyDescent="0.3">
      <c r="Z30" s="54" t="str">
        <v>Harper</v>
      </c>
      <c r="AA30" s="54">
        <f>_xlfn.XLOOKUP(Z30,Row[Employee Name],Row[Loan],,0)</f>
        <v>500</v>
      </c>
      <c r="AB30" s="54">
        <f>_xlfn.XLOOKUP(Z30,Row[Employee Name],Row[Net Payable],,0)</f>
        <v>13014</v>
      </c>
      <c r="AC30" s="59">
        <f t="shared" si="0"/>
        <v>3.8420162901490702E-2</v>
      </c>
    </row>
    <row r="31" spans="6:29" x14ac:dyDescent="0.3">
      <c r="Z31" s="54" t="str">
        <v>Hudson</v>
      </c>
      <c r="AA31" s="54">
        <f>_xlfn.XLOOKUP(Z31,Row[Employee Name],Row[Loan],,0)</f>
        <v>1500</v>
      </c>
      <c r="AB31" s="54">
        <f>_xlfn.XLOOKUP(Z31,Row[Employee Name],Row[Net Payable],,0)</f>
        <v>17588</v>
      </c>
      <c r="AC31" s="59">
        <f t="shared" si="0"/>
        <v>8.5285421878553563E-2</v>
      </c>
    </row>
    <row r="32" spans="6:29" x14ac:dyDescent="0.3">
      <c r="Z32" s="54" t="str">
        <v>Kaitlyn</v>
      </c>
      <c r="AA32" s="54">
        <f>_xlfn.XLOOKUP(Z32,Row[Employee Name],Row[Loan],,0)</f>
        <v>500</v>
      </c>
      <c r="AB32" s="54">
        <f>_xlfn.XLOOKUP(Z32,Row[Employee Name],Row[Net Payable],,0)</f>
        <v>13155</v>
      </c>
      <c r="AC32" s="59">
        <f t="shared" si="0"/>
        <v>3.800836183960471E-2</v>
      </c>
    </row>
  </sheetData>
  <mergeCells count="1">
    <mergeCell ref="F16:K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F66E-A5B8-4610-A4DF-3C136F0DF96E}">
  <dimension ref="B1:I54"/>
  <sheetViews>
    <sheetView showGridLines="0" zoomScale="205" zoomScaleNormal="205" workbookViewId="0">
      <selection activeCell="B19" activeCellId="8" sqref="B2:G2 B4 B6:G6 B8 B11:G11 B13 B15:G15 B17 B19:G19"/>
    </sheetView>
  </sheetViews>
  <sheetFormatPr defaultRowHeight="14.4" x14ac:dyDescent="0.3"/>
  <cols>
    <col min="2" max="2" width="11.88671875" customWidth="1"/>
    <col min="3" max="3" width="10.5546875" bestFit="1" customWidth="1"/>
    <col min="4" max="4" width="8.88671875" bestFit="1" customWidth="1"/>
    <col min="5" max="5" width="10.44140625" customWidth="1"/>
    <col min="7" max="7" width="12.44140625" bestFit="1" customWidth="1"/>
    <col min="8" max="8" width="22" bestFit="1" customWidth="1"/>
    <col min="9" max="9" width="15.88671875" bestFit="1" customWidth="1"/>
  </cols>
  <sheetData>
    <row r="1" spans="2:8" ht="15" thickBot="1" x14ac:dyDescent="0.35"/>
    <row r="2" spans="2:8" ht="15" thickBot="1" x14ac:dyDescent="0.35">
      <c r="B2" s="83" t="s">
        <v>986</v>
      </c>
      <c r="C2" s="84"/>
      <c r="D2" s="84"/>
      <c r="E2" s="84"/>
      <c r="F2" s="84"/>
      <c r="G2" s="85"/>
      <c r="H2" s="11"/>
    </row>
    <row r="4" spans="2:8" x14ac:dyDescent="0.3">
      <c r="B4" s="8">
        <v>404</v>
      </c>
      <c r="D4" t="s">
        <v>988</v>
      </c>
    </row>
    <row r="5" spans="2:8" ht="15" thickBot="1" x14ac:dyDescent="0.35"/>
    <row r="6" spans="2:8" ht="15" thickBot="1" x14ac:dyDescent="0.35">
      <c r="B6" s="83" t="s">
        <v>987</v>
      </c>
      <c r="C6" s="84"/>
      <c r="D6" s="84"/>
      <c r="E6" s="84"/>
      <c r="F6" s="84"/>
      <c r="G6" s="85"/>
    </row>
    <row r="8" spans="2:8" x14ac:dyDescent="0.3">
      <c r="B8" s="12" t="s">
        <v>1038</v>
      </c>
      <c r="D8" t="s">
        <v>993</v>
      </c>
    </row>
    <row r="10" spans="2:8" ht="15" thickBot="1" x14ac:dyDescent="0.35"/>
    <row r="11" spans="2:8" ht="15" thickBot="1" x14ac:dyDescent="0.35">
      <c r="B11" s="83" t="s">
        <v>990</v>
      </c>
      <c r="C11" s="84"/>
      <c r="D11" s="84" t="s">
        <v>991</v>
      </c>
      <c r="E11" s="84"/>
      <c r="F11" s="84"/>
      <c r="G11" s="85"/>
    </row>
    <row r="13" spans="2:8" x14ac:dyDescent="0.3">
      <c r="B13" s="9"/>
    </row>
    <row r="14" spans="2:8" ht="15" thickBot="1" x14ac:dyDescent="0.35"/>
    <row r="15" spans="2:8" ht="15" thickBot="1" x14ac:dyDescent="0.35">
      <c r="B15" s="83" t="s">
        <v>992</v>
      </c>
      <c r="C15" s="84"/>
      <c r="D15" s="84"/>
      <c r="E15" s="84"/>
      <c r="F15" s="84"/>
      <c r="G15" s="85"/>
    </row>
    <row r="17" spans="2:9" x14ac:dyDescent="0.3">
      <c r="B17" s="10">
        <v>6</v>
      </c>
      <c r="D17" t="s">
        <v>989</v>
      </c>
    </row>
    <row r="18" spans="2:9" ht="15" thickBot="1" x14ac:dyDescent="0.35"/>
    <row r="19" spans="2:9" ht="15" thickBot="1" x14ac:dyDescent="0.35">
      <c r="B19" s="83" t="s">
        <v>994</v>
      </c>
      <c r="C19" s="84"/>
      <c r="D19" s="84"/>
      <c r="E19" s="84"/>
      <c r="F19" s="84"/>
      <c r="G19" s="85"/>
    </row>
    <row r="21" spans="2:9" s="2" customFormat="1" ht="29.4" customHeight="1" x14ac:dyDescent="0.3">
      <c r="B21" s="14" t="s">
        <v>35</v>
      </c>
      <c r="C21" s="14" t="s">
        <v>997</v>
      </c>
      <c r="D21" s="14" t="s">
        <v>996</v>
      </c>
      <c r="E21" s="14" t="s">
        <v>995</v>
      </c>
    </row>
    <row r="22" spans="2:9" x14ac:dyDescent="0.3">
      <c r="B22" t="str" cm="1">
        <f t="array" aca="1" ref="B22:B29" ca="1">_xlfn.TAKE(_xlfn._xlws.SORT(_xlfn.UNIQUE(TEXT('Row data'!$I$2:$I$606,"YYYY")),1,-1),COUNTIF(_xlfn.ANCHORARRAY(D22),"&gt;0"))</f>
        <v>2025</v>
      </c>
      <c r="C22" cm="1">
        <f t="array" aca="1" ref="C22:C29" ca="1">COUNTIFS('Row data'!$K$2:$K$606,_xlfn.ANCHORARRAY(B22))</f>
        <v>4</v>
      </c>
      <c r="D22" cm="1">
        <f t="array" aca="1" ref="D22:D29" ca="1">COUNTIF('Row data'!$K$2:$K$606,_xlfn.ANCHORARRAY(B22))</f>
        <v>4</v>
      </c>
      <c r="E22" s="13" cm="1">
        <f t="array" aca="1" ref="E22:E29" ca="1">ROUND(_xlfn.ANCHORARRAY(D22)/SUM(_xlfn.ANCHORARRAY(D22)),2)</f>
        <v>0.02</v>
      </c>
      <c r="G22" s="15" t="s">
        <v>998</v>
      </c>
      <c r="H22" t="s">
        <v>1031</v>
      </c>
      <c r="I22" t="s">
        <v>1032</v>
      </c>
    </row>
    <row r="23" spans="2:9" x14ac:dyDescent="0.3">
      <c r="B23" t="str">
        <f ca="1"/>
        <v>2024</v>
      </c>
      <c r="C23">
        <f ca="1"/>
        <v>10</v>
      </c>
      <c r="D23">
        <f ca="1"/>
        <v>10</v>
      </c>
      <c r="E23" s="13">
        <f ca="1"/>
        <v>0.05</v>
      </c>
      <c r="G23" s="4" t="s">
        <v>1030</v>
      </c>
      <c r="H23">
        <v>6</v>
      </c>
      <c r="I23">
        <v>4</v>
      </c>
    </row>
    <row r="24" spans="2:9" x14ac:dyDescent="0.3">
      <c r="B24" t="str">
        <f ca="1"/>
        <v>2023</v>
      </c>
      <c r="C24">
        <f ca="1"/>
        <v>10</v>
      </c>
      <c r="D24">
        <f ca="1"/>
        <v>10</v>
      </c>
      <c r="E24" s="13">
        <f ca="1"/>
        <v>0.05</v>
      </c>
      <c r="G24" s="4" t="s">
        <v>1029</v>
      </c>
      <c r="H24">
        <v>14</v>
      </c>
      <c r="I24">
        <v>12</v>
      </c>
    </row>
    <row r="25" spans="2:9" x14ac:dyDescent="0.3">
      <c r="B25" t="str">
        <f ca="1"/>
        <v>2022</v>
      </c>
      <c r="C25">
        <f ca="1"/>
        <v>135</v>
      </c>
      <c r="D25">
        <f ca="1"/>
        <v>135</v>
      </c>
      <c r="E25" s="13">
        <f ca="1"/>
        <v>0.67</v>
      </c>
      <c r="G25" s="4" t="s">
        <v>1028</v>
      </c>
      <c r="H25">
        <v>82</v>
      </c>
      <c r="I25">
        <v>43</v>
      </c>
    </row>
    <row r="26" spans="2:9" x14ac:dyDescent="0.3">
      <c r="B26" t="str">
        <f ca="1"/>
        <v>2021</v>
      </c>
      <c r="C26">
        <f ca="1"/>
        <v>9</v>
      </c>
      <c r="D26">
        <f ca="1"/>
        <v>9</v>
      </c>
      <c r="E26" s="13">
        <f ca="1"/>
        <v>0.04</v>
      </c>
      <c r="G26" s="4" t="s">
        <v>1027</v>
      </c>
      <c r="H26">
        <v>74</v>
      </c>
      <c r="I26">
        <v>9</v>
      </c>
    </row>
    <row r="27" spans="2:9" x14ac:dyDescent="0.3">
      <c r="B27" t="str">
        <f ca="1"/>
        <v>2020</v>
      </c>
      <c r="C27">
        <f ca="1"/>
        <v>7</v>
      </c>
      <c r="D27">
        <f ca="1"/>
        <v>7</v>
      </c>
      <c r="E27" s="13">
        <f ca="1"/>
        <v>0.03</v>
      </c>
      <c r="G27" s="4" t="s">
        <v>1026</v>
      </c>
      <c r="H27">
        <v>80</v>
      </c>
      <c r="I27">
        <v>17</v>
      </c>
    </row>
    <row r="28" spans="2:9" x14ac:dyDescent="0.3">
      <c r="B28" t="str">
        <f ca="1"/>
        <v>2019</v>
      </c>
      <c r="C28">
        <f ca="1"/>
        <v>14</v>
      </c>
      <c r="D28">
        <f ca="1"/>
        <v>14</v>
      </c>
      <c r="E28" s="13">
        <f ca="1"/>
        <v>7.0000000000000007E-2</v>
      </c>
      <c r="G28" s="4" t="s">
        <v>1025</v>
      </c>
      <c r="H28">
        <v>26</v>
      </c>
      <c r="I28">
        <v>6</v>
      </c>
    </row>
    <row r="29" spans="2:9" x14ac:dyDescent="0.3">
      <c r="B29" t="str">
        <f ca="1"/>
        <v>2018</v>
      </c>
      <c r="C29">
        <f ca="1"/>
        <v>12</v>
      </c>
      <c r="D29">
        <f ca="1"/>
        <v>12</v>
      </c>
      <c r="E29" s="13">
        <f ca="1"/>
        <v>0.06</v>
      </c>
      <c r="G29" s="4" t="s">
        <v>1024</v>
      </c>
      <c r="H29">
        <v>16</v>
      </c>
      <c r="I29">
        <v>2</v>
      </c>
    </row>
    <row r="30" spans="2:9" x14ac:dyDescent="0.3">
      <c r="D30" s="13"/>
      <c r="G30" s="4" t="s">
        <v>1023</v>
      </c>
      <c r="H30">
        <v>45</v>
      </c>
      <c r="I30">
        <v>15</v>
      </c>
    </row>
    <row r="31" spans="2:9" x14ac:dyDescent="0.3">
      <c r="D31" s="13"/>
      <c r="G31" s="4" t="s">
        <v>1022</v>
      </c>
      <c r="H31">
        <v>61</v>
      </c>
      <c r="I31">
        <v>21</v>
      </c>
    </row>
    <row r="32" spans="2:9" x14ac:dyDescent="0.3">
      <c r="D32" s="13"/>
      <c r="G32" s="4" t="s">
        <v>1021</v>
      </c>
      <c r="H32">
        <v>28</v>
      </c>
      <c r="I32">
        <v>8</v>
      </c>
    </row>
    <row r="33" spans="4:9" x14ac:dyDescent="0.3">
      <c r="D33" s="13"/>
      <c r="G33" s="4" t="s">
        <v>1020</v>
      </c>
      <c r="H33">
        <v>29</v>
      </c>
      <c r="I33">
        <v>10</v>
      </c>
    </row>
    <row r="34" spans="4:9" x14ac:dyDescent="0.3">
      <c r="D34" s="13"/>
      <c r="G34" s="4" t="s">
        <v>1019</v>
      </c>
      <c r="H34">
        <v>20</v>
      </c>
      <c r="I34">
        <v>10</v>
      </c>
    </row>
    <row r="35" spans="4:9" x14ac:dyDescent="0.3">
      <c r="D35" s="13"/>
      <c r="G35" s="4" t="s">
        <v>1018</v>
      </c>
      <c r="H35">
        <v>15</v>
      </c>
      <c r="I35">
        <v>5</v>
      </c>
    </row>
    <row r="36" spans="4:9" x14ac:dyDescent="0.3">
      <c r="D36" s="13"/>
      <c r="G36" s="4" t="s">
        <v>1017</v>
      </c>
      <c r="H36">
        <v>15</v>
      </c>
      <c r="I36">
        <v>6</v>
      </c>
    </row>
    <row r="37" spans="4:9" x14ac:dyDescent="0.3">
      <c r="D37" s="13"/>
      <c r="G37" s="4" t="s">
        <v>1016</v>
      </c>
      <c r="H37">
        <v>16</v>
      </c>
      <c r="I37">
        <v>2</v>
      </c>
    </row>
    <row r="38" spans="4:9" x14ac:dyDescent="0.3">
      <c r="D38" s="13"/>
      <c r="G38" s="4" t="s">
        <v>1015</v>
      </c>
      <c r="H38">
        <v>17</v>
      </c>
      <c r="I38">
        <v>6</v>
      </c>
    </row>
    <row r="39" spans="4:9" x14ac:dyDescent="0.3">
      <c r="D39" s="13"/>
      <c r="G39" s="4" t="s">
        <v>1014</v>
      </c>
      <c r="H39">
        <v>8</v>
      </c>
      <c r="I39">
        <v>5</v>
      </c>
    </row>
    <row r="40" spans="4:9" x14ac:dyDescent="0.3">
      <c r="D40" s="13"/>
      <c r="G40" s="4" t="s">
        <v>1013</v>
      </c>
      <c r="H40">
        <v>8</v>
      </c>
      <c r="I40">
        <v>3</v>
      </c>
    </row>
    <row r="41" spans="4:9" x14ac:dyDescent="0.3">
      <c r="D41" s="13"/>
      <c r="G41" s="4" t="s">
        <v>1012</v>
      </c>
      <c r="H41">
        <v>9</v>
      </c>
      <c r="I41">
        <v>1</v>
      </c>
    </row>
    <row r="42" spans="4:9" x14ac:dyDescent="0.3">
      <c r="D42" s="13"/>
      <c r="G42" s="4" t="s">
        <v>1011</v>
      </c>
      <c r="H42">
        <v>1</v>
      </c>
      <c r="I42">
        <v>1</v>
      </c>
    </row>
    <row r="43" spans="4:9" x14ac:dyDescent="0.3">
      <c r="D43" s="13"/>
      <c r="G43" s="4" t="s">
        <v>1010</v>
      </c>
      <c r="H43">
        <v>1</v>
      </c>
      <c r="I43">
        <v>1</v>
      </c>
    </row>
    <row r="44" spans="4:9" x14ac:dyDescent="0.3">
      <c r="D44" s="13"/>
      <c r="G44" s="4" t="s">
        <v>1009</v>
      </c>
      <c r="H44">
        <v>1</v>
      </c>
    </row>
    <row r="45" spans="4:9" x14ac:dyDescent="0.3">
      <c r="D45" s="13"/>
      <c r="G45" s="4" t="s">
        <v>1008</v>
      </c>
      <c r="H45">
        <v>10</v>
      </c>
      <c r="I45">
        <v>2</v>
      </c>
    </row>
    <row r="46" spans="4:9" x14ac:dyDescent="0.3">
      <c r="D46" s="13"/>
      <c r="G46" s="4" t="s">
        <v>1007</v>
      </c>
      <c r="H46">
        <v>4</v>
      </c>
      <c r="I46">
        <v>2</v>
      </c>
    </row>
    <row r="47" spans="4:9" x14ac:dyDescent="0.3">
      <c r="D47" s="13"/>
      <c r="G47" s="4" t="s">
        <v>1006</v>
      </c>
      <c r="H47">
        <v>6</v>
      </c>
      <c r="I47">
        <v>6</v>
      </c>
    </row>
    <row r="48" spans="4:9" x14ac:dyDescent="0.3">
      <c r="D48" s="13"/>
      <c r="G48" s="4" t="s">
        <v>1005</v>
      </c>
      <c r="H48">
        <v>2</v>
      </c>
    </row>
    <row r="49" spans="4:9" x14ac:dyDescent="0.3">
      <c r="D49" s="13"/>
      <c r="G49" s="4" t="s">
        <v>1004</v>
      </c>
      <c r="H49">
        <v>3</v>
      </c>
      <c r="I49">
        <v>2</v>
      </c>
    </row>
    <row r="50" spans="4:9" x14ac:dyDescent="0.3">
      <c r="D50" s="13"/>
      <c r="G50" s="4" t="s">
        <v>1003</v>
      </c>
      <c r="H50">
        <v>3</v>
      </c>
      <c r="I50">
        <v>1</v>
      </c>
    </row>
    <row r="51" spans="4:9" x14ac:dyDescent="0.3">
      <c r="D51" s="13"/>
      <c r="G51" s="4" t="s">
        <v>1002</v>
      </c>
      <c r="H51">
        <v>1</v>
      </c>
    </row>
    <row r="52" spans="4:9" x14ac:dyDescent="0.3">
      <c r="D52" s="13"/>
      <c r="G52" s="4" t="s">
        <v>1001</v>
      </c>
      <c r="H52">
        <v>2</v>
      </c>
      <c r="I52">
        <v>1</v>
      </c>
    </row>
    <row r="53" spans="4:9" x14ac:dyDescent="0.3">
      <c r="G53" s="4" t="s">
        <v>1000</v>
      </c>
      <c r="H53">
        <v>2</v>
      </c>
    </row>
    <row r="54" spans="4:9" x14ac:dyDescent="0.3">
      <c r="G54" s="4" t="s">
        <v>999</v>
      </c>
      <c r="H54">
        <v>605</v>
      </c>
      <c r="I54">
        <v>201</v>
      </c>
    </row>
  </sheetData>
  <mergeCells count="5">
    <mergeCell ref="B2:G2"/>
    <mergeCell ref="B6:G6"/>
    <mergeCell ref="B11:G11"/>
    <mergeCell ref="B15:G15"/>
    <mergeCell ref="B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Row data</vt:lpstr>
      <vt:lpstr>Demo Ans</vt:lpstr>
      <vt:lpstr>Demo Ans 2</vt:lpstr>
      <vt:lpstr>Demo Ans 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Prosenjit Bappi</dc:creator>
  <cp:lastModifiedBy>tahid kazi</cp:lastModifiedBy>
  <dcterms:created xsi:type="dcterms:W3CDTF">2025-03-25T06:31:04Z</dcterms:created>
  <dcterms:modified xsi:type="dcterms:W3CDTF">2026-09-20T12:19:47Z</dcterms:modified>
</cp:coreProperties>
</file>