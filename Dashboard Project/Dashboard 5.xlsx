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2431088f556e2b2f/Documents/Assiignment 1/"/>
    </mc:Choice>
  </mc:AlternateContent>
  <xr:revisionPtr revIDLastSave="1" documentId="8_{5A3B55BA-2CAD-483C-8546-776966540019}" xr6:coauthVersionLast="47" xr6:coauthVersionMax="47" xr10:uidLastSave="{D342B783-2067-41A1-AC70-3FAE2059B49B}"/>
  <bookViews>
    <workbookView xWindow="-108" yWindow="-108" windowWidth="23256" windowHeight="12456" activeTab="1" xr2:uid="{E952CDB9-E757-47A0-B909-833A168E6749}"/>
  </bookViews>
  <sheets>
    <sheet name="Datasheet" sheetId="1" r:id="rId1"/>
    <sheet name="Dashboard" sheetId="2" r:id="rId2"/>
    <sheet name="provite data" sheetId="3" r:id="rId3"/>
  </sheets>
  <definedNames>
    <definedName name="NativeTimeline_Date">#N/A</definedName>
    <definedName name="Slicer_Name">#N/A</definedName>
  </definedNames>
  <calcPr calcId="191029"/>
  <pivotCaches>
    <pivotCache cacheId="1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13" i="1" l="1"/>
  <c r="G312" i="1"/>
  <c r="G311" i="1"/>
  <c r="G310" i="1"/>
  <c r="G309" i="1"/>
  <c r="G308" i="1"/>
  <c r="G307" i="1"/>
  <c r="G306" i="1"/>
  <c r="G305" i="1"/>
  <c r="G304" i="1"/>
  <c r="G303" i="1"/>
  <c r="G302" i="1"/>
  <c r="G301" i="1"/>
  <c r="G300" i="1"/>
  <c r="G299" i="1"/>
  <c r="G298" i="1"/>
  <c r="G297" i="1"/>
  <c r="G296" i="1"/>
  <c r="G295" i="1"/>
  <c r="G294" i="1"/>
  <c r="G293" i="1"/>
  <c r="G292" i="1"/>
  <c r="G291" i="1"/>
  <c r="G290" i="1"/>
  <c r="G289" i="1"/>
  <c r="G288" i="1"/>
</calcChain>
</file>

<file path=xl/sharedStrings.xml><?xml version="1.0" encoding="utf-8"?>
<sst xmlns="http://schemas.openxmlformats.org/spreadsheetml/2006/main" count="418" uniqueCount="59">
  <si>
    <t>Name</t>
  </si>
  <si>
    <t>Date</t>
  </si>
  <si>
    <t>Total Calls</t>
  </si>
  <si>
    <t>Calls Reached</t>
  </si>
  <si>
    <t>Average Duration (sec)</t>
  </si>
  <si>
    <t>Deals Closed</t>
  </si>
  <si>
    <t>Call Conversion Rate (%)</t>
  </si>
  <si>
    <t>Deal Value ($)</t>
  </si>
  <si>
    <t>Call Drop Rate (%)</t>
  </si>
  <si>
    <t>Tanvir</t>
  </si>
  <si>
    <t>Mohammad</t>
  </si>
  <si>
    <t>Taslima</t>
  </si>
  <si>
    <t>Ahmed</t>
  </si>
  <si>
    <t>Fatima</t>
  </si>
  <si>
    <t>Aminul</t>
  </si>
  <si>
    <t>Nusrat</t>
  </si>
  <si>
    <t>Ali</t>
  </si>
  <si>
    <t>Farhana</t>
  </si>
  <si>
    <t>Rashedul</t>
  </si>
  <si>
    <t>Sabrina</t>
  </si>
  <si>
    <t>Kamal</t>
  </si>
  <si>
    <t>Nazma</t>
  </si>
  <si>
    <t>Salahuddin</t>
  </si>
  <si>
    <t>Tahmina</t>
  </si>
  <si>
    <t>Nasir</t>
  </si>
  <si>
    <t>Khadija</t>
  </si>
  <si>
    <t>Imran</t>
  </si>
  <si>
    <t>Shahnaz</t>
  </si>
  <si>
    <t>Rafiqul</t>
  </si>
  <si>
    <t>Yasmin</t>
  </si>
  <si>
    <t>Shahid</t>
  </si>
  <si>
    <t>Sales Dashboard</t>
  </si>
  <si>
    <t>Sales Agent  Performance</t>
  </si>
  <si>
    <t>Sum of Total Calls</t>
  </si>
  <si>
    <t>Sum of Calls Reached</t>
  </si>
  <si>
    <t>Sum of Deals Closed</t>
  </si>
  <si>
    <t>Row Labels</t>
  </si>
  <si>
    <t>Grand Total</t>
  </si>
  <si>
    <t>Values</t>
  </si>
  <si>
    <t>Sum of Deal Value ($)</t>
  </si>
  <si>
    <t xml:space="preserve">  Total Calls</t>
  </si>
  <si>
    <t xml:space="preserve">  Calls Reached</t>
  </si>
  <si>
    <t xml:space="preserve">  Deals Closed</t>
  </si>
  <si>
    <t xml:space="preserve">  Deal Value ($)</t>
  </si>
  <si>
    <t>Jan</t>
  </si>
  <si>
    <t>Feb</t>
  </si>
  <si>
    <t>Mar</t>
  </si>
  <si>
    <t>Apr</t>
  </si>
  <si>
    <t>May</t>
  </si>
  <si>
    <t>Jun</t>
  </si>
  <si>
    <t>Jul</t>
  </si>
  <si>
    <t>Aug</t>
  </si>
  <si>
    <t>Sep</t>
  </si>
  <si>
    <t>Oct</t>
  </si>
  <si>
    <t>Nov</t>
  </si>
  <si>
    <t>Dec</t>
  </si>
  <si>
    <t>Average of Deal Value ($)</t>
  </si>
  <si>
    <t>Average of Call Drop Rate (%)</t>
  </si>
  <si>
    <t>Sales Agent 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</si>
</sst>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8" formatCode="&quot;$&quot;#,##0"/>
  </numFmts>
  <fonts count="7" x14ac:knownFonts="1">
    <font>
      <sz val="11"/>
      <color theme="1"/>
      <name val="Aptos Narrow"/>
      <family val="2"/>
      <scheme val="minor"/>
    </font>
    <font>
      <sz val="11"/>
      <color theme="1"/>
      <name val="Aptos Narrow"/>
      <family val="2"/>
      <scheme val="minor"/>
    </font>
    <font>
      <b/>
      <sz val="11"/>
      <name val="Aptos Narrow"/>
      <family val="2"/>
      <scheme val="minor"/>
    </font>
    <font>
      <sz val="11"/>
      <name val="Aptos Narrow"/>
      <family val="2"/>
      <scheme val="minor"/>
    </font>
    <font>
      <b/>
      <sz val="18"/>
      <color theme="5" tint="0.79998168889431442"/>
      <name val="Amasis MT Pro Medium"/>
      <family val="1"/>
    </font>
    <font>
      <sz val="11"/>
      <color rgb="FFFFFF00"/>
      <name val="Amasis MT Pro"/>
      <family val="1"/>
    </font>
    <font>
      <sz val="16"/>
      <color rgb="FFFFFF00"/>
      <name val="Amasis MT Pro Black"/>
      <family val="1"/>
    </font>
  </fonts>
  <fills count="5">
    <fill>
      <patternFill patternType="none"/>
    </fill>
    <fill>
      <patternFill patternType="gray125"/>
    </fill>
    <fill>
      <patternFill patternType="solid">
        <fgColor rgb="FF002060"/>
        <bgColor indexed="64"/>
      </patternFill>
    </fill>
    <fill>
      <patternFill patternType="solid">
        <fgColor theme="7" tint="-0.499984740745262"/>
        <bgColor indexed="64"/>
      </patternFill>
    </fill>
    <fill>
      <patternFill patternType="solid">
        <fgColor theme="4"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2" fillId="0" borderId="0" xfId="0" applyFont="1"/>
    <xf numFmtId="14" fontId="2" fillId="0" borderId="0" xfId="0" applyNumberFormat="1" applyFont="1"/>
    <xf numFmtId="9" fontId="2" fillId="0" borderId="0" xfId="1" applyFont="1" applyFill="1" applyBorder="1"/>
    <xf numFmtId="0" fontId="3" fillId="0" borderId="0" xfId="0" applyFont="1"/>
    <xf numFmtId="14" fontId="3" fillId="0" borderId="0" xfId="0" applyNumberFormat="1" applyFont="1"/>
    <xf numFmtId="9" fontId="3" fillId="0" borderId="0" xfId="1" applyFont="1" applyFill="1" applyBorder="1"/>
    <xf numFmtId="0" fontId="0" fillId="2" borderId="0" xfId="0" applyFill="1"/>
    <xf numFmtId="0" fontId="0" fillId="3" borderId="0" xfId="0" applyFill="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168" fontId="0" fillId="0" borderId="0" xfId="0" applyNumberFormat="1"/>
    <xf numFmtId="0" fontId="4" fillId="3" borderId="0" xfId="0" applyFont="1" applyFill="1" applyAlignment="1">
      <alignment horizontal="left" vertical="center"/>
    </xf>
    <xf numFmtId="0" fontId="5" fillId="3" borderId="0" xfId="0" applyFont="1" applyFill="1" applyAlignment="1"/>
    <xf numFmtId="0" fontId="0" fillId="3" borderId="0" xfId="0" applyFill="1" applyAlignment="1"/>
    <xf numFmtId="0" fontId="5" fillId="3" borderId="0" xfId="0" applyFont="1" applyFill="1" applyAlignment="1">
      <alignment horizontal="center"/>
    </xf>
    <xf numFmtId="9" fontId="0" fillId="0" borderId="0" xfId="0" applyNumberFormat="1"/>
    <xf numFmtId="0" fontId="6" fillId="4" borderId="0" xfId="0" applyFont="1" applyFill="1" applyAlignment="1">
      <alignment horizontal="center" vertical="center"/>
    </xf>
  </cellXfs>
  <cellStyles count="2">
    <cellStyle name="Normal" xfId="0" builtinId="0"/>
    <cellStyle name="Percent" xfId="1" builtinId="5"/>
  </cellStyles>
  <dxfs count="11">
    <dxf>
      <font>
        <b val="0"/>
        <i val="0"/>
        <strike val="0"/>
        <condense val="0"/>
        <extend val="0"/>
        <outline val="0"/>
        <shadow val="0"/>
        <u val="none"/>
        <vertAlign val="baseline"/>
        <sz val="11"/>
        <color auto="1"/>
        <name val="Aptos Narrow"/>
        <family val="2"/>
        <scheme val="minor"/>
      </font>
      <numFmt numFmtId="13" formatCode="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3" formatCode="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9" formatCode="dd/mm/yy"/>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i val="0"/>
        <strike val="0"/>
        <condense val="0"/>
        <extend val="0"/>
        <outline val="0"/>
        <shadow val="0"/>
        <u val="none"/>
        <vertAlign val="baseline"/>
        <sz val="11"/>
        <color auto="1"/>
        <name val="Aptos Narrow"/>
        <family val="2"/>
        <scheme val="minor"/>
      </font>
      <fill>
        <patternFill patternType="none">
          <fgColor indexed="64"/>
          <bgColor indexed="65"/>
        </patternFill>
      </fill>
    </dxf>
  </dxfs>
  <tableStyles count="1" defaultTableStyle="TableStyleMedium2" defaultPivotStyle="PivotStyleLight16">
    <tableStyle name="Invisible" pivot="0" table="0" count="0" xr9:uid="{E6BDC154-02BB-47AE-A85C-6E2CA619EDD2}"/>
  </tableStyles>
  <colors>
    <mruColors>
      <color rgb="FF97E1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5.xlsx]provite data!Month value</c:name>
    <c:fmtId val="4"/>
  </c:pivotSource>
  <c:chart>
    <c:autoTitleDeleted val="1"/>
    <c:pivotFmts>
      <c:pivotFmt>
        <c:idx val="0"/>
        <c:spPr>
          <a:solidFill>
            <a:schemeClr val="accent3">
              <a:lumMod val="60000"/>
              <a:lumOff val="40000"/>
              <a:alpha val="7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alpha val="7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alpha val="7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alpha val="7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alpha val="7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00B050"/>
                    </a:solidFill>
                  </a:ln>
                  <a:no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alpha val="70000"/>
            </a:srgb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FFFF00"/>
                    </a:solidFill>
                  </a:ln>
                  <a:no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'provite data'!$B$9</c:f>
              <c:strCache>
                <c:ptCount val="1"/>
                <c:pt idx="0">
                  <c:v>Sum of Deals Closed</c:v>
                </c:pt>
              </c:strCache>
            </c:strRef>
          </c:tx>
          <c:spPr>
            <a:solidFill>
              <a:schemeClr val="accent3">
                <a:lumMod val="60000"/>
                <a:lumOff val="40000"/>
                <a:alpha val="7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00B050"/>
                      </a:solidFill>
                    </a:ln>
                    <a:no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'provite data'!$A$10:$A$22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'provite data'!$B$10:$B$22</c:f>
              <c:numCache>
                <c:formatCode>General</c:formatCode>
                <c:ptCount val="12"/>
                <c:pt idx="0">
                  <c:v>115</c:v>
                </c:pt>
                <c:pt idx="1">
                  <c:v>118</c:v>
                </c:pt>
                <c:pt idx="2">
                  <c:v>112</c:v>
                </c:pt>
                <c:pt idx="3">
                  <c:v>113</c:v>
                </c:pt>
                <c:pt idx="4">
                  <c:v>110</c:v>
                </c:pt>
                <c:pt idx="5">
                  <c:v>110</c:v>
                </c:pt>
                <c:pt idx="6">
                  <c:v>104</c:v>
                </c:pt>
                <c:pt idx="7">
                  <c:v>98</c:v>
                </c:pt>
                <c:pt idx="8">
                  <c:v>108</c:v>
                </c:pt>
                <c:pt idx="9">
                  <c:v>107</c:v>
                </c:pt>
                <c:pt idx="10">
                  <c:v>108</c:v>
                </c:pt>
                <c:pt idx="11">
                  <c:v>106</c:v>
                </c:pt>
              </c:numCache>
            </c:numRef>
          </c:val>
          <c:extLst>
            <c:ext xmlns:c16="http://schemas.microsoft.com/office/drawing/2014/chart" uri="{C3380CC4-5D6E-409C-BE32-E72D297353CC}">
              <c16:uniqueId val="{00000000-4FA3-49E1-978D-71A8296E123C}"/>
            </c:ext>
          </c:extLst>
        </c:ser>
        <c:ser>
          <c:idx val="1"/>
          <c:order val="1"/>
          <c:tx>
            <c:strRef>
              <c:f>'provite data'!$C$9</c:f>
              <c:strCache>
                <c:ptCount val="1"/>
                <c:pt idx="0">
                  <c:v>Sum of Calls Reached</c:v>
                </c:pt>
              </c:strCache>
            </c:strRef>
          </c:tx>
          <c:spPr>
            <a:solidFill>
              <a:srgbClr val="FFFF00">
                <a:alpha val="70000"/>
              </a:srgb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rgbClr val="FFFF00"/>
                      </a:solidFill>
                    </a:ln>
                    <a:no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'provite data'!$A$10:$A$22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'provite data'!$C$10:$C$22</c:f>
              <c:numCache>
                <c:formatCode>General</c:formatCode>
                <c:ptCount val="12"/>
                <c:pt idx="0">
                  <c:v>301</c:v>
                </c:pt>
                <c:pt idx="1">
                  <c:v>311</c:v>
                </c:pt>
                <c:pt idx="2">
                  <c:v>300</c:v>
                </c:pt>
                <c:pt idx="3">
                  <c:v>298</c:v>
                </c:pt>
                <c:pt idx="4">
                  <c:v>307</c:v>
                </c:pt>
                <c:pt idx="5">
                  <c:v>305</c:v>
                </c:pt>
                <c:pt idx="6">
                  <c:v>293</c:v>
                </c:pt>
                <c:pt idx="7">
                  <c:v>301</c:v>
                </c:pt>
                <c:pt idx="8">
                  <c:v>307</c:v>
                </c:pt>
                <c:pt idx="9">
                  <c:v>299</c:v>
                </c:pt>
                <c:pt idx="10">
                  <c:v>306</c:v>
                </c:pt>
                <c:pt idx="11">
                  <c:v>291</c:v>
                </c:pt>
              </c:numCache>
            </c:numRef>
          </c:val>
          <c:extLst>
            <c:ext xmlns:c16="http://schemas.microsoft.com/office/drawing/2014/chart" uri="{C3380CC4-5D6E-409C-BE32-E72D297353CC}">
              <c16:uniqueId val="{00000001-4FA3-49E1-978D-71A8296E123C}"/>
            </c:ext>
          </c:extLst>
        </c:ser>
        <c:dLbls>
          <c:showLegendKey val="0"/>
          <c:showVal val="0"/>
          <c:showCatName val="0"/>
          <c:showSerName val="0"/>
          <c:showPercent val="0"/>
          <c:showBubbleSize val="0"/>
        </c:dLbls>
        <c:gapWidth val="56"/>
        <c:overlap val="-38"/>
        <c:axId val="776033424"/>
        <c:axId val="776033904"/>
      </c:barChart>
      <c:catAx>
        <c:axId val="7760334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3175">
                  <a:solidFill>
                    <a:schemeClr val="bg1">
                      <a:alpha val="81000"/>
                    </a:schemeClr>
                  </a:solidFill>
                </a:ln>
                <a:noFill/>
                <a:latin typeface="+mn-lt"/>
                <a:ea typeface="+mn-ea"/>
                <a:cs typeface="+mn-cs"/>
              </a:defRPr>
            </a:pPr>
            <a:endParaRPr lang="en-US"/>
          </a:p>
        </c:txPr>
        <c:crossAx val="776033904"/>
        <c:crosses val="autoZero"/>
        <c:auto val="1"/>
        <c:lblAlgn val="ctr"/>
        <c:lblOffset val="100"/>
        <c:noMultiLvlLbl val="0"/>
      </c:catAx>
      <c:valAx>
        <c:axId val="776033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776033424"/>
        <c:crosses val="autoZero"/>
        <c:crossBetween val="between"/>
      </c:valAx>
      <c:spPr>
        <a:noFill/>
        <a:ln>
          <a:noFill/>
        </a:ln>
        <a:effectLst>
          <a:outerShdw blurRad="63500" sx="102000" sy="102000" algn="ctr" rotWithShape="0">
            <a:prstClr val="black">
              <a:alpha val="40000"/>
            </a:prstClr>
          </a:outerShdw>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w="0">
                <a:solidFill>
                  <a:schemeClr val="bg1">
                    <a:alpha val="94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5.xlsx]provite data!Total Deal Value</c:name>
    <c:fmtId val="3"/>
  </c:pivotSource>
  <c:chart>
    <c:title>
      <c:tx>
        <c:rich>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r>
              <a:rPr lang="en-US">
                <a:solidFill>
                  <a:srgbClr val="FFC000"/>
                </a:solidFill>
                <a:latin typeface="Amasis MT Pro" panose="02040504050005020304" pitchFamily="18" charset="0"/>
              </a:rPr>
              <a:t>Total</a:t>
            </a:r>
            <a:r>
              <a:rPr lang="en-US" baseline="0">
                <a:solidFill>
                  <a:srgbClr val="FFC000"/>
                </a:solidFill>
                <a:latin typeface="Amasis MT Pro" panose="02040504050005020304" pitchFamily="18" charset="0"/>
              </a:rPr>
              <a:t> Deal Value</a:t>
            </a:r>
            <a:endParaRPr lang="en-US">
              <a:solidFill>
                <a:srgbClr val="FFC000"/>
              </a:solidFill>
              <a:latin typeface="Amasis MT Pro" panose="02040504050005020304" pitchFamily="18" charset="0"/>
            </a:endParaRPr>
          </a:p>
        </c:rich>
      </c:tx>
      <c:layout>
        <c:manualLayout>
          <c:xMode val="edge"/>
          <c:yMode val="edge"/>
          <c:x val="6.0971128608924138E-3"/>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7E1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'provite data'!$F$9</c:f>
              <c:strCache>
                <c:ptCount val="1"/>
                <c:pt idx="0">
                  <c:v>Total</c:v>
                </c:pt>
              </c:strCache>
            </c:strRef>
          </c:tx>
          <c:spPr>
            <a:solidFill>
              <a:srgbClr val="97E111"/>
            </a:solidFill>
            <a:ln>
              <a:noFill/>
            </a:ln>
            <a:effectLst/>
          </c:spPr>
          <c:invertIfNegative val="0"/>
          <c:trendline>
            <c:spPr>
              <a:ln w="19050" cap="rnd">
                <a:solidFill>
                  <a:srgbClr val="FFFF00"/>
                </a:solidFill>
                <a:prstDash val="sysDot"/>
              </a:ln>
              <a:effectLst/>
            </c:spPr>
            <c:trendlineType val="movingAvg"/>
            <c:period val="2"/>
            <c:dispRSqr val="0"/>
            <c:dispEq val="0"/>
          </c:trendline>
          <c:cat>
            <c:strRef>
              <c:f>'provite data'!$E$10:$E$22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'provite data'!$F$10:$F$22</c:f>
              <c:numCache>
                <c:formatCode>"$"#,##0</c:formatCode>
                <c:ptCount val="12"/>
                <c:pt idx="0">
                  <c:v>57863.17</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extLst>
            <c:ext xmlns:c16="http://schemas.microsoft.com/office/drawing/2014/chart" uri="{C3380CC4-5D6E-409C-BE32-E72D297353CC}">
              <c16:uniqueId val="{00000001-93DB-4CA8-9092-CE67865ED737}"/>
            </c:ext>
          </c:extLst>
        </c:ser>
        <c:dLbls>
          <c:showLegendKey val="0"/>
          <c:showVal val="0"/>
          <c:showCatName val="0"/>
          <c:showSerName val="0"/>
          <c:showPercent val="0"/>
          <c:showBubbleSize val="0"/>
        </c:dLbls>
        <c:gapWidth val="219"/>
        <c:overlap val="-27"/>
        <c:axId val="776006064"/>
        <c:axId val="775989744"/>
      </c:barChart>
      <c:catAx>
        <c:axId val="77600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775989744"/>
        <c:crosses val="autoZero"/>
        <c:auto val="1"/>
        <c:lblAlgn val="ctr"/>
        <c:lblOffset val="100"/>
        <c:noMultiLvlLbl val="0"/>
      </c:catAx>
      <c:valAx>
        <c:axId val="77598974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crossAx val="776006064"/>
        <c:crosses val="autoZero"/>
        <c:crossBetween val="between"/>
      </c:valAx>
      <c:spPr>
        <a:noFill/>
        <a:ln>
          <a:noFill/>
        </a:ln>
        <a:effectLst>
          <a:outerShdw blurRad="63500" sx="102000" sy="102000" algn="ctr" rotWithShape="0">
            <a:prstClr val="black">
              <a:alpha val="40000"/>
            </a:prstClr>
          </a:outerShdw>
        </a:effectLst>
      </c:spPr>
    </c:plotArea>
    <c:legend>
      <c:legendPos val="t"/>
      <c:layout>
        <c:manualLayout>
          <c:xMode val="edge"/>
          <c:yMode val="edge"/>
          <c:x val="0.55645188101487308"/>
          <c:y val="0.1290255905511811"/>
          <c:w val="0.42598490813648293"/>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FC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5.xlsx]provite data!Average Call Duration</c:name>
    <c:fmtId val="7"/>
  </c:pivotSource>
  <c:chart>
    <c:title>
      <c:tx>
        <c:rich>
          <a:bodyPr rot="0" spcFirstLastPara="1" vertOverflow="ellipsis" vert="horz" wrap="square" anchor="ctr" anchorCtr="1"/>
          <a:lstStyle/>
          <a:p>
            <a:pPr>
              <a:defRPr sz="1200" b="0" i="0" u="none" strike="noStrike" kern="1200" spc="0" baseline="0">
                <a:solidFill>
                  <a:srgbClr val="00B050"/>
                </a:solidFill>
                <a:latin typeface="Amasis MT Pro" panose="02040504050005020304" pitchFamily="18" charset="0"/>
                <a:ea typeface="+mn-ea"/>
                <a:cs typeface="+mn-cs"/>
              </a:defRPr>
            </a:pPr>
            <a:r>
              <a:rPr lang="en-US" sz="1200">
                <a:solidFill>
                  <a:srgbClr val="00B050"/>
                </a:solidFill>
                <a:latin typeface="Amasis MT Pro" panose="02040504050005020304" pitchFamily="18" charset="0"/>
              </a:rPr>
              <a:t>Average</a:t>
            </a:r>
            <a:r>
              <a:rPr lang="en-US" sz="1200" baseline="0">
                <a:solidFill>
                  <a:srgbClr val="00B050"/>
                </a:solidFill>
                <a:latin typeface="Amasis MT Pro" panose="02040504050005020304" pitchFamily="18" charset="0"/>
              </a:rPr>
              <a:t> Call Duration</a:t>
            </a:r>
            <a:endParaRPr lang="en-US" sz="1200">
              <a:solidFill>
                <a:srgbClr val="00B050"/>
              </a:solidFill>
              <a:latin typeface="Amasis MT Pro" panose="02040504050005020304" pitchFamily="18" charset="0"/>
            </a:endParaRPr>
          </a:p>
        </c:rich>
      </c:tx>
      <c:layout>
        <c:manualLayout>
          <c:xMode val="edge"/>
          <c:yMode val="edge"/>
          <c:x val="1.3044019571525838E-2"/>
          <c:y val="1.511960530250174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00B050"/>
              </a:solidFill>
              <a:latin typeface="Amasis MT Pro" panose="020405040500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alpha val="71000"/>
            </a:schemeClr>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70494690025899"/>
          <c:y val="0.20506329113924049"/>
          <c:w val="0.70603622404227839"/>
          <c:h val="0.63596033090800363"/>
        </c:manualLayout>
      </c:layout>
      <c:barChart>
        <c:barDir val="col"/>
        <c:grouping val="clustered"/>
        <c:varyColors val="0"/>
        <c:ser>
          <c:idx val="0"/>
          <c:order val="0"/>
          <c:tx>
            <c:strRef>
              <c:f>'provite data'!$J$9</c:f>
              <c:strCache>
                <c:ptCount val="1"/>
                <c:pt idx="0">
                  <c:v>Total</c:v>
                </c:pt>
              </c:strCache>
            </c:strRef>
          </c:tx>
          <c:spPr>
            <a:solidFill>
              <a:schemeClr val="accent3">
                <a:lumMod val="60000"/>
                <a:lumOff val="40000"/>
                <a:alpha val="71000"/>
              </a:schemeClr>
            </a:solidFill>
            <a:ln>
              <a:noFill/>
            </a:ln>
            <a:effectLst>
              <a:outerShdw blurRad="63500" sx="102000" sy="102000" algn="ctr" rotWithShape="0">
                <a:prstClr val="black">
                  <a:alpha val="40000"/>
                </a:prstClr>
              </a:outerShdw>
            </a:effectLst>
          </c:spPr>
          <c:invertIfNegative val="0"/>
          <c:cat>
            <c:strRef>
              <c:f>'provite data'!$I$10:$I$22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'provite data'!$J$10:$J$22</c:f>
              <c:numCache>
                <c:formatCode>"$"#,##0</c:formatCode>
                <c:ptCount val="12"/>
                <c:pt idx="0">
                  <c:v>2225.5065384615382</c:v>
                </c:pt>
                <c:pt idx="1">
                  <c:v>2278.0930769230768</c:v>
                </c:pt>
                <c:pt idx="2">
                  <c:v>2312.5769230769229</c:v>
                </c:pt>
                <c:pt idx="3">
                  <c:v>2254.0157692307694</c:v>
                </c:pt>
                <c:pt idx="4">
                  <c:v>2252.4623076923071</c:v>
                </c:pt>
                <c:pt idx="5">
                  <c:v>2240.7973076923076</c:v>
                </c:pt>
                <c:pt idx="6">
                  <c:v>2263.3011538461537</c:v>
                </c:pt>
                <c:pt idx="7">
                  <c:v>2256.4661538461546</c:v>
                </c:pt>
                <c:pt idx="8">
                  <c:v>2270.2003846153848</c:v>
                </c:pt>
                <c:pt idx="9">
                  <c:v>2255.9211538461536</c:v>
                </c:pt>
                <c:pt idx="10">
                  <c:v>2274.4850000000001</c:v>
                </c:pt>
                <c:pt idx="11">
                  <c:v>2277.5161538461534</c:v>
                </c:pt>
              </c:numCache>
            </c:numRef>
          </c:val>
          <c:extLst>
            <c:ext xmlns:c16="http://schemas.microsoft.com/office/drawing/2014/chart" uri="{C3380CC4-5D6E-409C-BE32-E72D297353CC}">
              <c16:uniqueId val="{00000000-47C2-45A8-B0D7-03D1D49B9057}"/>
            </c:ext>
          </c:extLst>
        </c:ser>
        <c:dLbls>
          <c:showLegendKey val="0"/>
          <c:showVal val="0"/>
          <c:showCatName val="0"/>
          <c:showSerName val="0"/>
          <c:showPercent val="0"/>
          <c:showBubbleSize val="0"/>
        </c:dLbls>
        <c:gapWidth val="61"/>
        <c:overlap val="-11"/>
        <c:axId val="776003664"/>
        <c:axId val="776002224"/>
      </c:barChart>
      <c:catAx>
        <c:axId val="77600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crossAx val="776002224"/>
        <c:crosses val="autoZero"/>
        <c:auto val="1"/>
        <c:lblAlgn val="ctr"/>
        <c:lblOffset val="100"/>
        <c:noMultiLvlLbl val="0"/>
      </c:catAx>
      <c:valAx>
        <c:axId val="776002224"/>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7E111"/>
                </a:solidFill>
                <a:latin typeface="+mn-lt"/>
                <a:ea typeface="+mn-ea"/>
                <a:cs typeface="+mn-cs"/>
              </a:defRPr>
            </a:pPr>
            <a:endParaRPr lang="en-US"/>
          </a:p>
        </c:txPr>
        <c:crossAx val="776003664"/>
        <c:crosses val="autoZero"/>
        <c:crossBetween val="between"/>
      </c:valAx>
      <c:spPr>
        <a:noFill/>
        <a:ln>
          <a:noFill/>
        </a:ln>
        <a:effectLst>
          <a:outerShdw blurRad="63500" sx="102000" sy="102000" algn="ctr"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5.xlsx]provite data!Avareage call Drop rate</c:name>
    <c:fmtId val="11"/>
  </c:pivotSource>
  <c:chart>
    <c:title>
      <c:tx>
        <c:rich>
          <a:bodyPr rot="0" spcFirstLastPara="1" vertOverflow="ellipsis" vert="horz" wrap="square" anchor="ctr" anchorCtr="1"/>
          <a:lstStyle/>
          <a:p>
            <a:pPr>
              <a:defRPr sz="1200" b="0" i="0" u="none" strike="noStrike" kern="1200" spc="0" baseline="0">
                <a:solidFill>
                  <a:srgbClr val="FFC000"/>
                </a:solidFill>
                <a:latin typeface="Amasis MT Pro Light" panose="02040304050005020304" pitchFamily="18" charset="0"/>
                <a:ea typeface="+mn-ea"/>
                <a:cs typeface="+mn-cs"/>
              </a:defRPr>
            </a:pPr>
            <a:r>
              <a:rPr lang="en-US" sz="1200">
                <a:solidFill>
                  <a:srgbClr val="FFC000"/>
                </a:solidFill>
                <a:latin typeface="Amasis MT Pro Light" panose="02040304050005020304" pitchFamily="18" charset="0"/>
              </a:rPr>
              <a:t>Avarage</a:t>
            </a:r>
            <a:r>
              <a:rPr lang="en-US" sz="1200" baseline="0">
                <a:solidFill>
                  <a:srgbClr val="FFC000"/>
                </a:solidFill>
                <a:latin typeface="Amasis MT Pro Light" panose="02040304050005020304" pitchFamily="18" charset="0"/>
              </a:rPr>
              <a:t> Call Drop Range</a:t>
            </a:r>
            <a:endParaRPr lang="en-US" sz="1200">
              <a:solidFill>
                <a:srgbClr val="FFC000"/>
              </a:solidFill>
              <a:latin typeface="Amasis MT Pro Light" panose="02040304050005020304" pitchFamily="18" charset="0"/>
            </a:endParaRPr>
          </a:p>
        </c:rich>
      </c:tx>
      <c:layout>
        <c:manualLayout>
          <c:xMode val="edge"/>
          <c:yMode val="edge"/>
          <c:x val="5.6816397352934854E-3"/>
          <c:y val="2.531645569620253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FFC000"/>
              </a:solidFill>
              <a:latin typeface="Amasis MT Pro Light" panose="02040304050005020304" pitchFamily="18" charset="0"/>
              <a:ea typeface="+mn-ea"/>
              <a:cs typeface="+mn-cs"/>
            </a:defRPr>
          </a:pPr>
          <a:endParaRPr lang="en-US"/>
        </a:p>
      </c:txPr>
    </c:title>
    <c:autoTitleDeleted val="0"/>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alpha val="83000"/>
            </a:srgbClr>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'provite data'!$F$29</c:f>
              <c:strCache>
                <c:ptCount val="1"/>
                <c:pt idx="0">
                  <c:v>Total</c:v>
                </c:pt>
              </c:strCache>
            </c:strRef>
          </c:tx>
          <c:spPr>
            <a:solidFill>
              <a:srgbClr val="FFC000">
                <a:alpha val="83000"/>
              </a:srgbClr>
            </a:solidFill>
            <a:ln>
              <a:noFill/>
            </a:ln>
            <a:effectLst>
              <a:outerShdw blurRad="63500" sx="102000" sy="102000" algn="ctr" rotWithShape="0">
                <a:prstClr val="black">
                  <a:alpha val="40000"/>
                </a:prstClr>
              </a:outerShdw>
            </a:effectLst>
          </c:spPr>
          <c:cat>
            <c:strRef>
              <c:f>'provite data'!$E$30:$E$42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'provite data'!$F$30:$F$42</c:f>
              <c:numCache>
                <c:formatCode>0%</c:formatCode>
                <c:ptCount val="12"/>
                <c:pt idx="0">
                  <c:v>4.9788461538461531E-2</c:v>
                </c:pt>
                <c:pt idx="1">
                  <c:v>5.0319230769230769E-2</c:v>
                </c:pt>
                <c:pt idx="2">
                  <c:v>4.9880769230769229E-2</c:v>
                </c:pt>
                <c:pt idx="3">
                  <c:v>4.9753846153846155E-2</c:v>
                </c:pt>
                <c:pt idx="4">
                  <c:v>5.0103846153846145E-2</c:v>
                </c:pt>
                <c:pt idx="5">
                  <c:v>4.9250000000000009E-2</c:v>
                </c:pt>
                <c:pt idx="6">
                  <c:v>4.990384615384616E-2</c:v>
                </c:pt>
                <c:pt idx="7">
                  <c:v>5.0603846153846159E-2</c:v>
                </c:pt>
                <c:pt idx="8">
                  <c:v>5.0026923076923066E-2</c:v>
                </c:pt>
                <c:pt idx="9">
                  <c:v>4.9438461538461535E-2</c:v>
                </c:pt>
                <c:pt idx="10">
                  <c:v>4.9250000000000002E-2</c:v>
                </c:pt>
                <c:pt idx="11">
                  <c:v>4.9996153846153864E-2</c:v>
                </c:pt>
              </c:numCache>
            </c:numRef>
          </c:val>
          <c:extLst>
            <c:ext xmlns:c16="http://schemas.microsoft.com/office/drawing/2014/chart" uri="{C3380CC4-5D6E-409C-BE32-E72D297353CC}">
              <c16:uniqueId val="{00000000-4AAC-4943-A6DA-C0858A9477F3}"/>
            </c:ext>
          </c:extLst>
        </c:ser>
        <c:dLbls>
          <c:showLegendKey val="0"/>
          <c:showVal val="0"/>
          <c:showCatName val="0"/>
          <c:showSerName val="0"/>
          <c:showPercent val="0"/>
          <c:showBubbleSize val="0"/>
        </c:dLbls>
        <c:axId val="12347168"/>
        <c:axId val="12345248"/>
      </c:areaChart>
      <c:catAx>
        <c:axId val="12347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12345248"/>
        <c:crosses val="autoZero"/>
        <c:auto val="1"/>
        <c:lblAlgn val="ctr"/>
        <c:lblOffset val="100"/>
        <c:noMultiLvlLbl val="0"/>
      </c:catAx>
      <c:valAx>
        <c:axId val="123452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12347168"/>
        <c:crosses val="autoZero"/>
        <c:crossBetween val="midCat"/>
      </c:valAx>
      <c:spPr>
        <a:noFill/>
        <a:ln>
          <a:noFill/>
        </a:ln>
        <a:effectLst>
          <a:outerShdw blurRad="63500" sx="102000" sy="102000" algn="ctr" rotWithShape="0">
            <a:prstClr val="black">
              <a:alpha val="40000"/>
            </a:prstClr>
          </a:outerShd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xdr:row>
      <xdr:rowOff>6350</xdr:rowOff>
    </xdr:from>
    <xdr:to>
      <xdr:col>2</xdr:col>
      <xdr:colOff>533400</xdr:colOff>
      <xdr:row>40</xdr:row>
      <xdr:rowOff>177800</xdr:rowOff>
    </xdr:to>
    <mc:AlternateContent xmlns:mc="http://schemas.openxmlformats.org/markup-compatibility/2006">
      <mc:Choice xmlns:a14="http://schemas.microsoft.com/office/drawing/2010/main" Requires="a14">
        <xdr:graphicFrame macro="">
          <xdr:nvGraphicFramePr>
            <xdr:cNvPr id="49" name="Name">
              <a:extLst>
                <a:ext uri="{FF2B5EF4-FFF2-40B4-BE49-F238E27FC236}">
                  <a16:creationId xmlns:a16="http://schemas.microsoft.com/office/drawing/2014/main" id="{8509EAEC-66BE-47C2-80BC-6BEA9E885A5C}"/>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0" y="1273175"/>
              <a:ext cx="1752600" cy="6143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42331</xdr:colOff>
      <xdr:row>7</xdr:row>
      <xdr:rowOff>8460</xdr:rowOff>
    </xdr:from>
    <xdr:to>
      <xdr:col>13</xdr:col>
      <xdr:colOff>220134</xdr:colOff>
      <xdr:row>20</xdr:row>
      <xdr:rowOff>25394</xdr:rowOff>
    </xdr:to>
    <xdr:graphicFrame macro="">
      <xdr:nvGraphicFramePr>
        <xdr:cNvPr id="55" name="Chart 54">
          <a:extLst>
            <a:ext uri="{FF2B5EF4-FFF2-40B4-BE49-F238E27FC236}">
              <a16:creationId xmlns:a16="http://schemas.microsoft.com/office/drawing/2014/main" id="{4200AF7F-A467-4056-BDC7-7BEC3F151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262467</xdr:colOff>
      <xdr:row>7</xdr:row>
      <xdr:rowOff>8468</xdr:rowOff>
    </xdr:from>
    <xdr:to>
      <xdr:col>18</xdr:col>
      <xdr:colOff>939800</xdr:colOff>
      <xdr:row>20</xdr:row>
      <xdr:rowOff>25400</xdr:rowOff>
    </xdr:to>
    <xdr:graphicFrame macro="">
      <xdr:nvGraphicFramePr>
        <xdr:cNvPr id="56" name="Chart 55">
          <a:extLst>
            <a:ext uri="{FF2B5EF4-FFF2-40B4-BE49-F238E27FC236}">
              <a16:creationId xmlns:a16="http://schemas.microsoft.com/office/drawing/2014/main" id="{CC1B2B54-F13E-4DA9-84C2-D30120E03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42332</xdr:colOff>
      <xdr:row>20</xdr:row>
      <xdr:rowOff>59267</xdr:rowOff>
    </xdr:from>
    <xdr:to>
      <xdr:col>13</xdr:col>
      <xdr:colOff>228600</xdr:colOff>
      <xdr:row>33</xdr:row>
      <xdr:rowOff>0</xdr:rowOff>
    </xdr:to>
    <xdr:graphicFrame macro="">
      <xdr:nvGraphicFramePr>
        <xdr:cNvPr id="57" name="Chart 56">
          <a:extLst>
            <a:ext uri="{FF2B5EF4-FFF2-40B4-BE49-F238E27FC236}">
              <a16:creationId xmlns:a16="http://schemas.microsoft.com/office/drawing/2014/main" id="{475E2371-B4C9-49E5-A1F2-1B92A4F4F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262467</xdr:colOff>
      <xdr:row>20</xdr:row>
      <xdr:rowOff>59267</xdr:rowOff>
    </xdr:from>
    <xdr:to>
      <xdr:col>18</xdr:col>
      <xdr:colOff>939800</xdr:colOff>
      <xdr:row>32</xdr:row>
      <xdr:rowOff>186266</xdr:rowOff>
    </xdr:to>
    <xdr:graphicFrame macro="">
      <xdr:nvGraphicFramePr>
        <xdr:cNvPr id="58" name="Chart 57">
          <a:extLst>
            <a:ext uri="{FF2B5EF4-FFF2-40B4-BE49-F238E27FC236}">
              <a16:creationId xmlns:a16="http://schemas.microsoft.com/office/drawing/2014/main" id="{CE0F1314-185F-4143-9B55-54214187F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592666</xdr:colOff>
      <xdr:row>33</xdr:row>
      <xdr:rowOff>110066</xdr:rowOff>
    </xdr:from>
    <xdr:to>
      <xdr:col>9</xdr:col>
      <xdr:colOff>330199</xdr:colOff>
      <xdr:row>39</xdr:row>
      <xdr:rowOff>104986</xdr:rowOff>
    </xdr:to>
    <mc:AlternateContent xmlns:mc="http://schemas.openxmlformats.org/markup-compatibility/2006">
      <mc:Choice xmlns:tsle="http://schemas.microsoft.com/office/drawing/2012/timeslicer" Requires="tsle">
        <xdr:graphicFrame macro="">
          <xdr:nvGraphicFramePr>
            <xdr:cNvPr id="61" name="Date">
              <a:extLst>
                <a:ext uri="{FF2B5EF4-FFF2-40B4-BE49-F238E27FC236}">
                  <a16:creationId xmlns:a16="http://schemas.microsoft.com/office/drawing/2014/main" id="{6206173D-71E3-4281-8C87-A1921CE4FEFF}"/>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811866" y="6082241"/>
              <a:ext cx="6062133" cy="108077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4</xdr:col>
      <xdr:colOff>696806</xdr:colOff>
      <xdr:row>0</xdr:row>
      <xdr:rowOff>157480</xdr:rowOff>
    </xdr:from>
    <xdr:to>
      <xdr:col>5</xdr:col>
      <xdr:colOff>1334104</xdr:colOff>
      <xdr:row>4</xdr:row>
      <xdr:rowOff>134619</xdr:rowOff>
    </xdr:to>
    <xdr:grpSp>
      <xdr:nvGrpSpPr>
        <xdr:cNvPr id="54" name="Group 53">
          <a:extLst>
            <a:ext uri="{FF2B5EF4-FFF2-40B4-BE49-F238E27FC236}">
              <a16:creationId xmlns:a16="http://schemas.microsoft.com/office/drawing/2014/main" id="{982AD64E-72A6-5CC2-27BE-2465E7CD7454}"/>
            </a:ext>
          </a:extLst>
        </xdr:cNvPr>
        <xdr:cNvGrpSpPr/>
      </xdr:nvGrpSpPr>
      <xdr:grpSpPr>
        <a:xfrm>
          <a:off x="3287606" y="157480"/>
          <a:ext cx="1799348" cy="701039"/>
          <a:chOff x="3253740" y="216747"/>
          <a:chExt cx="1797231" cy="722206"/>
        </a:xfrm>
      </xdr:grpSpPr>
      <xdr:grpSp>
        <xdr:nvGrpSpPr>
          <xdr:cNvPr id="13" name="Group 12">
            <a:extLst>
              <a:ext uri="{FF2B5EF4-FFF2-40B4-BE49-F238E27FC236}">
                <a16:creationId xmlns:a16="http://schemas.microsoft.com/office/drawing/2014/main" id="{D077DB80-2B03-6540-7F2D-D31E1C605589}"/>
              </a:ext>
            </a:extLst>
          </xdr:cNvPr>
          <xdr:cNvGrpSpPr/>
        </xdr:nvGrpSpPr>
        <xdr:grpSpPr>
          <a:xfrm>
            <a:off x="3253740" y="216747"/>
            <a:ext cx="1797231" cy="722206"/>
            <a:chOff x="3253740" y="215537"/>
            <a:chExt cx="1797231" cy="717369"/>
          </a:xfrm>
        </xdr:grpSpPr>
        <xdr:sp macro="" textlink="">
          <xdr:nvSpPr>
            <xdr:cNvPr id="2" name="Rectangle: Rounded Corners 1">
              <a:extLst>
                <a:ext uri="{FF2B5EF4-FFF2-40B4-BE49-F238E27FC236}">
                  <a16:creationId xmlns:a16="http://schemas.microsoft.com/office/drawing/2014/main" id="{60D7C1DA-29C4-64AA-096C-4410DB3F4995}"/>
                </a:ext>
              </a:extLst>
            </xdr:cNvPr>
            <xdr:cNvSpPr/>
          </xdr:nvSpPr>
          <xdr:spPr>
            <a:xfrm>
              <a:off x="3253740" y="215537"/>
              <a:ext cx="1797231" cy="717369"/>
            </a:xfrm>
            <a:prstGeom prst="roundRect">
              <a:avLst>
                <a:gd name="adj" fmla="val 23119"/>
              </a:avLst>
            </a:prstGeom>
            <a:solidFill>
              <a:schemeClr val="accent6">
                <a:lumMod val="40000"/>
                <a:lumOff val="60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a:extLst>
                <a:ext uri="{FF2B5EF4-FFF2-40B4-BE49-F238E27FC236}">
                  <a16:creationId xmlns:a16="http://schemas.microsoft.com/office/drawing/2014/main" id="{157A6BAF-E466-110D-3DF6-C732A2F25200}"/>
                </a:ext>
              </a:extLst>
            </xdr:cNvPr>
            <xdr:cNvSpPr/>
          </xdr:nvSpPr>
          <xdr:spPr>
            <a:xfrm>
              <a:off x="3254830" y="244929"/>
              <a:ext cx="141514" cy="669471"/>
            </a:xfrm>
            <a:prstGeom prst="roundRect">
              <a:avLst>
                <a:gd name="adj" fmla="val 50000"/>
              </a:avLst>
            </a:prstGeom>
            <a:solidFill>
              <a:schemeClr val="accent3">
                <a:lumMod val="7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8" name="Straight Connector 7">
              <a:extLst>
                <a:ext uri="{FF2B5EF4-FFF2-40B4-BE49-F238E27FC236}">
                  <a16:creationId xmlns:a16="http://schemas.microsoft.com/office/drawing/2014/main" id="{27E7B0CF-ABB2-936E-B03A-27F41F6EA83D}"/>
                </a:ext>
              </a:extLst>
            </xdr:cNvPr>
            <xdr:cNvCxnSpPr/>
          </xdr:nvCxnSpPr>
          <xdr:spPr>
            <a:xfrm>
              <a:off x="3924300" y="250372"/>
              <a:ext cx="5443" cy="642257"/>
            </a:xfrm>
            <a:prstGeom prst="line">
              <a:avLst/>
            </a:prstGeom>
          </xdr:spPr>
          <xdr:style>
            <a:lnRef idx="3">
              <a:schemeClr val="accent3"/>
            </a:lnRef>
            <a:fillRef idx="0">
              <a:schemeClr val="accent3"/>
            </a:fillRef>
            <a:effectRef idx="2">
              <a:schemeClr val="accent3"/>
            </a:effectRef>
            <a:fontRef idx="minor">
              <a:schemeClr val="tx1"/>
            </a:fontRef>
          </xdr:style>
        </xdr:cxnSp>
      </xdr:grpSp>
      <xdr:grpSp>
        <xdr:nvGrpSpPr>
          <xdr:cNvPr id="50" name="Group 49">
            <a:extLst>
              <a:ext uri="{FF2B5EF4-FFF2-40B4-BE49-F238E27FC236}">
                <a16:creationId xmlns:a16="http://schemas.microsoft.com/office/drawing/2014/main" id="{CD0C79A2-ADE0-9CAD-9293-B0D03FD4BE01}"/>
              </a:ext>
            </a:extLst>
          </xdr:cNvPr>
          <xdr:cNvGrpSpPr/>
        </xdr:nvGrpSpPr>
        <xdr:grpSpPr>
          <a:xfrm>
            <a:off x="3413761" y="268817"/>
            <a:ext cx="1602739" cy="539750"/>
            <a:chOff x="3413761" y="268817"/>
            <a:chExt cx="1602739" cy="539750"/>
          </a:xfrm>
        </xdr:grpSpPr>
        <xdr:pic>
          <xdr:nvPicPr>
            <xdr:cNvPr id="32" name="Graphic 31" descr="Receiver with solid fill">
              <a:extLst>
                <a:ext uri="{FF2B5EF4-FFF2-40B4-BE49-F238E27FC236}">
                  <a16:creationId xmlns:a16="http://schemas.microsoft.com/office/drawing/2014/main" id="{87B3311F-FCA8-4E18-80AC-8FA4618FE5B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13761" y="349760"/>
              <a:ext cx="426719" cy="439720"/>
            </a:xfrm>
            <a:prstGeom prst="rect">
              <a:avLst/>
            </a:prstGeom>
          </xdr:spPr>
        </xdr:pic>
        <xdr:sp macro="" textlink="">
          <xdr:nvSpPr>
            <xdr:cNvPr id="41" name="TextBox 40">
              <a:extLst>
                <a:ext uri="{FF2B5EF4-FFF2-40B4-BE49-F238E27FC236}">
                  <a16:creationId xmlns:a16="http://schemas.microsoft.com/office/drawing/2014/main" id="{D25A3AE7-907D-514B-01A0-DF1F59BF04F4}"/>
                </a:ext>
              </a:extLst>
            </xdr:cNvPr>
            <xdr:cNvSpPr txBox="1"/>
          </xdr:nvSpPr>
          <xdr:spPr>
            <a:xfrm>
              <a:off x="4076700" y="268817"/>
              <a:ext cx="939800" cy="268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solidFill>
                  <a:latin typeface="Amasis MT Pro" panose="02040504050005020304" pitchFamily="18" charset="0"/>
                </a:rPr>
                <a:t>Total Call</a:t>
              </a:r>
            </a:p>
          </xdr:txBody>
        </xdr:sp>
        <xdr:sp macro="" textlink="'provite data'!B4">
          <xdr:nvSpPr>
            <xdr:cNvPr id="45" name="TextBox 44">
              <a:extLst>
                <a:ext uri="{FF2B5EF4-FFF2-40B4-BE49-F238E27FC236}">
                  <a16:creationId xmlns:a16="http://schemas.microsoft.com/office/drawing/2014/main" id="{E323DF74-D37A-DDFC-56D0-7E3836307A8F}"/>
                </a:ext>
              </a:extLst>
            </xdr:cNvPr>
            <xdr:cNvSpPr txBox="1"/>
          </xdr:nvSpPr>
          <xdr:spPr>
            <a:xfrm>
              <a:off x="4254500" y="537633"/>
              <a:ext cx="679450" cy="27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4E95E10-7851-4195-8179-3CF17B26F17E}" type="TxLink">
                <a:rPr lang="en-US" sz="1200" b="1">
                  <a:solidFill>
                    <a:schemeClr val="tx2"/>
                  </a:solidFill>
                  <a:latin typeface="Amasis MT Pro" panose="02040504050005020304" pitchFamily="18" charset="0"/>
                  <a:ea typeface="+mn-ea"/>
                  <a:cs typeface="+mn-cs"/>
                </a:rPr>
                <a:pPr marL="0" indent="0"/>
                <a:t>18300</a:t>
              </a:fld>
              <a:endParaRPr lang="en-US" sz="1200" b="1">
                <a:solidFill>
                  <a:schemeClr val="tx2"/>
                </a:solidFill>
                <a:latin typeface="Amasis MT Pro" panose="02040504050005020304" pitchFamily="18" charset="0"/>
                <a:ea typeface="+mn-ea"/>
                <a:cs typeface="+mn-cs"/>
              </a:endParaRPr>
            </a:p>
          </xdr:txBody>
        </xdr:sp>
      </xdr:grpSp>
    </xdr:grpSp>
    <xdr:clientData/>
  </xdr:twoCellAnchor>
  <xdr:twoCellAnchor>
    <xdr:from>
      <xdr:col>11</xdr:col>
      <xdr:colOff>654853</xdr:colOff>
      <xdr:row>0</xdr:row>
      <xdr:rowOff>180696</xdr:rowOff>
    </xdr:from>
    <xdr:to>
      <xdr:col>13</xdr:col>
      <xdr:colOff>555551</xdr:colOff>
      <xdr:row>4</xdr:row>
      <xdr:rowOff>157835</xdr:rowOff>
    </xdr:to>
    <xdr:grpSp>
      <xdr:nvGrpSpPr>
        <xdr:cNvPr id="52" name="Group 51">
          <a:extLst>
            <a:ext uri="{FF2B5EF4-FFF2-40B4-BE49-F238E27FC236}">
              <a16:creationId xmlns:a16="http://schemas.microsoft.com/office/drawing/2014/main" id="{2911B57F-731A-477F-D00B-329CCF42C454}"/>
            </a:ext>
          </a:extLst>
        </xdr:cNvPr>
        <xdr:cNvGrpSpPr/>
      </xdr:nvGrpSpPr>
      <xdr:grpSpPr>
        <a:xfrm>
          <a:off x="9417853" y="180696"/>
          <a:ext cx="1796173" cy="701039"/>
          <a:chOff x="7161732" y="214564"/>
          <a:chExt cx="1797231" cy="722206"/>
        </a:xfrm>
      </xdr:grpSpPr>
      <xdr:grpSp>
        <xdr:nvGrpSpPr>
          <xdr:cNvPr id="18" name="Group 17">
            <a:extLst>
              <a:ext uri="{FF2B5EF4-FFF2-40B4-BE49-F238E27FC236}">
                <a16:creationId xmlns:a16="http://schemas.microsoft.com/office/drawing/2014/main" id="{56F4B903-FDA9-189E-58D6-820C1F78F1D6}"/>
              </a:ext>
            </a:extLst>
          </xdr:cNvPr>
          <xdr:cNvGrpSpPr/>
        </xdr:nvGrpSpPr>
        <xdr:grpSpPr>
          <a:xfrm>
            <a:off x="7161732" y="214564"/>
            <a:ext cx="1797231" cy="722206"/>
            <a:chOff x="3253740" y="215537"/>
            <a:chExt cx="1797231" cy="717369"/>
          </a:xfrm>
        </xdr:grpSpPr>
        <xdr:sp macro="" textlink="">
          <xdr:nvSpPr>
            <xdr:cNvPr id="19" name="Rectangle: Rounded Corners 18">
              <a:extLst>
                <a:ext uri="{FF2B5EF4-FFF2-40B4-BE49-F238E27FC236}">
                  <a16:creationId xmlns:a16="http://schemas.microsoft.com/office/drawing/2014/main" id="{FA4B577C-9208-9806-7388-F497A4182B02}"/>
                </a:ext>
              </a:extLst>
            </xdr:cNvPr>
            <xdr:cNvSpPr/>
          </xdr:nvSpPr>
          <xdr:spPr>
            <a:xfrm>
              <a:off x="3253740" y="215537"/>
              <a:ext cx="1797231" cy="717369"/>
            </a:xfrm>
            <a:prstGeom prst="roundRect">
              <a:avLst>
                <a:gd name="adj" fmla="val 23119"/>
              </a:avLst>
            </a:prstGeom>
            <a:solidFill>
              <a:schemeClr val="accent6">
                <a:lumMod val="40000"/>
                <a:lumOff val="60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Rounded Corners 19">
              <a:extLst>
                <a:ext uri="{FF2B5EF4-FFF2-40B4-BE49-F238E27FC236}">
                  <a16:creationId xmlns:a16="http://schemas.microsoft.com/office/drawing/2014/main" id="{E23A70EF-6661-520B-1E15-A2087206065D}"/>
                </a:ext>
              </a:extLst>
            </xdr:cNvPr>
            <xdr:cNvSpPr/>
          </xdr:nvSpPr>
          <xdr:spPr>
            <a:xfrm>
              <a:off x="3254830" y="244929"/>
              <a:ext cx="141514" cy="669471"/>
            </a:xfrm>
            <a:prstGeom prst="roundRect">
              <a:avLst>
                <a:gd name="adj" fmla="val 50000"/>
              </a:avLst>
            </a:prstGeom>
            <a:solidFill>
              <a:schemeClr val="accent3">
                <a:lumMod val="7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21" name="Straight Connector 20">
              <a:extLst>
                <a:ext uri="{FF2B5EF4-FFF2-40B4-BE49-F238E27FC236}">
                  <a16:creationId xmlns:a16="http://schemas.microsoft.com/office/drawing/2014/main" id="{F5CE17A0-06BD-2F10-6485-46D8B1A72BFB}"/>
                </a:ext>
              </a:extLst>
            </xdr:cNvPr>
            <xdr:cNvCxnSpPr/>
          </xdr:nvCxnSpPr>
          <xdr:spPr>
            <a:xfrm>
              <a:off x="3924300" y="250372"/>
              <a:ext cx="5443" cy="642257"/>
            </a:xfrm>
            <a:prstGeom prst="line">
              <a:avLst/>
            </a:prstGeom>
          </xdr:spPr>
          <xdr:style>
            <a:lnRef idx="3">
              <a:schemeClr val="accent3"/>
            </a:lnRef>
            <a:fillRef idx="0">
              <a:schemeClr val="accent3"/>
            </a:fillRef>
            <a:effectRef idx="2">
              <a:schemeClr val="accent3"/>
            </a:effectRef>
            <a:fontRef idx="minor">
              <a:schemeClr val="tx1"/>
            </a:fontRef>
          </xdr:style>
        </xdr:cxnSp>
      </xdr:grpSp>
      <xdr:pic>
        <xdr:nvPicPr>
          <xdr:cNvPr id="40" name="Graphic 39" descr="Ribbon with solid fill">
            <a:extLst>
              <a:ext uri="{FF2B5EF4-FFF2-40B4-BE49-F238E27FC236}">
                <a16:creationId xmlns:a16="http://schemas.microsoft.com/office/drawing/2014/main" id="{7D8296D3-A8BB-431B-8B82-E74C0427BBB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38060" y="346287"/>
            <a:ext cx="472440" cy="482600"/>
          </a:xfrm>
          <a:prstGeom prst="rect">
            <a:avLst/>
          </a:prstGeom>
        </xdr:spPr>
      </xdr:pic>
      <xdr:sp macro="" textlink="">
        <xdr:nvSpPr>
          <xdr:cNvPr id="42" name="TextBox 41">
            <a:extLst>
              <a:ext uri="{FF2B5EF4-FFF2-40B4-BE49-F238E27FC236}">
                <a16:creationId xmlns:a16="http://schemas.microsoft.com/office/drawing/2014/main" id="{3FB43FA4-44E0-ACB8-0EDB-9B933F2C74F7}"/>
              </a:ext>
            </a:extLst>
          </xdr:cNvPr>
          <xdr:cNvSpPr txBox="1"/>
        </xdr:nvSpPr>
        <xdr:spPr>
          <a:xfrm>
            <a:off x="7924800" y="230717"/>
            <a:ext cx="939800" cy="268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solidFill>
                <a:latin typeface="Amasis MT Pro" panose="02040504050005020304" pitchFamily="18" charset="0"/>
              </a:rPr>
              <a:t>Deales</a:t>
            </a:r>
            <a:r>
              <a:rPr lang="en-US" sz="1200" b="1" baseline="0">
                <a:solidFill>
                  <a:schemeClr val="tx2"/>
                </a:solidFill>
                <a:latin typeface="Amasis MT Pro" panose="02040504050005020304" pitchFamily="18" charset="0"/>
              </a:rPr>
              <a:t> Cl.</a:t>
            </a:r>
            <a:endParaRPr lang="en-US" sz="1200" b="1">
              <a:solidFill>
                <a:schemeClr val="tx2"/>
              </a:solidFill>
              <a:latin typeface="Amasis MT Pro" panose="02040504050005020304" pitchFamily="18" charset="0"/>
            </a:endParaRPr>
          </a:p>
        </xdr:txBody>
      </xdr:sp>
      <xdr:sp macro="" textlink="'provite data'!B3">
        <xdr:nvSpPr>
          <xdr:cNvPr id="47" name="TextBox 46">
            <a:extLst>
              <a:ext uri="{FF2B5EF4-FFF2-40B4-BE49-F238E27FC236}">
                <a16:creationId xmlns:a16="http://schemas.microsoft.com/office/drawing/2014/main" id="{5F984856-CC71-ECBF-4A90-220046A03A4E}"/>
              </a:ext>
            </a:extLst>
          </xdr:cNvPr>
          <xdr:cNvSpPr txBox="1"/>
        </xdr:nvSpPr>
        <xdr:spPr>
          <a:xfrm>
            <a:off x="7975600" y="499533"/>
            <a:ext cx="939800" cy="27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10E50FE-6BA8-4F11-95F5-919EBDDA3808}" type="TxLink">
              <a:rPr lang="en-US" sz="1200" b="1">
                <a:solidFill>
                  <a:schemeClr val="tx2"/>
                </a:solidFill>
                <a:latin typeface="Amasis MT Pro" panose="02040504050005020304" pitchFamily="18" charset="0"/>
                <a:ea typeface="+mn-ea"/>
                <a:cs typeface="+mn-cs"/>
              </a:rPr>
              <a:pPr marL="0" indent="0" algn="ctr"/>
              <a:t>1309</a:t>
            </a:fld>
            <a:endParaRPr lang="en-US" sz="1200" b="1">
              <a:solidFill>
                <a:schemeClr val="tx2"/>
              </a:solidFill>
              <a:latin typeface="Amasis MT Pro" panose="02040504050005020304" pitchFamily="18" charset="0"/>
              <a:ea typeface="+mn-ea"/>
              <a:cs typeface="+mn-cs"/>
            </a:endParaRPr>
          </a:p>
        </xdr:txBody>
      </xdr:sp>
    </xdr:grpSp>
    <xdr:clientData/>
  </xdr:twoCellAnchor>
  <xdr:twoCellAnchor>
    <xdr:from>
      <xdr:col>15</xdr:col>
      <xdr:colOff>598261</xdr:colOff>
      <xdr:row>1</xdr:row>
      <xdr:rowOff>8464</xdr:rowOff>
    </xdr:from>
    <xdr:to>
      <xdr:col>18</xdr:col>
      <xdr:colOff>772583</xdr:colOff>
      <xdr:row>4</xdr:row>
      <xdr:rowOff>172587</xdr:rowOff>
    </xdr:to>
    <xdr:grpSp>
      <xdr:nvGrpSpPr>
        <xdr:cNvPr id="53" name="Group 52">
          <a:extLst>
            <a:ext uri="{FF2B5EF4-FFF2-40B4-BE49-F238E27FC236}">
              <a16:creationId xmlns:a16="http://schemas.microsoft.com/office/drawing/2014/main" id="{231357F2-2C01-2132-5585-C63C43F2F98E}"/>
            </a:ext>
          </a:extLst>
        </xdr:cNvPr>
        <xdr:cNvGrpSpPr/>
      </xdr:nvGrpSpPr>
      <xdr:grpSpPr>
        <a:xfrm>
          <a:off x="12475936" y="189439"/>
          <a:ext cx="2003122" cy="707048"/>
          <a:chOff x="9115728" y="211667"/>
          <a:chExt cx="2003122" cy="722923"/>
        </a:xfrm>
      </xdr:grpSpPr>
      <xdr:grpSp>
        <xdr:nvGrpSpPr>
          <xdr:cNvPr id="22" name="Group 21">
            <a:extLst>
              <a:ext uri="{FF2B5EF4-FFF2-40B4-BE49-F238E27FC236}">
                <a16:creationId xmlns:a16="http://schemas.microsoft.com/office/drawing/2014/main" id="{DBACDC1C-AF6A-7609-B30A-8EC4366EEE3A}"/>
              </a:ext>
            </a:extLst>
          </xdr:cNvPr>
          <xdr:cNvGrpSpPr/>
        </xdr:nvGrpSpPr>
        <xdr:grpSpPr>
          <a:xfrm>
            <a:off x="9115728" y="212384"/>
            <a:ext cx="1797231" cy="722206"/>
            <a:chOff x="3253740" y="215537"/>
            <a:chExt cx="1797231" cy="717369"/>
          </a:xfrm>
        </xdr:grpSpPr>
        <xdr:sp macro="" textlink="">
          <xdr:nvSpPr>
            <xdr:cNvPr id="23" name="Rectangle: Rounded Corners 22">
              <a:extLst>
                <a:ext uri="{FF2B5EF4-FFF2-40B4-BE49-F238E27FC236}">
                  <a16:creationId xmlns:a16="http://schemas.microsoft.com/office/drawing/2014/main" id="{0A66EC12-E27E-8940-C83D-192F117270A2}"/>
                </a:ext>
              </a:extLst>
            </xdr:cNvPr>
            <xdr:cNvSpPr/>
          </xdr:nvSpPr>
          <xdr:spPr>
            <a:xfrm>
              <a:off x="3253740" y="215537"/>
              <a:ext cx="1797231" cy="717369"/>
            </a:xfrm>
            <a:prstGeom prst="roundRect">
              <a:avLst>
                <a:gd name="adj" fmla="val 23119"/>
              </a:avLst>
            </a:prstGeom>
            <a:solidFill>
              <a:schemeClr val="accent6">
                <a:lumMod val="40000"/>
                <a:lumOff val="60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ectangle: Rounded Corners 23">
              <a:extLst>
                <a:ext uri="{FF2B5EF4-FFF2-40B4-BE49-F238E27FC236}">
                  <a16:creationId xmlns:a16="http://schemas.microsoft.com/office/drawing/2014/main" id="{A8DC87F7-A13C-AF41-0536-1EF41192FF78}"/>
                </a:ext>
              </a:extLst>
            </xdr:cNvPr>
            <xdr:cNvSpPr/>
          </xdr:nvSpPr>
          <xdr:spPr>
            <a:xfrm>
              <a:off x="3254830" y="244929"/>
              <a:ext cx="141514" cy="669471"/>
            </a:xfrm>
            <a:prstGeom prst="roundRect">
              <a:avLst>
                <a:gd name="adj" fmla="val 50000"/>
              </a:avLst>
            </a:prstGeom>
            <a:solidFill>
              <a:schemeClr val="accent3">
                <a:lumMod val="7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25" name="Straight Connector 24">
              <a:extLst>
                <a:ext uri="{FF2B5EF4-FFF2-40B4-BE49-F238E27FC236}">
                  <a16:creationId xmlns:a16="http://schemas.microsoft.com/office/drawing/2014/main" id="{3B81CBF4-A912-EE1B-EEB8-EDAF033BD467}"/>
                </a:ext>
              </a:extLst>
            </xdr:cNvPr>
            <xdr:cNvCxnSpPr/>
          </xdr:nvCxnSpPr>
          <xdr:spPr>
            <a:xfrm>
              <a:off x="3924300" y="250372"/>
              <a:ext cx="5443" cy="642257"/>
            </a:xfrm>
            <a:prstGeom prst="line">
              <a:avLst/>
            </a:prstGeom>
          </xdr:spPr>
          <xdr:style>
            <a:lnRef idx="3">
              <a:schemeClr val="accent3"/>
            </a:lnRef>
            <a:fillRef idx="0">
              <a:schemeClr val="accent3"/>
            </a:fillRef>
            <a:effectRef idx="2">
              <a:schemeClr val="accent3"/>
            </a:effectRef>
            <a:fontRef idx="minor">
              <a:schemeClr val="tx1"/>
            </a:fontRef>
          </xdr:style>
        </xdr:cxnSp>
      </xdr:grpSp>
      <xdr:pic>
        <xdr:nvPicPr>
          <xdr:cNvPr id="38" name="Graphic 37" descr="Money with solid fill">
            <a:extLst>
              <a:ext uri="{FF2B5EF4-FFF2-40B4-BE49-F238E27FC236}">
                <a16:creationId xmlns:a16="http://schemas.microsoft.com/office/drawing/2014/main" id="{83D54A70-CEFD-42EB-B8C1-E2803C8C45C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309527" y="335247"/>
            <a:ext cx="421213" cy="431373"/>
          </a:xfrm>
          <a:prstGeom prst="rect">
            <a:avLst/>
          </a:prstGeom>
        </xdr:spPr>
      </xdr:pic>
      <xdr:sp macro="" textlink="">
        <xdr:nvSpPr>
          <xdr:cNvPr id="43" name="TextBox 42">
            <a:extLst>
              <a:ext uri="{FF2B5EF4-FFF2-40B4-BE49-F238E27FC236}">
                <a16:creationId xmlns:a16="http://schemas.microsoft.com/office/drawing/2014/main" id="{076ED1F9-0D81-A09C-47BC-2BB37D75F4CF}"/>
              </a:ext>
            </a:extLst>
          </xdr:cNvPr>
          <xdr:cNvSpPr txBox="1"/>
        </xdr:nvSpPr>
        <xdr:spPr>
          <a:xfrm>
            <a:off x="9918700" y="211667"/>
            <a:ext cx="1200150" cy="268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solidFill>
                <a:latin typeface="Amasis MT Pro" panose="02040504050005020304" pitchFamily="18" charset="0"/>
              </a:rPr>
              <a:t>Deal</a:t>
            </a:r>
            <a:r>
              <a:rPr lang="en-US" sz="1200" b="1" baseline="0">
                <a:solidFill>
                  <a:schemeClr val="tx2"/>
                </a:solidFill>
                <a:latin typeface="Amasis MT Pro" panose="02040504050005020304" pitchFamily="18" charset="0"/>
              </a:rPr>
              <a:t> Value</a:t>
            </a:r>
            <a:endParaRPr lang="en-US" sz="1200" b="1">
              <a:solidFill>
                <a:schemeClr val="tx2"/>
              </a:solidFill>
              <a:latin typeface="Amasis MT Pro" panose="02040504050005020304" pitchFamily="18" charset="0"/>
            </a:endParaRPr>
          </a:p>
        </xdr:txBody>
      </xdr:sp>
      <xdr:sp macro="" textlink="'provite data'!B5">
        <xdr:nvSpPr>
          <xdr:cNvPr id="48" name="TextBox 47">
            <a:extLst>
              <a:ext uri="{FF2B5EF4-FFF2-40B4-BE49-F238E27FC236}">
                <a16:creationId xmlns:a16="http://schemas.microsoft.com/office/drawing/2014/main" id="{81549692-26B8-7246-038B-BCB534B58ABB}"/>
              </a:ext>
            </a:extLst>
          </xdr:cNvPr>
          <xdr:cNvSpPr txBox="1"/>
        </xdr:nvSpPr>
        <xdr:spPr>
          <a:xfrm>
            <a:off x="9982200" y="474133"/>
            <a:ext cx="908050" cy="27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0E58645-A185-4EF1-99F3-A2C236214FB1}" type="TxLink">
              <a:rPr lang="en-US" sz="1200" b="1">
                <a:solidFill>
                  <a:schemeClr val="tx2"/>
                </a:solidFill>
                <a:latin typeface="Amasis MT Pro" panose="02040504050005020304" pitchFamily="18" charset="0"/>
                <a:ea typeface="+mn-ea"/>
                <a:cs typeface="+mn-cs"/>
              </a:rPr>
              <a:pPr marL="0" indent="0" algn="ctr"/>
              <a:t>$706,195</a:t>
            </a:fld>
            <a:endParaRPr lang="en-US" sz="1200" b="1">
              <a:solidFill>
                <a:schemeClr val="tx2"/>
              </a:solidFill>
              <a:latin typeface="Amasis MT Pro" panose="02040504050005020304" pitchFamily="18" charset="0"/>
              <a:ea typeface="+mn-ea"/>
              <a:cs typeface="+mn-cs"/>
            </a:endParaRPr>
          </a:p>
        </xdr:txBody>
      </xdr:sp>
    </xdr:grpSp>
    <xdr:clientData/>
  </xdr:twoCellAnchor>
  <xdr:twoCellAnchor>
    <xdr:from>
      <xdr:col>7</xdr:col>
      <xdr:colOff>386215</xdr:colOff>
      <xdr:row>0</xdr:row>
      <xdr:rowOff>165944</xdr:rowOff>
    </xdr:from>
    <xdr:to>
      <xdr:col>10</xdr:col>
      <xdr:colOff>2542</xdr:colOff>
      <xdr:row>4</xdr:row>
      <xdr:rowOff>143083</xdr:rowOff>
    </xdr:to>
    <xdr:grpSp>
      <xdr:nvGrpSpPr>
        <xdr:cNvPr id="65" name="Group 64">
          <a:extLst>
            <a:ext uri="{FF2B5EF4-FFF2-40B4-BE49-F238E27FC236}">
              <a16:creationId xmlns:a16="http://schemas.microsoft.com/office/drawing/2014/main" id="{6279117D-0C3C-6091-7BCC-1B13319DE1AA}"/>
            </a:ext>
          </a:extLst>
        </xdr:cNvPr>
        <xdr:cNvGrpSpPr/>
      </xdr:nvGrpSpPr>
      <xdr:grpSpPr>
        <a:xfrm>
          <a:off x="6348865" y="165944"/>
          <a:ext cx="1807077" cy="701039"/>
          <a:chOff x="5201206" y="216744"/>
          <a:chExt cx="1809194" cy="722206"/>
        </a:xfrm>
      </xdr:grpSpPr>
      <xdr:grpSp>
        <xdr:nvGrpSpPr>
          <xdr:cNvPr id="51" name="Group 50">
            <a:extLst>
              <a:ext uri="{FF2B5EF4-FFF2-40B4-BE49-F238E27FC236}">
                <a16:creationId xmlns:a16="http://schemas.microsoft.com/office/drawing/2014/main" id="{5CDC1DF2-3B84-FD46-BFBB-6AC71C470583}"/>
              </a:ext>
            </a:extLst>
          </xdr:cNvPr>
          <xdr:cNvGrpSpPr/>
        </xdr:nvGrpSpPr>
        <xdr:grpSpPr>
          <a:xfrm>
            <a:off x="5201206" y="216744"/>
            <a:ext cx="1809194" cy="722206"/>
            <a:chOff x="5201206" y="216744"/>
            <a:chExt cx="1809194" cy="722206"/>
          </a:xfrm>
        </xdr:grpSpPr>
        <xdr:grpSp>
          <xdr:nvGrpSpPr>
            <xdr:cNvPr id="39" name="Group 38">
              <a:extLst>
                <a:ext uri="{FF2B5EF4-FFF2-40B4-BE49-F238E27FC236}">
                  <a16:creationId xmlns:a16="http://schemas.microsoft.com/office/drawing/2014/main" id="{B67C6937-ED02-ACAA-E551-3D3344E5CDC1}"/>
                </a:ext>
              </a:extLst>
            </xdr:cNvPr>
            <xdr:cNvGrpSpPr/>
          </xdr:nvGrpSpPr>
          <xdr:grpSpPr>
            <a:xfrm>
              <a:off x="5201206" y="216744"/>
              <a:ext cx="1803761" cy="722206"/>
              <a:chOff x="5201206" y="213357"/>
              <a:chExt cx="1803761" cy="708660"/>
            </a:xfrm>
          </xdr:grpSpPr>
          <xdr:sp macro="" textlink="">
            <xdr:nvSpPr>
              <xdr:cNvPr id="15" name="Rectangle: Rounded Corners 14">
                <a:extLst>
                  <a:ext uri="{FF2B5EF4-FFF2-40B4-BE49-F238E27FC236}">
                    <a16:creationId xmlns:a16="http://schemas.microsoft.com/office/drawing/2014/main" id="{03C6F57A-FE2E-2934-64DE-EE3D2AA16D03}"/>
                  </a:ext>
                </a:extLst>
              </xdr:cNvPr>
              <xdr:cNvSpPr/>
            </xdr:nvSpPr>
            <xdr:spPr>
              <a:xfrm>
                <a:off x="5207736" y="213357"/>
                <a:ext cx="1797231" cy="708660"/>
              </a:xfrm>
              <a:prstGeom prst="roundRect">
                <a:avLst>
                  <a:gd name="adj" fmla="val 23119"/>
                </a:avLst>
              </a:prstGeom>
              <a:solidFill>
                <a:schemeClr val="accent6">
                  <a:lumMod val="40000"/>
                  <a:lumOff val="60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D879DD9D-1CD9-9BBE-053A-6BF148E6B854}"/>
                  </a:ext>
                </a:extLst>
              </xdr:cNvPr>
              <xdr:cNvSpPr/>
            </xdr:nvSpPr>
            <xdr:spPr>
              <a:xfrm>
                <a:off x="5201206" y="242392"/>
                <a:ext cx="141514" cy="661343"/>
              </a:xfrm>
              <a:prstGeom prst="roundRect">
                <a:avLst>
                  <a:gd name="adj" fmla="val 50000"/>
                </a:avLst>
              </a:prstGeom>
              <a:solidFill>
                <a:schemeClr val="accent3">
                  <a:lumMod val="75000"/>
                </a:schemeClr>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33" name="Graphic 32" descr="Target Audience with solid fill">
              <a:extLst>
                <a:ext uri="{FF2B5EF4-FFF2-40B4-BE49-F238E27FC236}">
                  <a16:creationId xmlns:a16="http://schemas.microsoft.com/office/drawing/2014/main" id="{8B15B7BD-7A34-4806-9097-52D39D6BBEB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332590" y="309731"/>
              <a:ext cx="519570" cy="525470"/>
            </a:xfrm>
            <a:prstGeom prst="rect">
              <a:avLst/>
            </a:prstGeom>
          </xdr:spPr>
        </xdr:pic>
        <xdr:sp macro="" textlink="">
          <xdr:nvSpPr>
            <xdr:cNvPr id="44" name="TextBox 43">
              <a:extLst>
                <a:ext uri="{FF2B5EF4-FFF2-40B4-BE49-F238E27FC236}">
                  <a16:creationId xmlns:a16="http://schemas.microsoft.com/office/drawing/2014/main" id="{B4721E02-8B14-B741-4365-EFBC2C00F02C}"/>
                </a:ext>
              </a:extLst>
            </xdr:cNvPr>
            <xdr:cNvSpPr txBox="1"/>
          </xdr:nvSpPr>
          <xdr:spPr>
            <a:xfrm>
              <a:off x="6070600" y="243417"/>
              <a:ext cx="939800" cy="268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solidFill>
                  <a:latin typeface="Amasis MT Pro" panose="02040504050005020304" pitchFamily="18" charset="0"/>
                </a:rPr>
                <a:t>Reached</a:t>
              </a:r>
            </a:p>
          </xdr:txBody>
        </xdr:sp>
        <xdr:sp macro="" textlink="'provite data'!B2">
          <xdr:nvSpPr>
            <xdr:cNvPr id="46" name="TextBox 45">
              <a:extLst>
                <a:ext uri="{FF2B5EF4-FFF2-40B4-BE49-F238E27FC236}">
                  <a16:creationId xmlns:a16="http://schemas.microsoft.com/office/drawing/2014/main" id="{B9E92B7E-2AE1-7A45-D647-15612BF449FD}"/>
                </a:ext>
              </a:extLst>
            </xdr:cNvPr>
            <xdr:cNvSpPr txBox="1"/>
          </xdr:nvSpPr>
          <xdr:spPr>
            <a:xfrm>
              <a:off x="5981700" y="499533"/>
              <a:ext cx="939800" cy="27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64EC3A1-EEC4-417F-8950-0AC93DC92C0C}" type="TxLink">
                <a:rPr lang="en-US" sz="1200" b="1">
                  <a:solidFill>
                    <a:schemeClr val="tx2"/>
                  </a:solidFill>
                  <a:latin typeface="Amasis MT Pro" panose="02040504050005020304" pitchFamily="18" charset="0"/>
                  <a:ea typeface="+mn-ea"/>
                  <a:cs typeface="+mn-cs"/>
                </a:rPr>
                <a:pPr marL="0" indent="0" algn="ctr"/>
                <a:t>3619</a:t>
              </a:fld>
              <a:endParaRPr lang="en-US" sz="1200" b="1">
                <a:solidFill>
                  <a:schemeClr val="tx2"/>
                </a:solidFill>
                <a:latin typeface="Amasis MT Pro" panose="02040504050005020304" pitchFamily="18" charset="0"/>
                <a:ea typeface="+mn-ea"/>
                <a:cs typeface="+mn-cs"/>
              </a:endParaRPr>
            </a:p>
          </xdr:txBody>
        </xdr:sp>
      </xdr:grpSp>
      <xdr:cxnSp macro="">
        <xdr:nvCxnSpPr>
          <xdr:cNvPr id="63" name="Straight Connector 62">
            <a:extLst>
              <a:ext uri="{FF2B5EF4-FFF2-40B4-BE49-F238E27FC236}">
                <a16:creationId xmlns:a16="http://schemas.microsoft.com/office/drawing/2014/main" id="{89B51729-7942-3F38-8029-5577B4BD127F}"/>
              </a:ext>
            </a:extLst>
          </xdr:cNvPr>
          <xdr:cNvCxnSpPr/>
        </xdr:nvCxnSpPr>
        <xdr:spPr>
          <a:xfrm>
            <a:off x="5926667" y="262467"/>
            <a:ext cx="8466" cy="643466"/>
          </a:xfrm>
          <a:prstGeom prst="line">
            <a:avLst/>
          </a:prstGeom>
        </xdr:spPr>
        <xdr:style>
          <a:lnRef idx="3">
            <a:schemeClr val="accent3"/>
          </a:lnRef>
          <a:fillRef idx="0">
            <a:schemeClr val="accent3"/>
          </a:fillRef>
          <a:effectRef idx="2">
            <a:schemeClr val="accent3"/>
          </a:effectRef>
          <a:fontRef idx="minor">
            <a:schemeClr val="tx1"/>
          </a:fontRef>
        </xdr:style>
      </xdr:cxn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hid kazi" refreshedDate="46200.980365046293" createdVersion="8" refreshedVersion="8" minRefreshableVersion="3" recordCount="312" xr:uid="{35F3BEC3-56E2-42EB-BFEA-0710849E0169}">
  <cacheSource type="worksheet">
    <worksheetSource name="DashbaordData"/>
  </cacheSource>
  <cacheFields count="11">
    <cacheField name="Name" numFmtId="0">
      <sharedItems count="22">
        <s v="Tanvir"/>
        <s v="Mohammad"/>
        <s v="Taslima"/>
        <s v="Ahmed"/>
        <s v="Fatima"/>
        <s v="Aminul"/>
        <s v="Nusrat"/>
        <s v="Ali"/>
        <s v="Farhana"/>
        <s v="Rashedul"/>
        <s v="Sabrina"/>
        <s v="Kamal"/>
        <s v="Nazma"/>
        <s v="Salahuddin"/>
        <s v="Tahmina"/>
        <s v="Nasir"/>
        <s v="Khadija"/>
        <s v="Imran"/>
        <s v="Shahnaz"/>
        <s v="Rafiqul"/>
        <s v="Yasmin"/>
        <s v="Shahid"/>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10"/>
    </cacheField>
    <cacheField name="Total Calls" numFmtId="0">
      <sharedItems containsSemiMixedTypes="0" containsString="0" containsNumber="1" containsInteger="1" minValue="16" maxValue="115"/>
    </cacheField>
    <cacheField name="Calls Reached" numFmtId="0">
      <sharedItems containsSemiMixedTypes="0" containsString="0" containsNumber="1" containsInteger="1" minValue="4" maxValue="22"/>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Call Drop Rate (%)" numFmtId="9">
      <sharedItems containsSemiMixedTypes="0" containsString="0" containsNumber="1" minValue="8.9999999999999998E-4" maxValue="0.10640000000000001"/>
    </cacheField>
    <cacheField name="Days (Date)" numFmtId="0" databaseField="0">
      <fieldGroup base="1">
        <rangePr groupBy="days" startDate="2024-01-01T00:00:00" endDate="2024-12-02T00:00:00"/>
        <groupItems count="368">
          <s v="&lt;01-01-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4"/>
        </groupItems>
      </fieldGroup>
    </cacheField>
    <cacheField name="Months (Date)" numFmtId="0" databaseField="0">
      <fieldGroup base="1">
        <rangePr groupBy="months" startDate="2024-01-01T00:00:00" endDate="2024-12-02T00:00:00"/>
        <groupItems count="14">
          <s v="&lt;01-01-24"/>
          <s v="Jan"/>
          <s v="Feb"/>
          <s v="Mar"/>
          <s v="Apr"/>
          <s v="May"/>
          <s v="Jun"/>
          <s v="Jul"/>
          <s v="Aug"/>
          <s v="Sep"/>
          <s v="Oct"/>
          <s v="Nov"/>
          <s v="Dec"/>
          <s v="&gt;02-12-24"/>
        </groupItems>
      </fieldGroup>
    </cacheField>
  </cacheFields>
  <extLst>
    <ext xmlns:x14="http://schemas.microsoft.com/office/spreadsheetml/2009/9/main" uri="{725AE2AE-9491-48be-B2B4-4EB974FC3084}">
      <x14:pivotCacheDefinition pivotCacheId="8322648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n v="74"/>
    <n v="12"/>
    <n v="330.42"/>
    <n v="7"/>
    <n v="0.58333333333333337"/>
    <n v="4276.3100000000004"/>
    <n v="2.9500000000000002E-2"/>
  </r>
  <r>
    <x v="1"/>
    <x v="0"/>
    <n v="78"/>
    <n v="12"/>
    <n v="377.5"/>
    <n v="4"/>
    <n v="0.33333333333333331"/>
    <n v="3880.98"/>
    <n v="4.3400000000000001E-2"/>
  </r>
  <r>
    <x v="2"/>
    <x v="0"/>
    <n v="47"/>
    <n v="14"/>
    <n v="418.92"/>
    <n v="2"/>
    <n v="0.14285714285714285"/>
    <n v="3716"/>
    <n v="4.3899999999999995E-2"/>
  </r>
  <r>
    <x v="3"/>
    <x v="0"/>
    <n v="24"/>
    <n v="6"/>
    <n v="76.930000000000007"/>
    <n v="4"/>
    <n v="0.66666666666666663"/>
    <n v="1552.35"/>
    <n v="3.0800000000000001E-2"/>
  </r>
  <r>
    <x v="4"/>
    <x v="0"/>
    <n v="81"/>
    <n v="16"/>
    <n v="516.23"/>
    <n v="5"/>
    <n v="0.3125"/>
    <n v="1030.68"/>
    <n v="4.1100000000000005E-2"/>
  </r>
  <r>
    <x v="5"/>
    <x v="0"/>
    <n v="59"/>
    <n v="5"/>
    <n v="520.05999999999995"/>
    <n v="3"/>
    <n v="0.6"/>
    <n v="3546.72"/>
    <n v="1.2699999999999999E-2"/>
  </r>
  <r>
    <x v="6"/>
    <x v="0"/>
    <n v="68"/>
    <n v="19"/>
    <n v="290.39"/>
    <n v="3"/>
    <n v="0.15789473684210525"/>
    <n v="2472.2399999999998"/>
    <n v="9.5399999999999985E-2"/>
  </r>
  <r>
    <x v="7"/>
    <x v="0"/>
    <n v="60"/>
    <n v="7"/>
    <n v="251.7"/>
    <n v="5"/>
    <n v="0.7142857142857143"/>
    <n v="3956.69"/>
    <n v="4.1100000000000005E-2"/>
  </r>
  <r>
    <x v="8"/>
    <x v="0"/>
    <n v="34"/>
    <n v="21"/>
    <n v="362.62"/>
    <n v="9"/>
    <n v="0.42857142857142855"/>
    <n v="1140.08"/>
    <n v="5.4600000000000003E-2"/>
  </r>
  <r>
    <x v="9"/>
    <x v="0"/>
    <n v="59"/>
    <n v="13"/>
    <n v="307.49"/>
    <n v="10"/>
    <n v="0.76923076923076927"/>
    <n v="979.09"/>
    <n v="3.27E-2"/>
  </r>
  <r>
    <x v="10"/>
    <x v="0"/>
    <n v="18"/>
    <n v="8"/>
    <n v="206.81"/>
    <n v="7"/>
    <n v="0.875"/>
    <n v="720.56"/>
    <n v="7.8899999999999998E-2"/>
  </r>
  <r>
    <x v="11"/>
    <x v="0"/>
    <n v="36"/>
    <n v="6"/>
    <n v="547.6"/>
    <n v="5"/>
    <n v="0.83333333333333337"/>
    <n v="3463.18"/>
    <n v="3.7599999999999995E-2"/>
  </r>
  <r>
    <x v="12"/>
    <x v="0"/>
    <n v="67"/>
    <n v="17"/>
    <n v="552.54999999999995"/>
    <n v="2"/>
    <n v="0.11764705882352941"/>
    <n v="330.12"/>
    <n v="3.7200000000000004E-2"/>
  </r>
  <r>
    <x v="13"/>
    <x v="0"/>
    <n v="36"/>
    <n v="9"/>
    <n v="216.03"/>
    <n v="2"/>
    <n v="0.22222222222222221"/>
    <n v="4072.07"/>
    <n v="4.1200000000000001E-2"/>
  </r>
  <r>
    <x v="14"/>
    <x v="0"/>
    <n v="54"/>
    <n v="10"/>
    <n v="208.23"/>
    <n v="3"/>
    <n v="0.3"/>
    <n v="645.83000000000004"/>
    <n v="2.7999999999999997E-2"/>
  </r>
  <r>
    <x v="15"/>
    <x v="0"/>
    <n v="82"/>
    <n v="4"/>
    <n v="180.06"/>
    <n v="4"/>
    <n v="1"/>
    <n v="1207.17"/>
    <n v="8.4199999999999997E-2"/>
  </r>
  <r>
    <x v="16"/>
    <x v="0"/>
    <n v="81"/>
    <n v="7"/>
    <n v="82.43"/>
    <n v="7"/>
    <n v="1"/>
    <n v="3463.96"/>
    <n v="8.4900000000000003E-2"/>
  </r>
  <r>
    <x v="17"/>
    <x v="0"/>
    <n v="31"/>
    <n v="17"/>
    <n v="476.95"/>
    <n v="7"/>
    <n v="0.41176470588235292"/>
    <n v="3945.43"/>
    <n v="3.6000000000000004E-2"/>
  </r>
  <r>
    <x v="18"/>
    <x v="0"/>
    <n v="92"/>
    <n v="20"/>
    <n v="161.41999999999999"/>
    <n v="4"/>
    <n v="0.2"/>
    <n v="425.41"/>
    <n v="0.1045"/>
  </r>
  <r>
    <x v="19"/>
    <x v="0"/>
    <n v="73"/>
    <n v="12"/>
    <n v="507.45"/>
    <n v="0"/>
    <n v="0"/>
    <n v="1123.8399999999999"/>
    <n v="8.9999999999999998E-4"/>
  </r>
  <r>
    <x v="20"/>
    <x v="0"/>
    <n v="25"/>
    <n v="14"/>
    <n v="279.95"/>
    <n v="2"/>
    <n v="0.14285714285714285"/>
    <n v="1432.23"/>
    <n v="5.1699999999999996E-2"/>
  </r>
  <r>
    <x v="21"/>
    <x v="0"/>
    <n v="96"/>
    <n v="6"/>
    <n v="532.83000000000004"/>
    <n v="1"/>
    <n v="0.16666666666666666"/>
    <n v="3173.13"/>
    <n v="2.8300000000000002E-2"/>
  </r>
  <r>
    <x v="0"/>
    <x v="0"/>
    <n v="63"/>
    <n v="8"/>
    <n v="170.49"/>
    <n v="7"/>
    <n v="0.875"/>
    <n v="526.12"/>
    <n v="8.3499999999999991E-2"/>
  </r>
  <r>
    <x v="1"/>
    <x v="0"/>
    <n v="92"/>
    <n v="13"/>
    <n v="422.39"/>
    <n v="1"/>
    <n v="7.6923076923076927E-2"/>
    <n v="2695.84"/>
    <n v="2.46E-2"/>
  </r>
  <r>
    <x v="2"/>
    <x v="0"/>
    <n v="38"/>
    <n v="10"/>
    <n v="514.25"/>
    <n v="4"/>
    <n v="0.4"/>
    <n v="243.62"/>
    <n v="6.4399999999999999E-2"/>
  </r>
  <r>
    <x v="3"/>
    <x v="0"/>
    <n v="43"/>
    <n v="15"/>
    <n v="363.48"/>
    <n v="7"/>
    <n v="0.46666666666666667"/>
    <n v="3843.52"/>
    <n v="8.3400000000000002E-2"/>
  </r>
  <r>
    <x v="4"/>
    <x v="1"/>
    <n v="62"/>
    <n v="15"/>
    <n v="361.38"/>
    <n v="6"/>
    <n v="0.4"/>
    <n v="4195.1400000000003"/>
    <n v="2.75E-2"/>
  </r>
  <r>
    <x v="5"/>
    <x v="1"/>
    <n v="81"/>
    <n v="14"/>
    <n v="362.96"/>
    <n v="5"/>
    <n v="0.35714285714285715"/>
    <n v="3620.19"/>
    <n v="4.0800000000000003E-2"/>
  </r>
  <r>
    <x v="6"/>
    <x v="1"/>
    <n v="52"/>
    <n v="14"/>
    <n v="382.59"/>
    <n v="3"/>
    <n v="0.21428571428571427"/>
    <n v="3394.39"/>
    <n v="4.5599999999999995E-2"/>
  </r>
  <r>
    <x v="7"/>
    <x v="1"/>
    <n v="22"/>
    <n v="7"/>
    <n v="79.459999999999994"/>
    <n v="3"/>
    <n v="0.42857142857142855"/>
    <n v="1638.74"/>
    <n v="3.04E-2"/>
  </r>
  <r>
    <x v="8"/>
    <x v="1"/>
    <n v="93"/>
    <n v="11"/>
    <n v="446.3"/>
    <n v="5"/>
    <n v="0.45454545454545453"/>
    <n v="1057.1400000000001"/>
    <n v="3.6900000000000002E-2"/>
  </r>
  <r>
    <x v="9"/>
    <x v="1"/>
    <n v="65"/>
    <n v="7"/>
    <n v="461.67"/>
    <n v="2"/>
    <n v="0.2857142857142857"/>
    <n v="3486.23"/>
    <n v="1.1200000000000002E-2"/>
  </r>
  <r>
    <x v="10"/>
    <x v="1"/>
    <n v="90"/>
    <n v="20"/>
    <n v="328.63"/>
    <n v="3"/>
    <n v="0.15"/>
    <n v="2662.44"/>
    <n v="0.10640000000000001"/>
  </r>
  <r>
    <x v="11"/>
    <x v="1"/>
    <n v="48"/>
    <n v="7"/>
    <n v="247.66"/>
    <n v="6"/>
    <n v="0.8571428571428571"/>
    <n v="4335.84"/>
    <n v="3.9900000000000005E-2"/>
  </r>
  <r>
    <x v="12"/>
    <x v="1"/>
    <n v="37"/>
    <n v="17"/>
    <n v="378.61"/>
    <n v="10"/>
    <n v="0.58823529411764708"/>
    <n v="1295.07"/>
    <n v="5.6299999999999996E-2"/>
  </r>
  <r>
    <x v="13"/>
    <x v="1"/>
    <n v="68"/>
    <n v="16"/>
    <n v="299.58999999999997"/>
    <n v="9"/>
    <n v="0.5625"/>
    <n v="979.47"/>
    <n v="3.6900000000000002E-2"/>
  </r>
  <r>
    <x v="14"/>
    <x v="1"/>
    <n v="20"/>
    <n v="9"/>
    <n v="202.4"/>
    <n v="7"/>
    <n v="0.77777777777777779"/>
    <n v="732.99"/>
    <n v="7.9000000000000001E-2"/>
  </r>
  <r>
    <x v="15"/>
    <x v="1"/>
    <n v="35"/>
    <n v="6"/>
    <n v="568.38"/>
    <n v="6"/>
    <n v="1"/>
    <n v="3949.69"/>
    <n v="3.7499999999999999E-2"/>
  </r>
  <r>
    <x v="16"/>
    <x v="1"/>
    <n v="68"/>
    <n v="21"/>
    <n v="553.08000000000004"/>
    <n v="3"/>
    <n v="0.14285714285714285"/>
    <n v="360.7"/>
    <n v="3.3399999999999999E-2"/>
  </r>
  <r>
    <x v="17"/>
    <x v="1"/>
    <n v="30"/>
    <n v="8"/>
    <n v="223.22"/>
    <n v="2"/>
    <n v="0.25"/>
    <n v="3595.12"/>
    <n v="4.3400000000000001E-2"/>
  </r>
  <r>
    <x v="18"/>
    <x v="1"/>
    <n v="69"/>
    <n v="8"/>
    <n v="199.93"/>
    <n v="2"/>
    <n v="0.25"/>
    <n v="610.66"/>
    <n v="2.8199999999999999E-2"/>
  </r>
  <r>
    <x v="19"/>
    <x v="1"/>
    <n v="92"/>
    <n v="6"/>
    <n v="180.46"/>
    <n v="5"/>
    <n v="0.83333333333333337"/>
    <n v="1173.27"/>
    <n v="7.5300000000000006E-2"/>
  </r>
  <r>
    <x v="20"/>
    <x v="1"/>
    <n v="92"/>
    <n v="7"/>
    <n v="80.12"/>
    <n v="6"/>
    <n v="0.8571428571428571"/>
    <n v="3794.02"/>
    <n v="9.5000000000000001E-2"/>
  </r>
  <r>
    <x v="21"/>
    <x v="1"/>
    <n v="21"/>
    <n v="14"/>
    <n v="563.79"/>
    <n v="8"/>
    <n v="0.5714285714285714"/>
    <n v="3616.21"/>
    <n v="3.61E-2"/>
  </r>
  <r>
    <x v="0"/>
    <x v="1"/>
    <n v="83"/>
    <n v="20"/>
    <n v="193.39"/>
    <n v="5"/>
    <n v="0.25"/>
    <n v="402.53"/>
    <n v="0.1013"/>
  </r>
  <r>
    <x v="1"/>
    <x v="1"/>
    <n v="57"/>
    <n v="11"/>
    <n v="454.77"/>
    <n v="1"/>
    <n v="9.0909090909090912E-2"/>
    <n v="1152.4100000000001"/>
    <n v="1E-3"/>
  </r>
  <r>
    <x v="2"/>
    <x v="1"/>
    <n v="22"/>
    <n v="17"/>
    <n v="291.97000000000003"/>
    <n v="1"/>
    <n v="5.8823529411764705E-2"/>
    <n v="1703.6"/>
    <n v="5.21E-2"/>
  </r>
  <r>
    <x v="3"/>
    <x v="1"/>
    <n v="78"/>
    <n v="5"/>
    <n v="553.86"/>
    <n v="1"/>
    <n v="0.2"/>
    <n v="3503.57"/>
    <n v="3.1300000000000001E-2"/>
  </r>
  <r>
    <x v="4"/>
    <x v="1"/>
    <n v="68"/>
    <n v="7"/>
    <n v="171.76"/>
    <n v="7"/>
    <n v="1"/>
    <n v="548.36"/>
    <n v="8.2500000000000004E-2"/>
  </r>
  <r>
    <x v="5"/>
    <x v="1"/>
    <n v="83"/>
    <n v="16"/>
    <n v="382.21"/>
    <n v="1"/>
    <n v="6.25E-2"/>
    <n v="3017.43"/>
    <n v="2.4199999999999999E-2"/>
  </r>
  <r>
    <x v="6"/>
    <x v="1"/>
    <n v="31"/>
    <n v="11"/>
    <n v="562.73"/>
    <n v="4"/>
    <n v="0.36363636363636365"/>
    <n v="221.94"/>
    <n v="6.7400000000000002E-2"/>
  </r>
  <r>
    <x v="7"/>
    <x v="1"/>
    <n v="34"/>
    <n v="17"/>
    <n v="380.37"/>
    <n v="7"/>
    <n v="0.41176470588235292"/>
    <n v="4183.2700000000004"/>
    <n v="8.8699999999999987E-2"/>
  </r>
  <r>
    <x v="8"/>
    <x v="2"/>
    <n v="55"/>
    <n v="17"/>
    <n v="315.62"/>
    <n v="5"/>
    <n v="0.29411764705882354"/>
    <n v="3890.73"/>
    <n v="2.8799999999999999E-2"/>
  </r>
  <r>
    <x v="9"/>
    <x v="2"/>
    <n v="91"/>
    <n v="10"/>
    <n v="361.58"/>
    <n v="4"/>
    <n v="0.4"/>
    <n v="3674.37"/>
    <n v="4.0800000000000003E-2"/>
  </r>
  <r>
    <x v="10"/>
    <x v="2"/>
    <n v="59"/>
    <n v="13"/>
    <n v="402.9"/>
    <n v="2"/>
    <n v="0.15384615384615385"/>
    <n v="3357.27"/>
    <n v="4.2599999999999999E-2"/>
  </r>
  <r>
    <x v="11"/>
    <x v="2"/>
    <n v="19"/>
    <n v="6"/>
    <n v="82.65"/>
    <n v="3"/>
    <n v="0.5"/>
    <n v="1469.62"/>
    <n v="3.0699999999999998E-2"/>
  </r>
  <r>
    <x v="12"/>
    <x v="2"/>
    <n v="77"/>
    <n v="14"/>
    <n v="494.43"/>
    <n v="4"/>
    <n v="0.2857142857142857"/>
    <n v="963.35"/>
    <n v="3.6699999999999997E-2"/>
  </r>
  <r>
    <x v="13"/>
    <x v="2"/>
    <n v="50"/>
    <n v="8"/>
    <n v="512.92999999999995"/>
    <n v="3"/>
    <n v="0.375"/>
    <n v="3725.66"/>
    <n v="1.1599999999999999E-2"/>
  </r>
  <r>
    <x v="14"/>
    <x v="2"/>
    <n v="88"/>
    <n v="18"/>
    <n v="291.04000000000002"/>
    <n v="2"/>
    <n v="0.1111111111111111"/>
    <n v="2619.84"/>
    <n v="0.10550000000000001"/>
  </r>
  <r>
    <x v="15"/>
    <x v="2"/>
    <n v="62"/>
    <n v="9"/>
    <n v="252.77"/>
    <n v="7"/>
    <n v="0.77777777777777779"/>
    <n v="4641.6099999999997"/>
    <n v="4.0800000000000003E-2"/>
  </r>
  <r>
    <x v="16"/>
    <x v="2"/>
    <n v="33"/>
    <n v="18"/>
    <n v="348.57"/>
    <n v="8"/>
    <n v="0.44444444444444442"/>
    <n v="1169.6400000000001"/>
    <n v="5.4800000000000001E-2"/>
  </r>
  <r>
    <x v="17"/>
    <x v="2"/>
    <n v="54"/>
    <n v="15"/>
    <n v="321.99"/>
    <n v="8"/>
    <n v="0.53333333333333333"/>
    <n v="1080.0899999999999"/>
    <n v="3.5499999999999997E-2"/>
  </r>
  <r>
    <x v="18"/>
    <x v="2"/>
    <n v="16"/>
    <n v="9"/>
    <n v="199.87"/>
    <n v="9"/>
    <n v="1"/>
    <n v="818.64"/>
    <n v="7.46E-2"/>
  </r>
  <r>
    <x v="19"/>
    <x v="2"/>
    <n v="30"/>
    <n v="5"/>
    <n v="565.19000000000005"/>
    <n v="4"/>
    <n v="0.8"/>
    <n v="3621.51"/>
    <n v="4.3099999999999999E-2"/>
  </r>
  <r>
    <x v="20"/>
    <x v="2"/>
    <n v="68"/>
    <n v="19"/>
    <n v="623.25"/>
    <n v="3"/>
    <n v="0.15789473684210525"/>
    <n v="355.96"/>
    <n v="3.6299999999999999E-2"/>
  </r>
  <r>
    <x v="21"/>
    <x v="2"/>
    <n v="31"/>
    <n v="9"/>
    <n v="209.18"/>
    <n v="2"/>
    <n v="0.22222222222222221"/>
    <n v="4153.3100000000004"/>
    <n v="4.0399999999999998E-2"/>
  </r>
  <r>
    <x v="0"/>
    <x v="2"/>
    <n v="61"/>
    <n v="7"/>
    <n v="190.5"/>
    <n v="3"/>
    <n v="0.42857142857142855"/>
    <n v="661.2"/>
    <n v="2.7699999999999999E-2"/>
  </r>
  <r>
    <x v="1"/>
    <x v="2"/>
    <n v="83"/>
    <n v="5"/>
    <n v="170.12"/>
    <n v="3"/>
    <n v="0.6"/>
    <n v="1171.95"/>
    <n v="7.690000000000001E-2"/>
  </r>
  <r>
    <x v="2"/>
    <x v="2"/>
    <n v="74"/>
    <n v="7"/>
    <n v="87.89"/>
    <n v="7"/>
    <n v="1"/>
    <n v="3848.14"/>
    <n v="8.6699999999999999E-2"/>
  </r>
  <r>
    <x v="3"/>
    <x v="2"/>
    <n v="21"/>
    <n v="14"/>
    <n v="498.82"/>
    <n v="5"/>
    <n v="0.35714285714285715"/>
    <n v="4039.26"/>
    <n v="3.4000000000000002E-2"/>
  </r>
  <r>
    <x v="4"/>
    <x v="2"/>
    <n v="84"/>
    <n v="15"/>
    <n v="163.21"/>
    <n v="5"/>
    <n v="0.33333333333333331"/>
    <n v="411.36"/>
    <n v="0.1014"/>
  </r>
  <r>
    <x v="5"/>
    <x v="2"/>
    <n v="64"/>
    <n v="13"/>
    <n v="496.4"/>
    <n v="0"/>
    <n v="0"/>
    <n v="1306.3800000000001"/>
    <n v="1.1000000000000001E-3"/>
  </r>
  <r>
    <x v="6"/>
    <x v="2"/>
    <n v="21"/>
    <n v="13"/>
    <n v="315.41000000000003"/>
    <n v="1"/>
    <n v="7.6923076923076927E-2"/>
    <n v="1692.59"/>
    <n v="5.0999999999999997E-2"/>
  </r>
  <r>
    <x v="7"/>
    <x v="2"/>
    <n v="110"/>
    <n v="6"/>
    <n v="535.37"/>
    <n v="2"/>
    <n v="0.33333333333333331"/>
    <n v="3113.29"/>
    <n v="3.2099999999999997E-2"/>
  </r>
  <r>
    <x v="8"/>
    <x v="2"/>
    <n v="62"/>
    <n v="8"/>
    <n v="198.84"/>
    <n v="8"/>
    <n v="1"/>
    <n v="534.58000000000004"/>
    <n v="8.8000000000000009E-2"/>
  </r>
  <r>
    <x v="9"/>
    <x v="2"/>
    <n v="108"/>
    <n v="14"/>
    <n v="416.78"/>
    <n v="1"/>
    <n v="7.1428571428571425E-2"/>
    <n v="2989.69"/>
    <n v="2.5499999999999998E-2"/>
  </r>
  <r>
    <x v="10"/>
    <x v="2"/>
    <n v="28"/>
    <n v="12"/>
    <n v="533.85"/>
    <n v="5"/>
    <n v="0.41666666666666669"/>
    <n v="224.87"/>
    <n v="6.480000000000001E-2"/>
  </r>
  <r>
    <x v="11"/>
    <x v="2"/>
    <n v="39"/>
    <n v="16"/>
    <n v="312.8"/>
    <n v="8"/>
    <n v="0.5"/>
    <n v="4592.09"/>
    <n v="8.5500000000000007E-2"/>
  </r>
  <r>
    <x v="12"/>
    <x v="3"/>
    <n v="69"/>
    <n v="17"/>
    <n v="342.81"/>
    <n v="6"/>
    <n v="0.35294117647058826"/>
    <n v="3728.2"/>
    <n v="2.9600000000000001E-2"/>
  </r>
  <r>
    <x v="13"/>
    <x v="3"/>
    <n v="83"/>
    <n v="11"/>
    <n v="365.12"/>
    <n v="5"/>
    <n v="0.45454545454545453"/>
    <n v="3682.69"/>
    <n v="3.8199999999999998E-2"/>
  </r>
  <r>
    <x v="14"/>
    <x v="3"/>
    <n v="41"/>
    <n v="14"/>
    <n v="416.88"/>
    <n v="2"/>
    <n v="0.14285714285714285"/>
    <n v="3638.83"/>
    <n v="4.41E-2"/>
  </r>
  <r>
    <x v="15"/>
    <x v="3"/>
    <n v="17"/>
    <n v="7"/>
    <n v="81.14"/>
    <n v="3"/>
    <n v="0.42857142857142855"/>
    <n v="1419.04"/>
    <n v="2.9399999999999999E-2"/>
  </r>
  <r>
    <x v="16"/>
    <x v="3"/>
    <n v="76"/>
    <n v="16"/>
    <n v="449.04"/>
    <n v="4"/>
    <n v="0.25"/>
    <n v="1019.97"/>
    <n v="3.8100000000000002E-2"/>
  </r>
  <r>
    <x v="17"/>
    <x v="3"/>
    <n v="72"/>
    <n v="6"/>
    <n v="508.55"/>
    <n v="3"/>
    <n v="0.5"/>
    <n v="3633.75"/>
    <n v="1.1399999999999999E-2"/>
  </r>
  <r>
    <x v="18"/>
    <x v="3"/>
    <n v="72"/>
    <n v="18"/>
    <n v="299.08999999999997"/>
    <n v="2"/>
    <n v="0.1111111111111111"/>
    <n v="2378.29"/>
    <n v="0.1052"/>
  </r>
  <r>
    <x v="19"/>
    <x v="3"/>
    <n v="44"/>
    <n v="6"/>
    <n v="246.21"/>
    <n v="5"/>
    <n v="0.83333333333333337"/>
    <n v="4155.8"/>
    <n v="4.3299999999999998E-2"/>
  </r>
  <r>
    <x v="20"/>
    <x v="3"/>
    <n v="29"/>
    <n v="16"/>
    <n v="412.07"/>
    <n v="10"/>
    <n v="0.625"/>
    <n v="1075.94"/>
    <n v="6.2400000000000004E-2"/>
  </r>
  <r>
    <x v="21"/>
    <x v="3"/>
    <n v="64"/>
    <n v="13"/>
    <n v="317.58"/>
    <n v="8"/>
    <n v="0.61538461538461542"/>
    <n v="1088.22"/>
    <n v="3.49E-2"/>
  </r>
  <r>
    <x v="0"/>
    <x v="3"/>
    <n v="16"/>
    <n v="7"/>
    <n v="181.58"/>
    <n v="6"/>
    <n v="0.8571428571428571"/>
    <n v="868.4"/>
    <n v="8.4100000000000008E-2"/>
  </r>
  <r>
    <x v="1"/>
    <x v="3"/>
    <n v="37"/>
    <n v="7"/>
    <n v="470.85"/>
    <n v="7"/>
    <n v="1"/>
    <n v="3483.6"/>
    <n v="4.2599999999999999E-2"/>
  </r>
  <r>
    <x v="2"/>
    <x v="3"/>
    <n v="81"/>
    <n v="16"/>
    <n v="584.29999999999995"/>
    <n v="3"/>
    <n v="0.1875"/>
    <n v="377.45"/>
    <n v="3.32E-2"/>
  </r>
  <r>
    <x v="3"/>
    <x v="3"/>
    <n v="26"/>
    <n v="6"/>
    <n v="231.59"/>
    <n v="2"/>
    <n v="0.33333333333333331"/>
    <n v="3988.15"/>
    <n v="3.8399999999999997E-2"/>
  </r>
  <r>
    <x v="4"/>
    <x v="3"/>
    <n v="69"/>
    <n v="9"/>
    <n v="221.01"/>
    <n v="3"/>
    <n v="0.33333333333333331"/>
    <n v="643.44000000000005"/>
    <n v="3.2000000000000001E-2"/>
  </r>
  <r>
    <x v="5"/>
    <x v="3"/>
    <n v="103"/>
    <n v="6"/>
    <n v="165.74"/>
    <n v="6"/>
    <n v="1"/>
    <n v="1169.3800000000001"/>
    <n v="7.7699999999999991E-2"/>
  </r>
  <r>
    <x v="6"/>
    <x v="3"/>
    <n v="100"/>
    <n v="7"/>
    <n v="82.62"/>
    <n v="6"/>
    <n v="0.8571428571428571"/>
    <n v="4085.91"/>
    <n v="9.0500000000000011E-2"/>
  </r>
  <r>
    <x v="7"/>
    <x v="3"/>
    <n v="26"/>
    <n v="17"/>
    <n v="526.34"/>
    <n v="6"/>
    <n v="0.35294117647058826"/>
    <n v="3360.11"/>
    <n v="3.0600000000000002E-2"/>
  </r>
  <r>
    <x v="8"/>
    <x v="3"/>
    <n v="104"/>
    <n v="22"/>
    <n v="190.87"/>
    <n v="4"/>
    <n v="0.18181818181818182"/>
    <n v="433.41"/>
    <n v="9.3599999999999989E-2"/>
  </r>
  <r>
    <x v="9"/>
    <x v="3"/>
    <n v="63"/>
    <n v="11"/>
    <n v="554.51"/>
    <n v="1"/>
    <n v="9.0909090909090912E-2"/>
    <n v="1138.51"/>
    <n v="1E-3"/>
  </r>
  <r>
    <x v="10"/>
    <x v="3"/>
    <n v="22"/>
    <n v="13"/>
    <n v="302.49"/>
    <n v="2"/>
    <n v="0.15384615384615385"/>
    <n v="1591.45"/>
    <n v="4.9599999999999998E-2"/>
  </r>
  <r>
    <x v="11"/>
    <x v="3"/>
    <n v="91"/>
    <n v="5"/>
    <n v="605.11"/>
    <n v="2"/>
    <n v="0.4"/>
    <n v="3499.88"/>
    <n v="3.0200000000000001E-2"/>
  </r>
  <r>
    <x v="12"/>
    <x v="3"/>
    <n v="77"/>
    <n v="8"/>
    <n v="173.88"/>
    <n v="6"/>
    <n v="0.75"/>
    <n v="462.44"/>
    <n v="7.9899999999999999E-2"/>
  </r>
  <r>
    <x v="13"/>
    <x v="3"/>
    <n v="90"/>
    <n v="17"/>
    <n v="366.84"/>
    <n v="0"/>
    <n v="0"/>
    <n v="3153.56"/>
    <n v="2.4500000000000001E-2"/>
  </r>
  <r>
    <x v="14"/>
    <x v="3"/>
    <n v="33"/>
    <n v="9"/>
    <n v="578.41999999999996"/>
    <n v="4"/>
    <n v="0.44444444444444442"/>
    <n v="229.72"/>
    <n v="7.46E-2"/>
  </r>
  <r>
    <x v="15"/>
    <x v="3"/>
    <n v="42"/>
    <n v="14"/>
    <n v="321.29000000000002"/>
    <n v="7"/>
    <n v="0.5"/>
    <n v="4298.2700000000004"/>
    <n v="7.4499999999999997E-2"/>
  </r>
  <r>
    <x v="16"/>
    <x v="4"/>
    <n v="69"/>
    <n v="16"/>
    <n v="299.22000000000003"/>
    <n v="6"/>
    <n v="0.375"/>
    <n v="3716.14"/>
    <n v="2.63E-2"/>
  </r>
  <r>
    <x v="17"/>
    <x v="4"/>
    <n v="68"/>
    <n v="11"/>
    <n v="345.62"/>
    <n v="4"/>
    <n v="0.36363636363636365"/>
    <n v="3558.13"/>
    <n v="4.0800000000000003E-2"/>
  </r>
  <r>
    <x v="18"/>
    <x v="4"/>
    <n v="45"/>
    <n v="17"/>
    <n v="416.96"/>
    <n v="3"/>
    <n v="0.17647058823529413"/>
    <n v="3327.07"/>
    <n v="4.0999999999999995E-2"/>
  </r>
  <r>
    <x v="19"/>
    <x v="4"/>
    <n v="17"/>
    <n v="8"/>
    <n v="72.05"/>
    <n v="3"/>
    <n v="0.375"/>
    <n v="1672.82"/>
    <n v="3.0299999999999997E-2"/>
  </r>
  <r>
    <x v="20"/>
    <x v="4"/>
    <n v="85"/>
    <n v="13"/>
    <n v="475.61"/>
    <n v="5"/>
    <n v="0.38461538461538464"/>
    <n v="939.32"/>
    <n v="3.6400000000000002E-2"/>
  </r>
  <r>
    <x v="21"/>
    <x v="4"/>
    <n v="49"/>
    <n v="7"/>
    <n v="469.53"/>
    <n v="3"/>
    <n v="0.42857142857142855"/>
    <n v="3623.32"/>
    <n v="1.21E-2"/>
  </r>
  <r>
    <x v="0"/>
    <x v="4"/>
    <n v="66"/>
    <n v="15"/>
    <n v="333.1"/>
    <n v="2"/>
    <n v="0.13333333333333333"/>
    <n v="2631.58"/>
    <n v="0.10249999999999999"/>
  </r>
  <r>
    <x v="1"/>
    <x v="4"/>
    <n v="63"/>
    <n v="9"/>
    <n v="258.11"/>
    <n v="7"/>
    <n v="0.77777777777777779"/>
    <n v="4064.36"/>
    <n v="4.1599999999999998E-2"/>
  </r>
  <r>
    <x v="2"/>
    <x v="4"/>
    <n v="31"/>
    <n v="20"/>
    <n v="400.8"/>
    <n v="8"/>
    <n v="0.4"/>
    <n v="1294.3599999999999"/>
    <n v="5.6399999999999999E-2"/>
  </r>
  <r>
    <x v="3"/>
    <x v="4"/>
    <n v="75"/>
    <n v="19"/>
    <n v="343.28"/>
    <n v="9"/>
    <n v="0.47368421052631576"/>
    <n v="899.46"/>
    <n v="3.2199999999999999E-2"/>
  </r>
  <r>
    <x v="4"/>
    <x v="4"/>
    <n v="18"/>
    <n v="7"/>
    <n v="204.63"/>
    <n v="7"/>
    <n v="1"/>
    <n v="789.77"/>
    <n v="7.4499999999999997E-2"/>
  </r>
  <r>
    <x v="5"/>
    <x v="4"/>
    <n v="35"/>
    <n v="6"/>
    <n v="553.11"/>
    <n v="4"/>
    <n v="0.66666666666666663"/>
    <n v="3867.67"/>
    <n v="3.8300000000000001E-2"/>
  </r>
  <r>
    <x v="6"/>
    <x v="4"/>
    <n v="74"/>
    <n v="20"/>
    <n v="623.33000000000004"/>
    <n v="2"/>
    <n v="0.1"/>
    <n v="359.97"/>
    <n v="3.8399999999999997E-2"/>
  </r>
  <r>
    <x v="7"/>
    <x v="4"/>
    <n v="26"/>
    <n v="7"/>
    <n v="200.45"/>
    <n v="1"/>
    <n v="0.14285714285714285"/>
    <n v="3797.35"/>
    <n v="4.1399999999999999E-2"/>
  </r>
  <r>
    <x v="8"/>
    <x v="4"/>
    <n v="50"/>
    <n v="7"/>
    <n v="196.2"/>
    <n v="2"/>
    <n v="0.2857142857142857"/>
    <n v="592.71"/>
    <n v="2.76E-2"/>
  </r>
  <r>
    <x v="9"/>
    <x v="4"/>
    <n v="97"/>
    <n v="5"/>
    <n v="185.62"/>
    <n v="4"/>
    <n v="0.8"/>
    <n v="1282.81"/>
    <n v="7.22E-2"/>
  </r>
  <r>
    <x v="10"/>
    <x v="4"/>
    <n v="91"/>
    <n v="7"/>
    <n v="89.39"/>
    <n v="6"/>
    <n v="0.8571428571428571"/>
    <n v="3971.59"/>
    <n v="9.0700000000000003E-2"/>
  </r>
  <r>
    <x v="11"/>
    <x v="4"/>
    <n v="21"/>
    <n v="14"/>
    <n v="472.79"/>
    <n v="8"/>
    <n v="0.5714285714285714"/>
    <n v="3830.32"/>
    <n v="3.5200000000000002E-2"/>
  </r>
  <r>
    <x v="12"/>
    <x v="4"/>
    <n v="91"/>
    <n v="15"/>
    <n v="173.03"/>
    <n v="4"/>
    <n v="0.26666666666666666"/>
    <n v="386.08"/>
    <n v="9.820000000000001E-2"/>
  </r>
  <r>
    <x v="13"/>
    <x v="4"/>
    <n v="67"/>
    <n v="15"/>
    <n v="499.68"/>
    <n v="0"/>
    <n v="0"/>
    <n v="1287.1300000000001"/>
    <n v="1E-3"/>
  </r>
  <r>
    <x v="14"/>
    <x v="4"/>
    <n v="19"/>
    <n v="13"/>
    <n v="316.23"/>
    <n v="1"/>
    <n v="7.6923076923076927E-2"/>
    <n v="1598.49"/>
    <n v="5.8299999999999998E-2"/>
  </r>
  <r>
    <x v="15"/>
    <x v="4"/>
    <n v="105"/>
    <n v="6"/>
    <n v="567.03"/>
    <n v="1"/>
    <n v="0.16666666666666666"/>
    <n v="3496.65"/>
    <n v="3.0600000000000002E-2"/>
  </r>
  <r>
    <x v="16"/>
    <x v="4"/>
    <n v="73"/>
    <n v="8"/>
    <n v="175.52"/>
    <n v="7"/>
    <n v="0.875"/>
    <n v="455.32"/>
    <n v="9.35E-2"/>
  </r>
  <r>
    <x v="17"/>
    <x v="4"/>
    <n v="111"/>
    <n v="13"/>
    <n v="358.31"/>
    <n v="0"/>
    <n v="0"/>
    <n v="2811.77"/>
    <n v="2.7099999999999999E-2"/>
  </r>
  <r>
    <x v="18"/>
    <x v="4"/>
    <n v="38"/>
    <n v="12"/>
    <n v="556.33000000000004"/>
    <n v="4"/>
    <n v="0.33333333333333331"/>
    <n v="241.08"/>
    <n v="7.0599999999999996E-2"/>
  </r>
  <r>
    <x v="19"/>
    <x v="4"/>
    <n v="33"/>
    <n v="17"/>
    <n v="371.65"/>
    <n v="9"/>
    <n v="0.52941176470588236"/>
    <n v="4068.75"/>
    <n v="8.5500000000000007E-2"/>
  </r>
  <r>
    <x v="20"/>
    <x v="5"/>
    <n v="59"/>
    <n v="16"/>
    <n v="359.47"/>
    <n v="7"/>
    <n v="0.4375"/>
    <n v="3958.94"/>
    <n v="2.46E-2"/>
  </r>
  <r>
    <x v="21"/>
    <x v="5"/>
    <n v="71"/>
    <n v="11"/>
    <n v="379.33"/>
    <n v="4"/>
    <n v="0.36363636363636365"/>
    <n v="4003.52"/>
    <n v="4.2900000000000001E-2"/>
  </r>
  <r>
    <x v="0"/>
    <x v="5"/>
    <n v="48"/>
    <n v="14"/>
    <n v="383.94"/>
    <n v="3"/>
    <n v="0.21428571428571427"/>
    <n v="3173.36"/>
    <n v="4.0999999999999995E-2"/>
  </r>
  <r>
    <x v="1"/>
    <x v="5"/>
    <n v="18"/>
    <n v="7"/>
    <n v="85.32"/>
    <n v="3"/>
    <n v="0.42857142857142855"/>
    <n v="1431.69"/>
    <n v="3.1600000000000003E-2"/>
  </r>
  <r>
    <x v="2"/>
    <x v="5"/>
    <n v="93"/>
    <n v="14"/>
    <n v="466.81"/>
    <n v="5"/>
    <n v="0.35714285714285715"/>
    <n v="988.98"/>
    <n v="4.2300000000000004E-2"/>
  </r>
  <r>
    <x v="3"/>
    <x v="5"/>
    <n v="49"/>
    <n v="7"/>
    <n v="512.88"/>
    <n v="2"/>
    <n v="0.2857142857142857"/>
    <n v="3545.66"/>
    <n v="1.2699999999999999E-2"/>
  </r>
  <r>
    <x v="4"/>
    <x v="5"/>
    <n v="85"/>
    <n v="17"/>
    <n v="324.56"/>
    <n v="3"/>
    <n v="0.17647058823529413"/>
    <n v="2420.5300000000002"/>
    <n v="8.929999999999999E-2"/>
  </r>
  <r>
    <x v="5"/>
    <x v="5"/>
    <n v="61"/>
    <n v="7"/>
    <n v="219.53"/>
    <n v="7"/>
    <n v="1"/>
    <n v="3860.12"/>
    <n v="4.3499999999999997E-2"/>
  </r>
  <r>
    <x v="6"/>
    <x v="5"/>
    <n v="30"/>
    <n v="16"/>
    <n v="353.65"/>
    <n v="9"/>
    <n v="0.5625"/>
    <n v="1213.5899999999999"/>
    <n v="6.2E-2"/>
  </r>
  <r>
    <x v="7"/>
    <x v="5"/>
    <n v="54"/>
    <n v="16"/>
    <n v="334.41"/>
    <n v="9"/>
    <n v="0.5625"/>
    <n v="1056.98"/>
    <n v="3.5200000000000002E-2"/>
  </r>
  <r>
    <x v="8"/>
    <x v="5"/>
    <n v="19"/>
    <n v="7"/>
    <n v="199.46"/>
    <n v="7"/>
    <n v="1"/>
    <n v="809.56"/>
    <n v="7.1399999999999991E-2"/>
  </r>
  <r>
    <x v="9"/>
    <x v="5"/>
    <n v="40"/>
    <n v="6"/>
    <n v="509.67"/>
    <n v="4"/>
    <n v="0.66666666666666663"/>
    <n v="3330.44"/>
    <n v="3.8300000000000001E-2"/>
  </r>
  <r>
    <x v="10"/>
    <x v="5"/>
    <n v="73"/>
    <n v="21"/>
    <n v="601.02"/>
    <n v="2"/>
    <n v="9.5238095238095233E-2"/>
    <n v="364.56"/>
    <n v="3.4300000000000004E-2"/>
  </r>
  <r>
    <x v="11"/>
    <x v="5"/>
    <n v="36"/>
    <n v="9"/>
    <n v="196.74"/>
    <n v="1"/>
    <n v="0.1111111111111111"/>
    <n v="3760.57"/>
    <n v="3.9800000000000002E-2"/>
  </r>
  <r>
    <x v="12"/>
    <x v="5"/>
    <n v="58"/>
    <n v="8"/>
    <n v="196.58"/>
    <n v="3"/>
    <n v="0.375"/>
    <n v="692.47"/>
    <n v="3.27E-2"/>
  </r>
  <r>
    <x v="13"/>
    <x v="5"/>
    <n v="100"/>
    <n v="5"/>
    <n v="153.87"/>
    <n v="2"/>
    <n v="0.4"/>
    <n v="1190.24"/>
    <n v="8.0600000000000005E-2"/>
  </r>
  <r>
    <x v="14"/>
    <x v="5"/>
    <n v="93"/>
    <n v="5"/>
    <n v="85.65"/>
    <n v="5"/>
    <n v="1"/>
    <n v="3913.17"/>
    <n v="9.5700000000000007E-2"/>
  </r>
  <r>
    <x v="15"/>
    <x v="5"/>
    <n v="28"/>
    <n v="16"/>
    <n v="506.95"/>
    <n v="6"/>
    <n v="0.375"/>
    <n v="3993.03"/>
    <n v="3.0600000000000002E-2"/>
  </r>
  <r>
    <x v="16"/>
    <x v="5"/>
    <n v="88"/>
    <n v="18"/>
    <n v="181.21"/>
    <n v="4"/>
    <n v="0.22222222222222221"/>
    <n v="377.13"/>
    <n v="0.10009999999999999"/>
  </r>
  <r>
    <x v="17"/>
    <x v="5"/>
    <n v="69"/>
    <n v="16"/>
    <n v="495.32"/>
    <n v="0"/>
    <n v="0"/>
    <n v="1262.99"/>
    <n v="1E-3"/>
  </r>
  <r>
    <x v="18"/>
    <x v="5"/>
    <n v="21"/>
    <n v="16"/>
    <n v="315.91000000000003"/>
    <n v="1"/>
    <n v="6.25E-2"/>
    <n v="1455.83"/>
    <n v="5.1299999999999998E-2"/>
  </r>
  <r>
    <x v="19"/>
    <x v="5"/>
    <n v="92"/>
    <n v="5"/>
    <n v="569.75"/>
    <n v="2"/>
    <n v="0.4"/>
    <n v="3734.43"/>
    <n v="2.76E-2"/>
  </r>
  <r>
    <x v="20"/>
    <x v="5"/>
    <n v="58"/>
    <n v="7"/>
    <n v="173.24"/>
    <n v="7"/>
    <n v="1"/>
    <n v="525.73"/>
    <n v="8.2299999999999998E-2"/>
  </r>
  <r>
    <x v="21"/>
    <x v="5"/>
    <n v="114"/>
    <n v="13"/>
    <n v="364.35"/>
    <n v="0"/>
    <n v="0"/>
    <n v="2988.28"/>
    <n v="2.58E-2"/>
  </r>
  <r>
    <x v="0"/>
    <x v="5"/>
    <n v="35"/>
    <n v="12"/>
    <n v="515.24"/>
    <n v="5"/>
    <n v="0.41666666666666669"/>
    <n v="224.24"/>
    <n v="6.9800000000000001E-2"/>
  </r>
  <r>
    <x v="1"/>
    <x v="5"/>
    <n v="35"/>
    <n v="16"/>
    <n v="351.71"/>
    <n v="9"/>
    <n v="0.5625"/>
    <n v="3984.69"/>
    <n v="7.4099999999999999E-2"/>
  </r>
  <r>
    <x v="2"/>
    <x v="6"/>
    <n v="71"/>
    <n v="17"/>
    <n v="360.1"/>
    <n v="6"/>
    <n v="0.35294117647058826"/>
    <n v="4444.83"/>
    <n v="2.9500000000000002E-2"/>
  </r>
  <r>
    <x v="3"/>
    <x v="6"/>
    <n v="62"/>
    <n v="13"/>
    <n v="364.64"/>
    <n v="4"/>
    <n v="0.30769230769230771"/>
    <n v="3704.33"/>
    <n v="3.7499999999999999E-2"/>
  </r>
  <r>
    <x v="4"/>
    <x v="6"/>
    <n v="53"/>
    <n v="14"/>
    <n v="367.56"/>
    <n v="2"/>
    <n v="0.14285714285714285"/>
    <n v="3514.07"/>
    <n v="4.0099999999999997E-2"/>
  </r>
  <r>
    <x v="5"/>
    <x v="6"/>
    <n v="18"/>
    <n v="6"/>
    <n v="76.27"/>
    <n v="4"/>
    <n v="0.66666666666666663"/>
    <n v="1597.98"/>
    <n v="2.81E-2"/>
  </r>
  <r>
    <x v="6"/>
    <x v="6"/>
    <n v="71"/>
    <n v="12"/>
    <n v="487.04"/>
    <n v="5"/>
    <n v="0.41666666666666669"/>
    <n v="1004.9"/>
    <n v="4.2099999999999999E-2"/>
  </r>
  <r>
    <x v="7"/>
    <x v="6"/>
    <n v="70"/>
    <n v="5"/>
    <n v="491.31"/>
    <n v="3"/>
    <n v="0.6"/>
    <n v="3289.06"/>
    <n v="1.1299999999999999E-2"/>
  </r>
  <r>
    <x v="8"/>
    <x v="6"/>
    <n v="77"/>
    <n v="15"/>
    <n v="282.58999999999997"/>
    <n v="2"/>
    <n v="0.13333333333333333"/>
    <n v="2296.14"/>
    <n v="9.5799999999999996E-2"/>
  </r>
  <r>
    <x v="9"/>
    <x v="6"/>
    <n v="50"/>
    <n v="9"/>
    <n v="246.06"/>
    <n v="5"/>
    <n v="0.55555555555555558"/>
    <n v="4227.22"/>
    <n v="3.7200000000000004E-2"/>
  </r>
  <r>
    <x v="10"/>
    <x v="6"/>
    <n v="31"/>
    <n v="15"/>
    <n v="347.38"/>
    <n v="10"/>
    <n v="0.66666666666666663"/>
    <n v="1101.06"/>
    <n v="6.0100000000000001E-2"/>
  </r>
  <r>
    <x v="11"/>
    <x v="6"/>
    <n v="77"/>
    <n v="16"/>
    <n v="335.59"/>
    <n v="7"/>
    <n v="0.4375"/>
    <n v="1087.4100000000001"/>
    <n v="3.6900000000000002E-2"/>
  </r>
  <r>
    <x v="12"/>
    <x v="6"/>
    <n v="17"/>
    <n v="8"/>
    <n v="208.21"/>
    <n v="4"/>
    <n v="0.5"/>
    <n v="828.73"/>
    <n v="7.4200000000000002E-2"/>
  </r>
  <r>
    <x v="13"/>
    <x v="6"/>
    <n v="32"/>
    <n v="6"/>
    <n v="553.58000000000004"/>
    <n v="3"/>
    <n v="0.5"/>
    <n v="3939.56"/>
    <n v="3.78E-2"/>
  </r>
  <r>
    <x v="14"/>
    <x v="6"/>
    <n v="72"/>
    <n v="21"/>
    <n v="604.57000000000005"/>
    <n v="2"/>
    <n v="9.5238095238095233E-2"/>
    <n v="327.82"/>
    <n v="3.6699999999999997E-2"/>
  </r>
  <r>
    <x v="15"/>
    <x v="6"/>
    <n v="34"/>
    <n v="7"/>
    <n v="199.39"/>
    <n v="1"/>
    <n v="0.14285714285714285"/>
    <n v="3767.74"/>
    <n v="3.85E-2"/>
  </r>
  <r>
    <x v="16"/>
    <x v="6"/>
    <n v="71"/>
    <n v="9"/>
    <n v="220.4"/>
    <n v="2"/>
    <n v="0.22222222222222221"/>
    <n v="692.29"/>
    <n v="2.8999999999999998E-2"/>
  </r>
  <r>
    <x v="17"/>
    <x v="6"/>
    <n v="83"/>
    <n v="5"/>
    <n v="166.85"/>
    <n v="4"/>
    <n v="0.8"/>
    <n v="1364.24"/>
    <n v="8.3100000000000007E-2"/>
  </r>
  <r>
    <x v="18"/>
    <x v="6"/>
    <n v="71"/>
    <n v="7"/>
    <n v="78.53"/>
    <n v="4"/>
    <n v="0.5714285714285714"/>
    <n v="3652.64"/>
    <n v="8.6999999999999994E-2"/>
  </r>
  <r>
    <x v="19"/>
    <x v="6"/>
    <n v="24"/>
    <n v="13"/>
    <n v="471.72"/>
    <n v="7"/>
    <n v="0.53846153846153844"/>
    <n v="3588.89"/>
    <n v="3.5400000000000001E-2"/>
  </r>
  <r>
    <x v="20"/>
    <x v="6"/>
    <n v="75"/>
    <n v="17"/>
    <n v="176.07"/>
    <n v="5"/>
    <n v="0.29411764705882354"/>
    <n v="458.18"/>
    <n v="9.9399999999999988E-2"/>
  </r>
  <r>
    <x v="21"/>
    <x v="6"/>
    <n v="76"/>
    <n v="11"/>
    <n v="486.93"/>
    <n v="0"/>
    <n v="0"/>
    <n v="1219.29"/>
    <n v="1E-3"/>
  </r>
  <r>
    <x v="0"/>
    <x v="6"/>
    <n v="20"/>
    <n v="14"/>
    <n v="283.66000000000003"/>
    <n v="2"/>
    <n v="0.14285714285714285"/>
    <n v="1494.14"/>
    <n v="5.7800000000000004E-2"/>
  </r>
  <r>
    <x v="1"/>
    <x v="6"/>
    <n v="79"/>
    <n v="6"/>
    <n v="536.04999999999995"/>
    <n v="1"/>
    <n v="0.16666666666666666"/>
    <n v="3682.29"/>
    <n v="3.2099999999999997E-2"/>
  </r>
  <r>
    <x v="2"/>
    <x v="6"/>
    <n v="82"/>
    <n v="9"/>
    <n v="171.86"/>
    <n v="7"/>
    <n v="0.77777777777777779"/>
    <n v="506.88"/>
    <n v="9.4100000000000003E-2"/>
  </r>
  <r>
    <x v="3"/>
    <x v="6"/>
    <n v="103"/>
    <n v="15"/>
    <n v="359.16"/>
    <n v="1"/>
    <n v="6.6666666666666666E-2"/>
    <n v="2949.94"/>
    <n v="2.3599999999999999E-2"/>
  </r>
  <r>
    <x v="4"/>
    <x v="6"/>
    <n v="41"/>
    <n v="9"/>
    <n v="569.97"/>
    <n v="5"/>
    <n v="0.55555555555555558"/>
    <n v="259.86"/>
    <n v="6.3299999999999995E-2"/>
  </r>
  <r>
    <x v="5"/>
    <x v="6"/>
    <n v="38"/>
    <n v="14"/>
    <n v="359.22"/>
    <n v="8"/>
    <n v="0.5714285714285714"/>
    <n v="3846.34"/>
    <n v="8.5900000000000004E-2"/>
  </r>
  <r>
    <x v="6"/>
    <x v="7"/>
    <n v="71"/>
    <n v="15"/>
    <n v="297.05"/>
    <n v="6"/>
    <n v="0.4"/>
    <n v="4043.62"/>
    <n v="2.7200000000000002E-2"/>
  </r>
  <r>
    <x v="7"/>
    <x v="7"/>
    <n v="66"/>
    <n v="13"/>
    <n v="376.76"/>
    <n v="5"/>
    <n v="0.38461538461538464"/>
    <n v="3819.73"/>
    <n v="4.4900000000000002E-2"/>
  </r>
  <r>
    <x v="8"/>
    <x v="7"/>
    <n v="53"/>
    <n v="15"/>
    <n v="379.29"/>
    <n v="2"/>
    <n v="0.13333333333333333"/>
    <n v="3409.69"/>
    <n v="4.41E-2"/>
  </r>
  <r>
    <x v="9"/>
    <x v="7"/>
    <n v="18"/>
    <n v="8"/>
    <n v="82.91"/>
    <n v="3"/>
    <n v="0.375"/>
    <n v="1387.86"/>
    <n v="3.0099999999999998E-2"/>
  </r>
  <r>
    <x v="10"/>
    <x v="7"/>
    <n v="72"/>
    <n v="14"/>
    <n v="437.47"/>
    <n v="4"/>
    <n v="0.2857142857142857"/>
    <n v="958.02"/>
    <n v="3.9100000000000003E-2"/>
  </r>
  <r>
    <x v="11"/>
    <x v="7"/>
    <n v="64"/>
    <n v="7"/>
    <n v="554.20000000000005"/>
    <n v="2"/>
    <n v="0.2857142857142857"/>
    <n v="3620.9"/>
    <n v="1.23E-2"/>
  </r>
  <r>
    <x v="12"/>
    <x v="7"/>
    <n v="76"/>
    <n v="21"/>
    <n v="293.93"/>
    <n v="2"/>
    <n v="9.5238095238095233E-2"/>
    <n v="2531.4"/>
    <n v="0.1012"/>
  </r>
  <r>
    <x v="13"/>
    <x v="7"/>
    <n v="64"/>
    <n v="9"/>
    <n v="255.17"/>
    <n v="6"/>
    <n v="0.66666666666666663"/>
    <n v="4136.6899999999996"/>
    <n v="3.8199999999999998E-2"/>
  </r>
  <r>
    <x v="14"/>
    <x v="7"/>
    <n v="26"/>
    <n v="17"/>
    <n v="391.73"/>
    <n v="7"/>
    <n v="0.41176470588235292"/>
    <n v="1166.55"/>
    <n v="6.1200000000000004E-2"/>
  </r>
  <r>
    <x v="15"/>
    <x v="7"/>
    <n v="65"/>
    <n v="13"/>
    <n v="324.26"/>
    <n v="7"/>
    <n v="0.53846153846153844"/>
    <n v="1044.8599999999999"/>
    <n v="3.5200000000000002E-2"/>
  </r>
  <r>
    <x v="16"/>
    <x v="7"/>
    <n v="22"/>
    <n v="9"/>
    <n v="211.28"/>
    <n v="8"/>
    <n v="0.88888888888888884"/>
    <n v="772.77"/>
    <n v="8.0600000000000005E-2"/>
  </r>
  <r>
    <x v="17"/>
    <x v="7"/>
    <n v="30"/>
    <n v="6"/>
    <n v="549.26"/>
    <n v="2"/>
    <n v="0.33333333333333331"/>
    <n v="3868.36"/>
    <n v="4.2800000000000005E-2"/>
  </r>
  <r>
    <x v="18"/>
    <x v="7"/>
    <n v="83"/>
    <n v="15"/>
    <n v="601.05999999999995"/>
    <n v="3"/>
    <n v="0.2"/>
    <n v="350.62"/>
    <n v="3.6600000000000001E-2"/>
  </r>
  <r>
    <x v="19"/>
    <x v="7"/>
    <n v="35"/>
    <n v="6"/>
    <n v="192.19"/>
    <n v="1"/>
    <n v="0.16666666666666666"/>
    <n v="3963.32"/>
    <n v="3.9800000000000002E-2"/>
  </r>
  <r>
    <x v="20"/>
    <x v="7"/>
    <n v="73"/>
    <n v="8"/>
    <n v="191.76"/>
    <n v="3"/>
    <n v="0.375"/>
    <n v="675.97"/>
    <n v="3.0200000000000001E-2"/>
  </r>
  <r>
    <x v="21"/>
    <x v="7"/>
    <n v="104"/>
    <n v="4"/>
    <n v="169.75"/>
    <n v="3"/>
    <n v="0.75"/>
    <n v="1255.83"/>
    <n v="7.7600000000000002E-2"/>
  </r>
  <r>
    <x v="0"/>
    <x v="7"/>
    <n v="71"/>
    <n v="6"/>
    <n v="87.5"/>
    <n v="3"/>
    <n v="0.5"/>
    <n v="3666.64"/>
    <n v="9.1300000000000006E-2"/>
  </r>
  <r>
    <x v="1"/>
    <x v="7"/>
    <n v="22"/>
    <n v="14"/>
    <n v="477.3"/>
    <n v="6"/>
    <n v="0.42857142857142855"/>
    <n v="3790.05"/>
    <n v="3.32E-2"/>
  </r>
  <r>
    <x v="2"/>
    <x v="7"/>
    <n v="85"/>
    <n v="17"/>
    <n v="187.72"/>
    <n v="5"/>
    <n v="0.29411764705882354"/>
    <n v="443.22"/>
    <n v="0.1016"/>
  </r>
  <r>
    <x v="3"/>
    <x v="7"/>
    <n v="80"/>
    <n v="13"/>
    <n v="504.59"/>
    <n v="0"/>
    <n v="0"/>
    <n v="1265.47"/>
    <n v="1E-3"/>
  </r>
  <r>
    <x v="4"/>
    <x v="7"/>
    <n v="18"/>
    <n v="12"/>
    <n v="262.26"/>
    <n v="1"/>
    <n v="8.3333333333333329E-2"/>
    <n v="1573.7"/>
    <n v="5.1299999999999998E-2"/>
  </r>
  <r>
    <x v="5"/>
    <x v="7"/>
    <n v="106"/>
    <n v="6"/>
    <n v="572.16"/>
    <n v="2"/>
    <n v="0.33333333333333331"/>
    <n v="3398.37"/>
    <n v="2.87E-2"/>
  </r>
  <r>
    <x v="6"/>
    <x v="7"/>
    <n v="71"/>
    <n v="9"/>
    <n v="172.96"/>
    <n v="6"/>
    <n v="0.66666666666666663"/>
    <n v="464.49"/>
    <n v="8.2699999999999996E-2"/>
  </r>
  <r>
    <x v="7"/>
    <x v="7"/>
    <n v="115"/>
    <n v="17"/>
    <n v="422.48"/>
    <n v="0"/>
    <n v="0"/>
    <n v="2681.51"/>
    <n v="2.5000000000000001E-2"/>
  </r>
  <r>
    <x v="8"/>
    <x v="7"/>
    <n v="34"/>
    <n v="10"/>
    <n v="565.11"/>
    <n v="5"/>
    <n v="0.5"/>
    <n v="222.62"/>
    <n v="7.1800000000000003E-2"/>
  </r>
  <r>
    <x v="9"/>
    <x v="7"/>
    <n v="40"/>
    <n v="17"/>
    <n v="355.83"/>
    <n v="6"/>
    <n v="0.35294117647058826"/>
    <n v="4155.8599999999997"/>
    <n v="8.8000000000000009E-2"/>
  </r>
  <r>
    <x v="10"/>
    <x v="8"/>
    <n v="51"/>
    <n v="15"/>
    <n v="349.71"/>
    <n v="8"/>
    <n v="0.53333333333333333"/>
    <n v="4017.54"/>
    <n v="2.92E-2"/>
  </r>
  <r>
    <x v="11"/>
    <x v="8"/>
    <n v="79"/>
    <n v="9"/>
    <n v="358.67"/>
    <n v="5"/>
    <n v="0.55555555555555558"/>
    <n v="3658.64"/>
    <n v="3.7499999999999999E-2"/>
  </r>
  <r>
    <x v="12"/>
    <x v="8"/>
    <n v="57"/>
    <n v="18"/>
    <n v="403.41"/>
    <n v="3"/>
    <n v="0.16666666666666666"/>
    <n v="3767.63"/>
    <n v="4.24E-2"/>
  </r>
  <r>
    <x v="13"/>
    <x v="8"/>
    <n v="24"/>
    <n v="7"/>
    <n v="79.62"/>
    <n v="4"/>
    <n v="0.5714285714285714"/>
    <n v="1650.69"/>
    <n v="3.0600000000000002E-2"/>
  </r>
  <r>
    <x v="14"/>
    <x v="8"/>
    <n v="77"/>
    <n v="11"/>
    <n v="487.47"/>
    <n v="4"/>
    <n v="0.36363636363636365"/>
    <n v="990.89"/>
    <n v="4.3299999999999998E-2"/>
  </r>
  <r>
    <x v="15"/>
    <x v="8"/>
    <n v="69"/>
    <n v="7"/>
    <n v="549.77"/>
    <n v="2"/>
    <n v="0.2857142857142857"/>
    <n v="3916.58"/>
    <n v="1.2E-2"/>
  </r>
  <r>
    <x v="16"/>
    <x v="8"/>
    <n v="74"/>
    <n v="18"/>
    <n v="306.89999999999998"/>
    <n v="3"/>
    <n v="0.16666666666666666"/>
    <n v="2254.16"/>
    <n v="9.64E-2"/>
  </r>
  <r>
    <x v="17"/>
    <x v="8"/>
    <n v="57"/>
    <n v="7"/>
    <n v="262.27999999999997"/>
    <n v="7"/>
    <n v="1"/>
    <n v="3929.11"/>
    <n v="4.4299999999999999E-2"/>
  </r>
  <r>
    <x v="18"/>
    <x v="8"/>
    <n v="26"/>
    <n v="21"/>
    <n v="359.51"/>
    <n v="9"/>
    <n v="0.42857142857142855"/>
    <n v="1187.3699999999999"/>
    <n v="5.33E-2"/>
  </r>
  <r>
    <x v="19"/>
    <x v="8"/>
    <n v="76"/>
    <n v="18"/>
    <n v="339.1"/>
    <n v="8"/>
    <n v="0.44444444444444442"/>
    <n v="924.79"/>
    <n v="3.6000000000000004E-2"/>
  </r>
  <r>
    <x v="20"/>
    <x v="8"/>
    <n v="22"/>
    <n v="7"/>
    <n v="182.47"/>
    <n v="7"/>
    <n v="1"/>
    <n v="779.86"/>
    <n v="7.2700000000000001E-2"/>
  </r>
  <r>
    <x v="21"/>
    <x v="8"/>
    <n v="38"/>
    <n v="6"/>
    <n v="553.89"/>
    <n v="6"/>
    <n v="1"/>
    <n v="4013.79"/>
    <n v="4.3200000000000002E-2"/>
  </r>
  <r>
    <x v="0"/>
    <x v="8"/>
    <n v="87"/>
    <n v="21"/>
    <n v="633.13"/>
    <n v="2"/>
    <n v="9.5238095238095233E-2"/>
    <n v="336.22"/>
    <n v="3.4500000000000003E-2"/>
  </r>
  <r>
    <x v="1"/>
    <x v="8"/>
    <n v="37"/>
    <n v="8"/>
    <n v="215.09"/>
    <n v="2"/>
    <n v="0.25"/>
    <n v="3424.83"/>
    <n v="4.07E-2"/>
  </r>
  <r>
    <x v="2"/>
    <x v="8"/>
    <n v="71"/>
    <n v="8"/>
    <n v="199.19"/>
    <n v="2"/>
    <n v="0.25"/>
    <n v="635.24"/>
    <n v="2.9500000000000002E-2"/>
  </r>
  <r>
    <x v="3"/>
    <x v="8"/>
    <n v="81"/>
    <n v="5"/>
    <n v="153.5"/>
    <n v="2"/>
    <n v="0.4"/>
    <n v="1307.47"/>
    <n v="7.3300000000000004E-2"/>
  </r>
  <r>
    <x v="4"/>
    <x v="8"/>
    <n v="93"/>
    <n v="5"/>
    <n v="77.12"/>
    <n v="2"/>
    <n v="0.4"/>
    <n v="3483.91"/>
    <n v="9.9000000000000005E-2"/>
  </r>
  <r>
    <x v="5"/>
    <x v="8"/>
    <n v="21"/>
    <n v="17"/>
    <n v="533.41999999999996"/>
    <n v="7"/>
    <n v="0.41176470588235292"/>
    <n v="3895.32"/>
    <n v="3.4000000000000002E-2"/>
  </r>
  <r>
    <x v="6"/>
    <x v="8"/>
    <n v="86"/>
    <n v="17"/>
    <n v="160.88999999999999"/>
    <n v="4"/>
    <n v="0.23529411764705882"/>
    <n v="418.33"/>
    <n v="8.8100000000000012E-2"/>
  </r>
  <r>
    <x v="7"/>
    <x v="8"/>
    <n v="72"/>
    <n v="11"/>
    <n v="459.86"/>
    <n v="0"/>
    <n v="0"/>
    <n v="1269.5999999999999"/>
    <n v="1E-3"/>
  </r>
  <r>
    <x v="8"/>
    <x v="8"/>
    <n v="18"/>
    <n v="13"/>
    <n v="290.14"/>
    <n v="2"/>
    <n v="0.15384615384615385"/>
    <n v="1444.65"/>
    <n v="5.4699999999999999E-2"/>
  </r>
  <r>
    <x v="9"/>
    <x v="8"/>
    <n v="105"/>
    <n v="7"/>
    <n v="587.83000000000004"/>
    <n v="1"/>
    <n v="0.14285714285714285"/>
    <n v="3601.93"/>
    <n v="3.2199999999999999E-2"/>
  </r>
  <r>
    <x v="10"/>
    <x v="8"/>
    <n v="75"/>
    <n v="8"/>
    <n v="177.88"/>
    <n v="7"/>
    <n v="0.875"/>
    <n v="507.1"/>
    <n v="9.5199999999999993E-2"/>
  </r>
  <r>
    <x v="11"/>
    <x v="8"/>
    <n v="98"/>
    <n v="12"/>
    <n v="406.95"/>
    <n v="0"/>
    <n v="0"/>
    <n v="2978.09"/>
    <n v="2.3700000000000002E-2"/>
  </r>
  <r>
    <x v="12"/>
    <x v="8"/>
    <n v="33"/>
    <n v="13"/>
    <n v="517.1"/>
    <n v="4"/>
    <n v="0.30769230769230771"/>
    <n v="250.08"/>
    <n v="6.5299999999999997E-2"/>
  </r>
  <r>
    <x v="13"/>
    <x v="8"/>
    <n v="35"/>
    <n v="18"/>
    <n v="348.92"/>
    <n v="7"/>
    <n v="0.3888888888888889"/>
    <n v="4381.3900000000003"/>
    <n v="8.8599999999999998E-2"/>
  </r>
  <r>
    <x v="14"/>
    <x v="9"/>
    <n v="74"/>
    <n v="16"/>
    <n v="308.51"/>
    <n v="7"/>
    <n v="0.4375"/>
    <n v="4267.5"/>
    <n v="2.9399999999999999E-2"/>
  </r>
  <r>
    <x v="15"/>
    <x v="9"/>
    <n v="72"/>
    <n v="10"/>
    <n v="362.58"/>
    <n v="5"/>
    <n v="0.5"/>
    <n v="3679.65"/>
    <n v="3.8599999999999995E-2"/>
  </r>
  <r>
    <x v="16"/>
    <x v="9"/>
    <n v="58"/>
    <n v="13"/>
    <n v="368.06"/>
    <n v="2"/>
    <n v="0.15384615384615385"/>
    <n v="3626.22"/>
    <n v="4.1399999999999999E-2"/>
  </r>
  <r>
    <x v="17"/>
    <x v="9"/>
    <n v="22"/>
    <n v="7"/>
    <n v="74.680000000000007"/>
    <n v="4"/>
    <n v="0.5714285714285714"/>
    <n v="1543.72"/>
    <n v="2.75E-2"/>
  </r>
  <r>
    <x v="18"/>
    <x v="9"/>
    <n v="74"/>
    <n v="15"/>
    <n v="460.2"/>
    <n v="4"/>
    <n v="0.26666666666666666"/>
    <n v="980.1"/>
    <n v="3.7900000000000003E-2"/>
  </r>
  <r>
    <x v="19"/>
    <x v="9"/>
    <n v="62"/>
    <n v="8"/>
    <n v="540.79999999999995"/>
    <n v="3"/>
    <n v="0.375"/>
    <n v="3928.71"/>
    <n v="1.09E-2"/>
  </r>
  <r>
    <x v="20"/>
    <x v="9"/>
    <n v="70"/>
    <n v="21"/>
    <n v="319.62"/>
    <n v="3"/>
    <n v="0.14285714285714285"/>
    <n v="2486.2199999999998"/>
    <n v="0.1036"/>
  </r>
  <r>
    <x v="21"/>
    <x v="9"/>
    <n v="51"/>
    <n v="7"/>
    <n v="248.37"/>
    <n v="7"/>
    <n v="1"/>
    <n v="3946.23"/>
    <n v="4.2699999999999995E-2"/>
  </r>
  <r>
    <x v="0"/>
    <x v="9"/>
    <n v="32"/>
    <n v="16"/>
    <n v="393.04"/>
    <n v="7"/>
    <n v="0.4375"/>
    <n v="1286.18"/>
    <n v="5.6399999999999999E-2"/>
  </r>
  <r>
    <x v="1"/>
    <x v="9"/>
    <n v="71"/>
    <n v="16"/>
    <n v="323.56"/>
    <n v="9"/>
    <n v="0.5625"/>
    <n v="957.05"/>
    <n v="3.1099999999999999E-2"/>
  </r>
  <r>
    <x v="2"/>
    <x v="9"/>
    <n v="17"/>
    <n v="7"/>
    <n v="205.3"/>
    <n v="4"/>
    <n v="0.5714285714285714"/>
    <n v="762.2"/>
    <n v="7.2300000000000003E-2"/>
  </r>
  <r>
    <x v="3"/>
    <x v="9"/>
    <n v="35"/>
    <n v="6"/>
    <n v="544.78"/>
    <n v="5"/>
    <n v="0.83333333333333337"/>
    <n v="3420.99"/>
    <n v="4.0500000000000001E-2"/>
  </r>
  <r>
    <x v="4"/>
    <x v="9"/>
    <n v="73"/>
    <n v="17"/>
    <n v="557.29999999999995"/>
    <n v="3"/>
    <n v="0.17647058823529413"/>
    <n v="376.66"/>
    <n v="3.4700000000000002E-2"/>
  </r>
  <r>
    <x v="5"/>
    <x v="9"/>
    <n v="27"/>
    <n v="6"/>
    <n v="202.37"/>
    <n v="1"/>
    <n v="0.16666666666666666"/>
    <n v="3781.81"/>
    <n v="4.3099999999999999E-2"/>
  </r>
  <r>
    <x v="6"/>
    <x v="9"/>
    <n v="49"/>
    <n v="7"/>
    <n v="204.14"/>
    <n v="3"/>
    <n v="0.42857142857142855"/>
    <n v="636.65"/>
    <n v="2.9500000000000002E-2"/>
  </r>
  <r>
    <x v="7"/>
    <x v="9"/>
    <n v="106"/>
    <n v="5"/>
    <n v="163.38"/>
    <n v="1"/>
    <n v="0.2"/>
    <n v="1148.1400000000001"/>
    <n v="7.8799999999999995E-2"/>
  </r>
  <r>
    <x v="8"/>
    <x v="9"/>
    <n v="102"/>
    <n v="5"/>
    <n v="86.37"/>
    <n v="5"/>
    <n v="1"/>
    <n v="3851.19"/>
    <n v="8.3800000000000013E-2"/>
  </r>
  <r>
    <x v="9"/>
    <x v="9"/>
    <n v="21"/>
    <n v="14"/>
    <n v="537.36"/>
    <n v="7"/>
    <n v="0.5"/>
    <n v="3767.78"/>
    <n v="3.44E-2"/>
  </r>
  <r>
    <x v="10"/>
    <x v="9"/>
    <n v="104"/>
    <n v="20"/>
    <n v="181.9"/>
    <n v="4"/>
    <n v="0.2"/>
    <n v="400.92"/>
    <n v="0.10009999999999999"/>
  </r>
  <r>
    <x v="11"/>
    <x v="9"/>
    <n v="64"/>
    <n v="15"/>
    <n v="514.38"/>
    <n v="0"/>
    <n v="0"/>
    <n v="1220.5899999999999"/>
    <n v="1E-3"/>
  </r>
  <r>
    <x v="12"/>
    <x v="9"/>
    <n v="21"/>
    <n v="15"/>
    <n v="309.75"/>
    <n v="2"/>
    <n v="0.13333333333333333"/>
    <n v="1649.09"/>
    <n v="5.0999999999999997E-2"/>
  </r>
  <r>
    <x v="13"/>
    <x v="9"/>
    <n v="108"/>
    <n v="6"/>
    <n v="515.27"/>
    <n v="2"/>
    <n v="0.33333333333333331"/>
    <n v="3183.87"/>
    <n v="3.04E-2"/>
  </r>
  <r>
    <x v="14"/>
    <x v="9"/>
    <n v="63"/>
    <n v="10"/>
    <n v="194.21"/>
    <n v="7"/>
    <n v="0.7"/>
    <n v="508.84"/>
    <n v="9.3900000000000011E-2"/>
  </r>
  <r>
    <x v="15"/>
    <x v="9"/>
    <n v="85"/>
    <n v="15"/>
    <n v="400.65"/>
    <n v="0"/>
    <n v="0"/>
    <n v="2890.62"/>
    <n v="2.4700000000000003E-2"/>
  </r>
  <r>
    <x v="16"/>
    <x v="9"/>
    <n v="36"/>
    <n v="10"/>
    <n v="535.44000000000005"/>
    <n v="4"/>
    <n v="0.4"/>
    <n v="241.26"/>
    <n v="6.3E-2"/>
  </r>
  <r>
    <x v="17"/>
    <x v="9"/>
    <n v="34"/>
    <n v="12"/>
    <n v="356.4"/>
    <n v="8"/>
    <n v="0.66666666666666663"/>
    <n v="4111.76"/>
    <n v="8.4700000000000011E-2"/>
  </r>
  <r>
    <x v="18"/>
    <x v="10"/>
    <n v="67"/>
    <n v="12"/>
    <n v="352.6"/>
    <n v="6"/>
    <n v="0.5"/>
    <n v="4402.41"/>
    <n v="2.8999999999999998E-2"/>
  </r>
  <r>
    <x v="19"/>
    <x v="10"/>
    <n v="76"/>
    <n v="14"/>
    <n v="351.42"/>
    <n v="4"/>
    <n v="0.2857142857142857"/>
    <n v="3917.99"/>
    <n v="4.2999999999999997E-2"/>
  </r>
  <r>
    <x v="20"/>
    <x v="10"/>
    <n v="53"/>
    <n v="17"/>
    <n v="404.22"/>
    <n v="2"/>
    <n v="0.11764705882352941"/>
    <n v="3669.4"/>
    <n v="4.4500000000000005E-2"/>
  </r>
  <r>
    <x v="21"/>
    <x v="10"/>
    <n v="22"/>
    <n v="6"/>
    <n v="80.02"/>
    <n v="3"/>
    <n v="0.5"/>
    <n v="1476.69"/>
    <n v="2.9300000000000003E-2"/>
  </r>
  <r>
    <x v="0"/>
    <x v="10"/>
    <n v="77"/>
    <n v="16"/>
    <n v="502.41"/>
    <n v="5"/>
    <n v="0.3125"/>
    <n v="1093.75"/>
    <n v="3.8399999999999997E-2"/>
  </r>
  <r>
    <x v="1"/>
    <x v="10"/>
    <n v="52"/>
    <n v="6"/>
    <n v="492.23"/>
    <n v="2"/>
    <n v="0.33333333333333331"/>
    <n v="3775.84"/>
    <n v="1.1000000000000001E-2"/>
  </r>
  <r>
    <x v="2"/>
    <x v="10"/>
    <n v="74"/>
    <n v="17"/>
    <n v="284.91000000000003"/>
    <n v="3"/>
    <n v="0.17647058823529413"/>
    <n v="2481.64"/>
    <n v="9.0500000000000011E-2"/>
  </r>
  <r>
    <x v="3"/>
    <x v="10"/>
    <n v="50"/>
    <n v="9"/>
    <n v="237.95"/>
    <n v="5"/>
    <n v="0.55555555555555558"/>
    <n v="3982.36"/>
    <n v="4.4299999999999999E-2"/>
  </r>
  <r>
    <x v="4"/>
    <x v="10"/>
    <n v="30"/>
    <n v="21"/>
    <n v="372.34"/>
    <n v="7"/>
    <n v="0.33333333333333331"/>
    <n v="1172.04"/>
    <n v="5.4800000000000001E-2"/>
  </r>
  <r>
    <x v="5"/>
    <x v="10"/>
    <n v="74"/>
    <n v="13"/>
    <n v="324.77999999999997"/>
    <n v="7"/>
    <n v="0.53846153846153844"/>
    <n v="995.6"/>
    <n v="3.0699999999999998E-2"/>
  </r>
  <r>
    <x v="6"/>
    <x v="10"/>
    <n v="23"/>
    <n v="7"/>
    <n v="190.12"/>
    <n v="4"/>
    <n v="0.5714285714285714"/>
    <n v="788.65"/>
    <n v="7.2000000000000008E-2"/>
  </r>
  <r>
    <x v="7"/>
    <x v="10"/>
    <n v="32"/>
    <n v="7"/>
    <n v="563.41999999999996"/>
    <n v="6"/>
    <n v="0.8571428571428571"/>
    <n v="3543.71"/>
    <n v="4.3799999999999999E-2"/>
  </r>
  <r>
    <x v="8"/>
    <x v="10"/>
    <n v="59"/>
    <n v="21"/>
    <n v="633.37"/>
    <n v="2"/>
    <n v="9.5238095238095233E-2"/>
    <n v="358.29"/>
    <n v="3.27E-2"/>
  </r>
  <r>
    <x v="9"/>
    <x v="10"/>
    <n v="30"/>
    <n v="6"/>
    <n v="209.84"/>
    <n v="1"/>
    <n v="0.16666666666666666"/>
    <n v="3534.1"/>
    <n v="4.2000000000000003E-2"/>
  </r>
  <r>
    <x v="10"/>
    <x v="10"/>
    <n v="65"/>
    <n v="9"/>
    <n v="220.46"/>
    <n v="3"/>
    <n v="0.33333333333333331"/>
    <n v="707.75"/>
    <n v="2.76E-2"/>
  </r>
  <r>
    <x v="11"/>
    <x v="10"/>
    <n v="100"/>
    <n v="6"/>
    <n v="153.34"/>
    <n v="3"/>
    <n v="0.5"/>
    <n v="1248.54"/>
    <n v="7.9000000000000001E-2"/>
  </r>
  <r>
    <x v="12"/>
    <x v="10"/>
    <n v="81"/>
    <n v="7"/>
    <n v="79.62"/>
    <n v="7"/>
    <n v="1"/>
    <n v="3892.76"/>
    <n v="9.74E-2"/>
  </r>
  <r>
    <x v="13"/>
    <x v="10"/>
    <n v="26"/>
    <n v="17"/>
    <n v="504.54"/>
    <n v="8"/>
    <n v="0.47058823529411764"/>
    <n v="3359.77"/>
    <n v="3.2000000000000001E-2"/>
  </r>
  <r>
    <x v="14"/>
    <x v="10"/>
    <n v="96"/>
    <n v="16"/>
    <n v="161.69"/>
    <n v="5"/>
    <n v="0.3125"/>
    <n v="392.05"/>
    <n v="9.5700000000000007E-2"/>
  </r>
  <r>
    <x v="15"/>
    <x v="10"/>
    <n v="72"/>
    <n v="12"/>
    <n v="474.28"/>
    <n v="1"/>
    <n v="8.3333333333333329E-2"/>
    <n v="1097.5999999999999"/>
    <n v="1E-3"/>
  </r>
  <r>
    <x v="16"/>
    <x v="10"/>
    <n v="18"/>
    <n v="15"/>
    <n v="268.94"/>
    <n v="1"/>
    <n v="6.6666666666666666E-2"/>
    <n v="1469.71"/>
    <n v="5.0900000000000001E-2"/>
  </r>
  <r>
    <x v="17"/>
    <x v="10"/>
    <n v="87"/>
    <n v="5"/>
    <n v="601.28"/>
    <n v="2"/>
    <n v="0.4"/>
    <n v="3491.19"/>
    <n v="2.9700000000000001E-2"/>
  </r>
  <r>
    <x v="18"/>
    <x v="10"/>
    <n v="73"/>
    <n v="8"/>
    <n v="182.48"/>
    <n v="8"/>
    <n v="1"/>
    <n v="548.46"/>
    <n v="8.8200000000000001E-2"/>
  </r>
  <r>
    <x v="19"/>
    <x v="10"/>
    <n v="97"/>
    <n v="14"/>
    <n v="368.16"/>
    <n v="0"/>
    <n v="0"/>
    <n v="3020.19"/>
    <n v="2.5099999999999997E-2"/>
  </r>
  <r>
    <x v="20"/>
    <x v="10"/>
    <n v="28"/>
    <n v="12"/>
    <n v="565.51"/>
    <n v="4"/>
    <n v="0.33333333333333331"/>
    <n v="231.16"/>
    <n v="6.2699999999999992E-2"/>
  </r>
  <r>
    <x v="21"/>
    <x v="10"/>
    <n v="41"/>
    <n v="13"/>
    <n v="370.44"/>
    <n v="9"/>
    <n v="0.69230769230769229"/>
    <n v="4484.96"/>
    <n v="8.5199999999999998E-2"/>
  </r>
  <r>
    <x v="0"/>
    <x v="11"/>
    <n v="61"/>
    <n v="13"/>
    <n v="356.61"/>
    <n v="7"/>
    <n v="0.53846153846153844"/>
    <n v="4099.6400000000003"/>
    <n v="2.9600000000000001E-2"/>
  </r>
  <r>
    <x v="1"/>
    <x v="11"/>
    <n v="80"/>
    <n v="13"/>
    <n v="369.46"/>
    <n v="4"/>
    <n v="0.30769230769230771"/>
    <n v="3996.04"/>
    <n v="3.7499999999999999E-2"/>
  </r>
  <r>
    <x v="2"/>
    <x v="11"/>
    <n v="51"/>
    <n v="14"/>
    <n v="419.93"/>
    <n v="2"/>
    <n v="0.14285714285714285"/>
    <n v="3543.6"/>
    <n v="4.6300000000000001E-2"/>
  </r>
  <r>
    <x v="3"/>
    <x v="11"/>
    <n v="20"/>
    <n v="5"/>
    <n v="71.41"/>
    <n v="3"/>
    <n v="0.6"/>
    <n v="1527.27"/>
    <n v="2.7000000000000003E-2"/>
  </r>
  <r>
    <x v="4"/>
    <x v="11"/>
    <n v="101"/>
    <n v="14"/>
    <n v="503.93"/>
    <n v="5"/>
    <n v="0.35714285714285715"/>
    <n v="1116.6099999999999"/>
    <n v="3.7000000000000005E-2"/>
  </r>
  <r>
    <x v="5"/>
    <x v="11"/>
    <n v="70"/>
    <n v="6"/>
    <n v="488.97"/>
    <n v="3"/>
    <n v="0.5"/>
    <n v="3767.09"/>
    <n v="1.0800000000000001E-2"/>
  </r>
  <r>
    <x v="6"/>
    <x v="11"/>
    <n v="84"/>
    <n v="19"/>
    <n v="301.2"/>
    <n v="2"/>
    <n v="0.10526315789473684"/>
    <n v="2608.4699999999998"/>
    <n v="0.1032"/>
  </r>
  <r>
    <x v="7"/>
    <x v="11"/>
    <n v="50"/>
    <n v="6"/>
    <n v="219.19"/>
    <n v="4"/>
    <n v="0.66666666666666663"/>
    <n v="3836.95"/>
    <n v="3.8699999999999998E-2"/>
  </r>
  <r>
    <x v="8"/>
    <x v="11"/>
    <n v="28"/>
    <n v="19"/>
    <n v="352.06"/>
    <n v="9"/>
    <n v="0.47368421052631576"/>
    <n v="1107.51"/>
    <n v="5.5E-2"/>
  </r>
  <r>
    <x v="9"/>
    <x v="11"/>
    <n v="69"/>
    <n v="16"/>
    <n v="337.7"/>
    <n v="9"/>
    <n v="0.5625"/>
    <n v="947.47"/>
    <n v="3.56E-2"/>
  </r>
  <r>
    <x v="10"/>
    <x v="11"/>
    <n v="18"/>
    <n v="6"/>
    <n v="212.39"/>
    <n v="3"/>
    <n v="0.5"/>
    <n v="730.81"/>
    <n v="8.6699999999999999E-2"/>
  </r>
  <r>
    <x v="11"/>
    <x v="11"/>
    <n v="40"/>
    <n v="7"/>
    <n v="486.93"/>
    <n v="7"/>
    <n v="1"/>
    <n v="3643.63"/>
    <n v="4.0199999999999993E-2"/>
  </r>
  <r>
    <x v="12"/>
    <x v="11"/>
    <n v="77"/>
    <n v="16"/>
    <n v="539.26"/>
    <n v="3"/>
    <n v="0.1875"/>
    <n v="379.83"/>
    <n v="3.7999999999999999E-2"/>
  </r>
  <r>
    <x v="13"/>
    <x v="11"/>
    <n v="31"/>
    <n v="6"/>
    <n v="191.66"/>
    <n v="2"/>
    <n v="0.33333333333333331"/>
    <n v="3753.06"/>
    <n v="3.8300000000000001E-2"/>
  </r>
  <r>
    <x v="14"/>
    <x v="11"/>
    <n v="57"/>
    <n v="7"/>
    <n v="190.08"/>
    <n v="2"/>
    <n v="0.2857142857142857"/>
    <n v="649.97"/>
    <n v="2.8799999999999999E-2"/>
  </r>
  <r>
    <x v="15"/>
    <x v="11"/>
    <n v="88"/>
    <n v="5"/>
    <n v="168.89"/>
    <n v="3"/>
    <n v="0.6"/>
    <n v="1153.93"/>
    <n v="8.2500000000000004E-2"/>
  </r>
  <r>
    <x v="16"/>
    <x v="11"/>
    <n v="74"/>
    <n v="6"/>
    <n v="87.83"/>
    <n v="6"/>
    <n v="1"/>
    <n v="3741.27"/>
    <n v="9.9700000000000011E-2"/>
  </r>
  <r>
    <x v="17"/>
    <x v="11"/>
    <n v="26"/>
    <n v="13"/>
    <n v="543.15"/>
    <n v="6"/>
    <n v="0.46153846153846156"/>
    <n v="3793.56"/>
    <n v="3.56E-2"/>
  </r>
  <r>
    <x v="18"/>
    <x v="11"/>
    <n v="99"/>
    <n v="15"/>
    <n v="181.12"/>
    <n v="5"/>
    <n v="0.33333333333333331"/>
    <n v="454.09"/>
    <n v="9.3599999999999989E-2"/>
  </r>
  <r>
    <x v="19"/>
    <x v="11"/>
    <n v="74"/>
    <n v="14"/>
    <n v="508.85"/>
    <n v="1"/>
    <n v="7.1428571428571425E-2"/>
    <n v="1182.6300000000001"/>
    <n v="8.9999999999999998E-4"/>
  </r>
  <r>
    <x v="15"/>
    <x v="11"/>
    <n v="21"/>
    <n v="17"/>
    <n v="297.83999999999997"/>
    <n v="1"/>
    <n v="5.8823529411764705E-2"/>
    <n v="1553.7"/>
    <n v="5.0700000000000002E-2"/>
  </r>
  <r>
    <x v="16"/>
    <x v="11"/>
    <n v="94"/>
    <n v="6"/>
    <n v="537.26"/>
    <n v="1"/>
    <n v="0.16666666666666666"/>
    <n v="3665.55"/>
    <n v="3.0800000000000001E-2"/>
  </r>
  <r>
    <x v="17"/>
    <x v="11"/>
    <n v="83"/>
    <n v="9"/>
    <n v="188.49"/>
    <n v="7"/>
    <n v="0.77777777777777779"/>
    <n v="545.09"/>
    <n v="8.5600000000000009E-2"/>
  </r>
  <r>
    <x v="18"/>
    <x v="11"/>
    <n v="84"/>
    <n v="14"/>
    <n v="370.36"/>
    <n v="0"/>
    <n v="0"/>
    <n v="2605.02"/>
    <n v="2.5499999999999998E-2"/>
  </r>
  <r>
    <x v="19"/>
    <x v="11"/>
    <n v="32"/>
    <n v="10"/>
    <n v="500.83"/>
    <n v="4"/>
    <n v="0.4"/>
    <n v="239.13"/>
    <n v="6.1900000000000004E-2"/>
  </r>
  <r>
    <x v="18"/>
    <x v="11"/>
    <n v="39"/>
    <n v="15"/>
    <n v="319.08999999999997"/>
    <n v="7"/>
    <n v="0.46666666666666667"/>
    <n v="4573.5"/>
    <n v="8.03999999999999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B4CE51-3D48-41DD-8CE2-91D50F82A0F3}" name="PivotTable3" cacheId="13" applyNumberFormats="0" applyBorderFormats="0" applyFontFormats="0" applyPatternFormats="0" applyAlignmentFormats="0" applyWidthHeightFormats="1" dataCaption="Values" updatedVersion="8" minRefreshableVersion="5" itemPrintTitles="1" createdVersion="8" indent="0" compact="0" compactData="0" multipleFieldFilters="0">
  <location ref="D10:H33" firstHeaderRow="0" firstDataRow="1" firstDataCol="1"/>
  <pivotFields count="11">
    <pivotField axis="axisRow" compact="0" outline="0" showAll="0" sortType="descending">
      <items count="23">
        <item x="3"/>
        <item x="7"/>
        <item x="5"/>
        <item x="8"/>
        <item x="4"/>
        <item x="17"/>
        <item x="11"/>
        <item x="16"/>
        <item x="1"/>
        <item x="15"/>
        <item x="12"/>
        <item x="6"/>
        <item x="19"/>
        <item x="9"/>
        <item x="10"/>
        <item x="13"/>
        <item x="21"/>
        <item x="18"/>
        <item x="14"/>
        <item x="0"/>
        <item x="2"/>
        <item x="20"/>
        <item t="default"/>
      </items>
      <autoSortScope>
        <pivotArea dataOnly="0" outline="0" fieldPosition="0">
          <references count="1">
            <reference field="4294967294" count="1" selected="0">
              <x v="3"/>
            </reference>
          </references>
        </pivotArea>
      </autoSortScope>
    </pivotField>
    <pivotField compact="0" numFmtId="14" outline="0" showAll="0">
      <items count="13">
        <item x="0"/>
        <item x="1"/>
        <item x="2"/>
        <item x="3"/>
        <item x="4"/>
        <item x="5"/>
        <item x="6"/>
        <item x="7"/>
        <item x="8"/>
        <item x="9"/>
        <item x="10"/>
        <item x="11"/>
        <item t="default"/>
      </items>
    </pivotField>
    <pivotField dataField="1" compact="0" outline="0" showAll="0"/>
    <pivotField dataField="1" compact="0" outline="0" showAll="0"/>
    <pivotField compact="0" outline="0" showAll="0"/>
    <pivotField dataField="1" compact="0" outline="0" showAll="0"/>
    <pivotField compact="0" numFmtId="9" outline="0" showAll="0"/>
    <pivotField dataField="1" compact="0" outline="0" showAll="0"/>
    <pivotField compact="0" numFmtId="9"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0"/>
  </rowFields>
  <rowItems count="23">
    <i>
      <x v="5"/>
    </i>
    <i>
      <x v="15"/>
    </i>
    <i>
      <x v="6"/>
    </i>
    <i>
      <x v="9"/>
    </i>
    <i>
      <x v="2"/>
    </i>
    <i>
      <x v="8"/>
    </i>
    <i>
      <x v="1"/>
    </i>
    <i>
      <x v="12"/>
    </i>
    <i>
      <x/>
    </i>
    <i>
      <x v="16"/>
    </i>
    <i>
      <x v="13"/>
    </i>
    <i>
      <x v="17"/>
    </i>
    <i>
      <x v="7"/>
    </i>
    <i>
      <x v="20"/>
    </i>
    <i>
      <x v="19"/>
    </i>
    <i>
      <x v="11"/>
    </i>
    <i>
      <x v="18"/>
    </i>
    <i>
      <x v="4"/>
    </i>
    <i>
      <x v="14"/>
    </i>
    <i>
      <x v="10"/>
    </i>
    <i>
      <x v="3"/>
    </i>
    <i>
      <x v="21"/>
    </i>
    <i t="grand">
      <x/>
    </i>
  </rowItems>
  <colFields count="1">
    <field x="-2"/>
  </colFields>
  <colItems count="4">
    <i>
      <x/>
    </i>
    <i i="1">
      <x v="1"/>
    </i>
    <i i="2">
      <x v="2"/>
    </i>
    <i i="3">
      <x v="3"/>
    </i>
  </colItems>
  <dataFields count="4">
    <dataField name="  Total Calls" fld="2" baseField="0" baseItem="0"/>
    <dataField name="  Calls Reached" fld="3" baseField="0" baseItem="0"/>
    <dataField name="  Deals Closed" fld="5" baseField="0" baseItem="0"/>
    <dataField name="  Deal Value ($)" fld="7" baseField="0" baseItem="0" numFmtId="168"/>
  </dataFields>
  <conditionalFormats count="8">
    <conditionalFormat priority="8">
      <pivotAreas count="1">
        <pivotArea type="data" outline="0" collapsedLevelsAreSubtotals="1" fieldPosition="0">
          <references count="2">
            <reference field="4294967294" count="1" selected="0">
              <x v="2"/>
            </reference>
            <reference field="0" count="22" selected="0">
              <x v="0"/>
              <x v="1"/>
              <x v="2"/>
              <x v="3"/>
              <x v="4"/>
              <x v="5"/>
              <x v="6"/>
              <x v="7"/>
              <x v="8"/>
              <x v="9"/>
              <x v="10"/>
              <x v="11"/>
              <x v="12"/>
              <x v="13"/>
              <x v="14"/>
              <x v="15"/>
              <x v="16"/>
              <x v="17"/>
              <x v="18"/>
              <x v="19"/>
              <x v="20"/>
              <x v="21"/>
            </reference>
          </references>
        </pivotArea>
      </pivotAreas>
    </conditionalFormat>
    <conditionalFormat priority="7">
      <pivotAreas count="1">
        <pivotArea type="data" outline="0" collapsedLevelsAreSubtotals="1" fieldPosition="0">
          <references count="2">
            <reference field="4294967294" count="1" selected="0">
              <x v="3"/>
            </reference>
            <reference field="0" count="21" selected="0">
              <x v="0"/>
              <x v="1"/>
              <x v="2"/>
              <x v="3"/>
              <x v="4"/>
              <x v="5"/>
              <x v="6"/>
              <x v="7"/>
              <x v="8"/>
              <x v="9"/>
              <x v="10"/>
              <x v="11"/>
              <x v="12"/>
              <x v="13"/>
              <x v="14"/>
              <x v="15"/>
              <x v="16"/>
              <x v="17"/>
              <x v="18"/>
              <x v="19"/>
              <x v="20"/>
            </reference>
          </references>
        </pivotArea>
      </pivotAreas>
    </conditionalFormat>
    <conditionalFormat priority="6">
      <pivotAreas count="1">
        <pivotArea type="data" outline="0" collapsedLevelsAreSubtotals="1" fieldPosition="0">
          <references count="2">
            <reference field="4294967294" count="1" selected="0">
              <x v="1"/>
            </reference>
            <reference field="0" count="22" selected="0">
              <x v="0"/>
              <x v="1"/>
              <x v="2"/>
              <x v="3"/>
              <x v="4"/>
              <x v="5"/>
              <x v="6"/>
              <x v="7"/>
              <x v="8"/>
              <x v="9"/>
              <x v="10"/>
              <x v="11"/>
              <x v="12"/>
              <x v="13"/>
              <x v="14"/>
              <x v="15"/>
              <x v="16"/>
              <x v="17"/>
              <x v="18"/>
              <x v="19"/>
              <x v="20"/>
              <x v="21"/>
            </reference>
          </references>
        </pivotArea>
      </pivotAreas>
    </conditionalFormat>
    <conditionalFormat priority="5">
      <pivotAreas count="1">
        <pivotArea type="data" outline="0" collapsedLevelsAreSubtotals="1" fieldPosition="0">
          <references count="2">
            <reference field="4294967294" count="1" selected="0">
              <x v="0"/>
            </reference>
            <reference field="0" count="22" selected="0">
              <x v="0"/>
              <x v="1"/>
              <x v="2"/>
              <x v="3"/>
              <x v="4"/>
              <x v="5"/>
              <x v="6"/>
              <x v="7"/>
              <x v="8"/>
              <x v="9"/>
              <x v="10"/>
              <x v="11"/>
              <x v="12"/>
              <x v="13"/>
              <x v="14"/>
              <x v="15"/>
              <x v="16"/>
              <x v="17"/>
              <x v="18"/>
              <x v="19"/>
              <x v="20"/>
              <x v="21"/>
            </reference>
          </references>
        </pivotArea>
      </pivotAreas>
    </conditionalFormat>
    <conditionalFormat priority="4">
      <pivotAreas count="1">
        <pivotArea type="data" outline="0" collapsedLevelsAreSubtotals="1" fieldPosition="0">
          <references count="2">
            <reference field="4294967294" count="1" selected="0">
              <x v="0"/>
            </reference>
            <reference field="0" count="22" selected="0">
              <x v="0"/>
              <x v="1"/>
              <x v="2"/>
              <x v="3"/>
              <x v="4"/>
              <x v="5"/>
              <x v="6"/>
              <x v="7"/>
              <x v="8"/>
              <x v="9"/>
              <x v="10"/>
              <x v="11"/>
              <x v="12"/>
              <x v="13"/>
              <x v="14"/>
              <x v="15"/>
              <x v="16"/>
              <x v="17"/>
              <x v="18"/>
              <x v="19"/>
              <x v="20"/>
              <x v="21"/>
            </reference>
          </references>
        </pivotArea>
      </pivotAreas>
    </conditionalFormat>
    <conditionalFormat priority="3">
      <pivotAreas count="1">
        <pivotArea type="data" outline="0" collapsedLevelsAreSubtotals="1" fieldPosition="0">
          <references count="2">
            <reference field="4294967294" count="1" selected="0">
              <x v="0"/>
            </reference>
            <reference field="0" count="22" selected="0">
              <x v="0"/>
              <x v="1"/>
              <x v="2"/>
              <x v="3"/>
              <x v="4"/>
              <x v="5"/>
              <x v="6"/>
              <x v="7"/>
              <x v="8"/>
              <x v="9"/>
              <x v="10"/>
              <x v="11"/>
              <x v="12"/>
              <x v="13"/>
              <x v="14"/>
              <x v="15"/>
              <x v="16"/>
              <x v="17"/>
              <x v="18"/>
              <x v="19"/>
              <x v="20"/>
              <x v="21"/>
            </reference>
          </references>
        </pivotArea>
      </pivotAreas>
    </conditionalFormat>
    <conditionalFormat priority="2">
      <pivotAreas count="1">
        <pivotArea type="data" outline="0" collapsedLevelsAreSubtotals="1" fieldPosition="0">
          <references count="2">
            <reference field="4294967294" count="1" selected="0">
              <x v="0"/>
            </reference>
            <reference field="0" count="22" selected="0">
              <x v="0"/>
              <x v="1"/>
              <x v="2"/>
              <x v="3"/>
              <x v="4"/>
              <x v="5"/>
              <x v="6"/>
              <x v="7"/>
              <x v="8"/>
              <x v="9"/>
              <x v="10"/>
              <x v="11"/>
              <x v="12"/>
              <x v="13"/>
              <x v="14"/>
              <x v="15"/>
              <x v="16"/>
              <x v="17"/>
              <x v="18"/>
              <x v="19"/>
              <x v="20"/>
              <x v="21"/>
            </reference>
          </references>
        </pivotArea>
      </pivotAreas>
    </conditionalFormat>
    <conditionalFormat priority="1">
      <pivotAreas count="1">
        <pivotArea type="data" outline="0" collapsedLevelsAreSubtotals="1" fieldPosition="0">
          <references count="2">
            <reference field="4294967294" count="1" selected="0">
              <x v="0"/>
            </reference>
            <reference field="0" count="22" selected="0">
              <x v="0"/>
              <x v="1"/>
              <x v="2"/>
              <x v="3"/>
              <x v="4"/>
              <x v="5"/>
              <x v="6"/>
              <x v="7"/>
              <x v="8"/>
              <x v="9"/>
              <x v="10"/>
              <x v="11"/>
              <x v="12"/>
              <x v="13"/>
              <x v="14"/>
              <x v="15"/>
              <x v="16"/>
              <x v="17"/>
              <x v="18"/>
              <x v="19"/>
              <x v="20"/>
              <x v="21"/>
            </reference>
          </references>
        </pivotArea>
      </pivotAreas>
    </conditionalFormat>
  </conditionalFormats>
  <pivotTableStyleInfo name="PivotStyleLight16" showRowHeaders="1" showColHeaders="1" showRowStripes="0" showColStripes="0" showLastColumn="1"/>
  <filters count="1">
    <filter fld="1" type="dateBetween" evalOrder="-1" id="21" nam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1CA67C-34C6-49FF-A8B5-D67F46D623A0}" name="Avareage call Drop rate" cacheId="1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29:F42" firstHeaderRow="1" firstDataRow="1" firstDataCol="1"/>
  <pivotFields count="11">
    <pivotField showAll="0">
      <items count="23">
        <item x="3"/>
        <item x="7"/>
        <item x="5"/>
        <item x="8"/>
        <item x="4"/>
        <item x="17"/>
        <item x="11"/>
        <item x="16"/>
        <item x="1"/>
        <item x="15"/>
        <item x="12"/>
        <item x="6"/>
        <item x="19"/>
        <item x="9"/>
        <item x="10"/>
        <item x="13"/>
        <item x="21"/>
        <item x="18"/>
        <item x="14"/>
        <item x="0"/>
        <item x="2"/>
        <item x="20"/>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dataField="1"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Average of Call Drop Rate (%)" fld="8" subtotal="average" baseField="10" baseItem="1" numFmtId="9"/>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E7BB97-CF8E-43A4-B979-9B67FD8ACDBB}" name="Average Call Duration" cacheId="1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9:J22" firstHeaderRow="1" firstDataRow="1" firstDataCol="1"/>
  <pivotFields count="11">
    <pivotField showAll="0">
      <items count="23">
        <item x="3"/>
        <item x="7"/>
        <item x="5"/>
        <item x="8"/>
        <item x="4"/>
        <item x="17"/>
        <item x="11"/>
        <item x="16"/>
        <item x="1"/>
        <item x="15"/>
        <item x="12"/>
        <item x="6"/>
        <item x="19"/>
        <item x="9"/>
        <item x="10"/>
        <item x="13"/>
        <item x="21"/>
        <item x="18"/>
        <item x="14"/>
        <item x="0"/>
        <item x="2"/>
        <item x="20"/>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Average of Deal Value ($)" fld="7" subtotal="average" baseField="10" baseItem="1" numFmtId="168"/>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FCE43F-53F0-429F-96EB-4706F2F36998}" name="Total Deal Value" cacheId="13" dataOnRows="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E9:F22" firstHeaderRow="1" firstDataRow="1" firstDataCol="1"/>
  <pivotFields count="11">
    <pivotField showAll="0">
      <items count="23">
        <item x="3"/>
        <item x="7"/>
        <item x="5"/>
        <item x="8"/>
        <item x="4"/>
        <item x="17"/>
        <item x="11"/>
        <item x="16"/>
        <item x="1"/>
        <item x="15"/>
        <item x="12"/>
        <item x="6"/>
        <item x="19"/>
        <item x="9"/>
        <item x="10"/>
        <item x="13"/>
        <item x="21"/>
        <item x="18"/>
        <item x="14"/>
        <item x="0"/>
        <item x="2"/>
        <item x="20"/>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Deal Value ($)" fld="7" baseField="10" baseItem="1" numFmtId="168"/>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1" nam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799C22-7480-4FD5-8894-D455383677F3}" name="Month value"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C22" firstHeaderRow="0" firstDataRow="1" firstDataCol="1"/>
  <pivotFields count="11">
    <pivotField showAll="0">
      <items count="23">
        <item x="3"/>
        <item x="7"/>
        <item x="5"/>
        <item x="8"/>
        <item x="4"/>
        <item x="17"/>
        <item x="11"/>
        <item x="16"/>
        <item x="1"/>
        <item x="15"/>
        <item x="12"/>
        <item x="6"/>
        <item x="19"/>
        <item x="9"/>
        <item x="10"/>
        <item x="13"/>
        <item x="21"/>
        <item x="18"/>
        <item x="14"/>
        <item x="0"/>
        <item x="2"/>
        <item x="20"/>
        <item t="default"/>
      </items>
    </pivotField>
    <pivotField numFmtId="14" showAll="0">
      <items count="13">
        <item x="0"/>
        <item x="1"/>
        <item x="2"/>
        <item x="3"/>
        <item x="4"/>
        <item x="5"/>
        <item x="6"/>
        <item x="7"/>
        <item x="8"/>
        <item x="9"/>
        <item x="10"/>
        <item x="11"/>
        <item t="default"/>
      </items>
    </pivotField>
    <pivotField showAll="0"/>
    <pivotField dataField="1" showAll="0"/>
    <pivotField showAll="0"/>
    <pivotField dataField="1" showAll="0"/>
    <pivotField numFmtId="9" showAll="0"/>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3">
    <i>
      <x v="1"/>
    </i>
    <i>
      <x v="2"/>
    </i>
    <i>
      <x v="3"/>
    </i>
    <i>
      <x v="4"/>
    </i>
    <i>
      <x v="5"/>
    </i>
    <i>
      <x v="6"/>
    </i>
    <i>
      <x v="7"/>
    </i>
    <i>
      <x v="8"/>
    </i>
    <i>
      <x v="9"/>
    </i>
    <i>
      <x v="10"/>
    </i>
    <i>
      <x v="11"/>
    </i>
    <i>
      <x v="12"/>
    </i>
    <i t="grand">
      <x/>
    </i>
  </rowItems>
  <colFields count="1">
    <field x="-2"/>
  </colFields>
  <colItems count="2">
    <i>
      <x/>
    </i>
    <i i="1">
      <x v="1"/>
    </i>
  </colItems>
  <dataFields count="2">
    <dataField name="Sum of Deals Closed" fld="5" baseField="0" baseItem="0"/>
    <dataField name="Sum of Calls Reached" fld="3"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81C07E-F5B7-4155-95D1-0AA10680E260}" name="Kpi part" cacheId="1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11">
    <pivotField showAll="0">
      <items count="23">
        <item x="3"/>
        <item x="7"/>
        <item x="5"/>
        <item x="8"/>
        <item x="4"/>
        <item x="17"/>
        <item x="11"/>
        <item x="16"/>
        <item x="1"/>
        <item x="15"/>
        <item x="12"/>
        <item x="6"/>
        <item x="19"/>
        <item x="9"/>
        <item x="10"/>
        <item x="13"/>
        <item x="21"/>
        <item x="18"/>
        <item x="14"/>
        <item x="0"/>
        <item x="2"/>
        <item x="20"/>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Sum of Calls Reached" fld="3" baseField="0" baseItem="0" numFmtId="1"/>
    <dataField name="Sum of Deals Closed" fld="5" baseField="0" baseItem="0"/>
    <dataField name="Sum of Total Calls" fld="2" baseField="0" baseItem="0"/>
    <dataField name="Sum of Deal Value ($)" fld="7"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7657F5F2-2CDF-40FF-880B-8041D6CA882C}" sourceName="Name">
  <pivotTables>
    <pivotTable tabId="3" name="Kpi part"/>
    <pivotTable tabId="3" name="Month value"/>
    <pivotTable tabId="3" name="Total Deal Value"/>
    <pivotTable tabId="3" name="Average Call Duration"/>
    <pivotTable tabId="3" name="Avareage call Drop rate"/>
  </pivotTables>
  <data>
    <tabular pivotCacheId="832264849">
      <items count="22">
        <i x="3" s="1"/>
        <i x="7" s="1"/>
        <i x="5" s="1"/>
        <i x="8" s="1"/>
        <i x="4" s="1"/>
        <i x="17" s="1"/>
        <i x="11" s="1"/>
        <i x="16" s="1"/>
        <i x="1" s="1"/>
        <i x="15" s="1"/>
        <i x="12" s="1"/>
        <i x="6" s="1"/>
        <i x="19" s="1"/>
        <i x="9" s="1"/>
        <i x="10" s="1"/>
        <i x="13" s="1"/>
        <i x="21" s="1"/>
        <i x="18" s="1"/>
        <i x="14" s="1"/>
        <i x="0" s="1"/>
        <i x="2" s="1"/>
        <i x="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A4A561BC-06BF-43A8-96B6-5A6C02C8E7D5}" cache="Slicer_Name" caption="Name"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A3366C-5840-4317-ADCD-F2FF1AE890D6}" name="DashbaordData" displayName="DashbaordData" ref="A1:I313" totalsRowShown="0" headerRowDxfId="10" dataDxfId="9">
  <autoFilter ref="A1:I313" xr:uid="{97A3366C-5840-4317-ADCD-F2FF1AE890D6}"/>
  <tableColumns count="9">
    <tableColumn id="1" xr3:uid="{0D226F69-3EC2-4A6A-B724-CD95EFBD2C3F}" name="Name" dataDxfId="8"/>
    <tableColumn id="2" xr3:uid="{1F86E81B-B939-4B5E-B8EE-EC05E04DB3D5}" name="Date" dataDxfId="7"/>
    <tableColumn id="3" xr3:uid="{5142579B-0420-4E82-818E-F93B65800400}" name="Total Calls" dataDxfId="6"/>
    <tableColumn id="4" xr3:uid="{1E1C91B1-979C-47EF-8BB1-EC790F364243}" name="Calls Reached" dataDxfId="5"/>
    <tableColumn id="5" xr3:uid="{892F514E-61BA-4569-BC53-D91327D1DDE8}" name="Average Duration (sec)" dataDxfId="4"/>
    <tableColumn id="6" xr3:uid="{3AB50D0A-B825-4BBA-8B37-78036F0A258C}" name="Deals Closed" dataDxfId="3"/>
    <tableColumn id="7" xr3:uid="{5C3B9BC9-1B38-4028-A9EF-20EBDBB12C69}" name="Call Conversion Rate (%)" dataDxfId="2" dataCellStyle="Percent">
      <calculatedColumnFormula>F2/D2</calculatedColumnFormula>
    </tableColumn>
    <tableColumn id="8" xr3:uid="{C4E98770-03F9-4688-A6C4-AE28637F847B}" name="Deal Value ($)" dataDxfId="1"/>
    <tableColumn id="9" xr3:uid="{F825F3B8-5B48-4345-BE18-502570BC40E0}" name="Call Drop Rate (%)"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3E63E34-3AA3-41E0-977F-5E7EE6CACC9B}" sourceName="Date">
  <pivotTables>
    <pivotTable tabId="3" name="Total Deal Value"/>
    <pivotTable tabId="2" name="PivotTable3"/>
  </pivotTables>
  <state minimalRefreshVersion="6" lastRefreshVersion="6" pivotCacheId="832264849" filterType="dateBetween">
    <selection startDate="2024-01-01T00:00:00" endDate="2024-12-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9105349-1348-40ED-A5FB-31DB6D7F68C1}" cache="NativeTimeline_Date" caption="Date" showHeader="0" showTimeLevel="0" level="2" selectionLevel="0" scrollPosition="2024-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CE9AA-0464-45BA-936A-B8778C4E1FB6}">
  <dimension ref="A1:I313"/>
  <sheetViews>
    <sheetView workbookViewId="0">
      <selection activeCell="K22" sqref="K22"/>
    </sheetView>
  </sheetViews>
  <sheetFormatPr defaultRowHeight="14.4" x14ac:dyDescent="0.3"/>
  <cols>
    <col min="1" max="1" width="10.5546875" bestFit="1" customWidth="1"/>
    <col min="2" max="2" width="8.33203125" bestFit="1" customWidth="1"/>
    <col min="3" max="3" width="9.6640625" bestFit="1" customWidth="1"/>
    <col min="4" max="4" width="12.77734375" bestFit="1" customWidth="1"/>
    <col min="5" max="5" width="19.77734375" bestFit="1" customWidth="1"/>
    <col min="6" max="6" width="11.77734375" bestFit="1" customWidth="1"/>
    <col min="7" max="7" width="21.5546875" bestFit="1" customWidth="1"/>
    <col min="8" max="8" width="12.44140625" bestFit="1" customWidth="1"/>
    <col min="9" max="9" width="16.109375" bestFit="1" customWidth="1"/>
  </cols>
  <sheetData>
    <row r="1" spans="1:9" x14ac:dyDescent="0.3">
      <c r="A1" s="1" t="s">
        <v>0</v>
      </c>
      <c r="B1" s="2" t="s">
        <v>1</v>
      </c>
      <c r="C1" s="1" t="s">
        <v>2</v>
      </c>
      <c r="D1" s="1" t="s">
        <v>3</v>
      </c>
      <c r="E1" s="1" t="s">
        <v>4</v>
      </c>
      <c r="F1" s="1" t="s">
        <v>5</v>
      </c>
      <c r="G1" s="3" t="s">
        <v>6</v>
      </c>
      <c r="H1" s="1" t="s">
        <v>7</v>
      </c>
      <c r="I1" s="1" t="s">
        <v>8</v>
      </c>
    </row>
    <row r="2" spans="1:9" x14ac:dyDescent="0.3">
      <c r="A2" s="4" t="s">
        <v>9</v>
      </c>
      <c r="B2" s="5">
        <v>45292</v>
      </c>
      <c r="C2" s="4">
        <v>74</v>
      </c>
      <c r="D2" s="4">
        <v>12</v>
      </c>
      <c r="E2" s="4">
        <v>330.42</v>
      </c>
      <c r="F2" s="4">
        <v>7</v>
      </c>
      <c r="G2" s="6">
        <v>0.58333333333333337</v>
      </c>
      <c r="H2" s="4">
        <v>4276.3100000000004</v>
      </c>
      <c r="I2" s="6">
        <v>2.9500000000000002E-2</v>
      </c>
    </row>
    <row r="3" spans="1:9" x14ac:dyDescent="0.3">
      <c r="A3" s="4" t="s">
        <v>10</v>
      </c>
      <c r="B3" s="5">
        <v>45292</v>
      </c>
      <c r="C3" s="4">
        <v>78</v>
      </c>
      <c r="D3" s="4">
        <v>12</v>
      </c>
      <c r="E3" s="4">
        <v>377.5</v>
      </c>
      <c r="F3" s="4">
        <v>4</v>
      </c>
      <c r="G3" s="6">
        <v>0.33333333333333331</v>
      </c>
      <c r="H3" s="4">
        <v>3880.98</v>
      </c>
      <c r="I3" s="6">
        <v>4.3400000000000001E-2</v>
      </c>
    </row>
    <row r="4" spans="1:9" x14ac:dyDescent="0.3">
      <c r="A4" s="4" t="s">
        <v>11</v>
      </c>
      <c r="B4" s="5">
        <v>45292</v>
      </c>
      <c r="C4" s="4">
        <v>47</v>
      </c>
      <c r="D4" s="4">
        <v>14</v>
      </c>
      <c r="E4" s="4">
        <v>418.92</v>
      </c>
      <c r="F4" s="4">
        <v>2</v>
      </c>
      <c r="G4" s="6">
        <v>0.14285714285714285</v>
      </c>
      <c r="H4" s="4">
        <v>3716</v>
      </c>
      <c r="I4" s="6">
        <v>4.3899999999999995E-2</v>
      </c>
    </row>
    <row r="5" spans="1:9" x14ac:dyDescent="0.3">
      <c r="A5" s="4" t="s">
        <v>12</v>
      </c>
      <c r="B5" s="5">
        <v>45292</v>
      </c>
      <c r="C5" s="4">
        <v>24</v>
      </c>
      <c r="D5" s="4">
        <v>6</v>
      </c>
      <c r="E5" s="4">
        <v>76.930000000000007</v>
      </c>
      <c r="F5" s="4">
        <v>4</v>
      </c>
      <c r="G5" s="6">
        <v>0.66666666666666663</v>
      </c>
      <c r="H5" s="4">
        <v>1552.35</v>
      </c>
      <c r="I5" s="6">
        <v>3.0800000000000001E-2</v>
      </c>
    </row>
    <row r="6" spans="1:9" x14ac:dyDescent="0.3">
      <c r="A6" s="4" t="s">
        <v>13</v>
      </c>
      <c r="B6" s="5">
        <v>45292</v>
      </c>
      <c r="C6" s="4">
        <v>81</v>
      </c>
      <c r="D6" s="4">
        <v>16</v>
      </c>
      <c r="E6" s="4">
        <v>516.23</v>
      </c>
      <c r="F6" s="4">
        <v>5</v>
      </c>
      <c r="G6" s="6">
        <v>0.3125</v>
      </c>
      <c r="H6" s="4">
        <v>1030.68</v>
      </c>
      <c r="I6" s="6">
        <v>4.1100000000000005E-2</v>
      </c>
    </row>
    <row r="7" spans="1:9" x14ac:dyDescent="0.3">
      <c r="A7" s="4" t="s">
        <v>14</v>
      </c>
      <c r="B7" s="5">
        <v>45292</v>
      </c>
      <c r="C7" s="4">
        <v>59</v>
      </c>
      <c r="D7" s="4">
        <v>5</v>
      </c>
      <c r="E7" s="4">
        <v>520.05999999999995</v>
      </c>
      <c r="F7" s="4">
        <v>3</v>
      </c>
      <c r="G7" s="6">
        <v>0.6</v>
      </c>
      <c r="H7" s="4">
        <v>3546.72</v>
      </c>
      <c r="I7" s="6">
        <v>1.2699999999999999E-2</v>
      </c>
    </row>
    <row r="8" spans="1:9" x14ac:dyDescent="0.3">
      <c r="A8" s="4" t="s">
        <v>15</v>
      </c>
      <c r="B8" s="5">
        <v>45292</v>
      </c>
      <c r="C8" s="4">
        <v>68</v>
      </c>
      <c r="D8" s="4">
        <v>19</v>
      </c>
      <c r="E8" s="4">
        <v>290.39</v>
      </c>
      <c r="F8" s="4">
        <v>3</v>
      </c>
      <c r="G8" s="6">
        <v>0.15789473684210525</v>
      </c>
      <c r="H8" s="4">
        <v>2472.2399999999998</v>
      </c>
      <c r="I8" s="6">
        <v>9.5399999999999985E-2</v>
      </c>
    </row>
    <row r="9" spans="1:9" x14ac:dyDescent="0.3">
      <c r="A9" s="4" t="s">
        <v>16</v>
      </c>
      <c r="B9" s="5">
        <v>45292</v>
      </c>
      <c r="C9" s="4">
        <v>60</v>
      </c>
      <c r="D9" s="4">
        <v>7</v>
      </c>
      <c r="E9" s="4">
        <v>251.7</v>
      </c>
      <c r="F9" s="4">
        <v>5</v>
      </c>
      <c r="G9" s="6">
        <v>0.7142857142857143</v>
      </c>
      <c r="H9" s="4">
        <v>3956.69</v>
      </c>
      <c r="I9" s="6">
        <v>4.1100000000000005E-2</v>
      </c>
    </row>
    <row r="10" spans="1:9" x14ac:dyDescent="0.3">
      <c r="A10" s="4" t="s">
        <v>17</v>
      </c>
      <c r="B10" s="5">
        <v>45292</v>
      </c>
      <c r="C10" s="4">
        <v>34</v>
      </c>
      <c r="D10" s="4">
        <v>21</v>
      </c>
      <c r="E10" s="4">
        <v>362.62</v>
      </c>
      <c r="F10" s="4">
        <v>9</v>
      </c>
      <c r="G10" s="6">
        <v>0.42857142857142855</v>
      </c>
      <c r="H10" s="4">
        <v>1140.08</v>
      </c>
      <c r="I10" s="6">
        <v>5.4600000000000003E-2</v>
      </c>
    </row>
    <row r="11" spans="1:9" x14ac:dyDescent="0.3">
      <c r="A11" s="4" t="s">
        <v>18</v>
      </c>
      <c r="B11" s="5">
        <v>45292</v>
      </c>
      <c r="C11" s="4">
        <v>59</v>
      </c>
      <c r="D11" s="4">
        <v>13</v>
      </c>
      <c r="E11" s="4">
        <v>307.49</v>
      </c>
      <c r="F11" s="4">
        <v>10</v>
      </c>
      <c r="G11" s="6">
        <v>0.76923076923076927</v>
      </c>
      <c r="H11" s="4">
        <v>979.09</v>
      </c>
      <c r="I11" s="6">
        <v>3.27E-2</v>
      </c>
    </row>
    <row r="12" spans="1:9" x14ac:dyDescent="0.3">
      <c r="A12" s="4" t="s">
        <v>19</v>
      </c>
      <c r="B12" s="5">
        <v>45292</v>
      </c>
      <c r="C12" s="4">
        <v>18</v>
      </c>
      <c r="D12" s="4">
        <v>8</v>
      </c>
      <c r="E12" s="4">
        <v>206.81</v>
      </c>
      <c r="F12" s="4">
        <v>7</v>
      </c>
      <c r="G12" s="6">
        <v>0.875</v>
      </c>
      <c r="H12" s="4">
        <v>720.56</v>
      </c>
      <c r="I12" s="6">
        <v>7.8899999999999998E-2</v>
      </c>
    </row>
    <row r="13" spans="1:9" x14ac:dyDescent="0.3">
      <c r="A13" s="4" t="s">
        <v>20</v>
      </c>
      <c r="B13" s="5">
        <v>45292</v>
      </c>
      <c r="C13" s="4">
        <v>36</v>
      </c>
      <c r="D13" s="4">
        <v>6</v>
      </c>
      <c r="E13" s="4">
        <v>547.6</v>
      </c>
      <c r="F13" s="4">
        <v>5</v>
      </c>
      <c r="G13" s="6">
        <v>0.83333333333333337</v>
      </c>
      <c r="H13" s="4">
        <v>3463.18</v>
      </c>
      <c r="I13" s="6">
        <v>3.7599999999999995E-2</v>
      </c>
    </row>
    <row r="14" spans="1:9" x14ac:dyDescent="0.3">
      <c r="A14" s="4" t="s">
        <v>21</v>
      </c>
      <c r="B14" s="5">
        <v>45292</v>
      </c>
      <c r="C14" s="4">
        <v>67</v>
      </c>
      <c r="D14" s="4">
        <v>17</v>
      </c>
      <c r="E14" s="4">
        <v>552.54999999999995</v>
      </c>
      <c r="F14" s="4">
        <v>2</v>
      </c>
      <c r="G14" s="6">
        <v>0.11764705882352941</v>
      </c>
      <c r="H14" s="4">
        <v>330.12</v>
      </c>
      <c r="I14" s="6">
        <v>3.7200000000000004E-2</v>
      </c>
    </row>
    <row r="15" spans="1:9" x14ac:dyDescent="0.3">
      <c r="A15" s="4" t="s">
        <v>22</v>
      </c>
      <c r="B15" s="5">
        <v>45292</v>
      </c>
      <c r="C15" s="4">
        <v>36</v>
      </c>
      <c r="D15" s="4">
        <v>9</v>
      </c>
      <c r="E15" s="4">
        <v>216.03</v>
      </c>
      <c r="F15" s="4">
        <v>2</v>
      </c>
      <c r="G15" s="6">
        <v>0.22222222222222221</v>
      </c>
      <c r="H15" s="4">
        <v>4072.07</v>
      </c>
      <c r="I15" s="6">
        <v>4.1200000000000001E-2</v>
      </c>
    </row>
    <row r="16" spans="1:9" x14ac:dyDescent="0.3">
      <c r="A16" s="4" t="s">
        <v>23</v>
      </c>
      <c r="B16" s="5">
        <v>45292</v>
      </c>
      <c r="C16" s="4">
        <v>54</v>
      </c>
      <c r="D16" s="4">
        <v>10</v>
      </c>
      <c r="E16" s="4">
        <v>208.23</v>
      </c>
      <c r="F16" s="4">
        <v>3</v>
      </c>
      <c r="G16" s="6">
        <v>0.3</v>
      </c>
      <c r="H16" s="4">
        <v>645.83000000000004</v>
      </c>
      <c r="I16" s="6">
        <v>2.7999999999999997E-2</v>
      </c>
    </row>
    <row r="17" spans="1:9" x14ac:dyDescent="0.3">
      <c r="A17" s="4" t="s">
        <v>24</v>
      </c>
      <c r="B17" s="5">
        <v>45292</v>
      </c>
      <c r="C17" s="4">
        <v>82</v>
      </c>
      <c r="D17" s="4">
        <v>4</v>
      </c>
      <c r="E17" s="4">
        <v>180.06</v>
      </c>
      <c r="F17" s="4">
        <v>4</v>
      </c>
      <c r="G17" s="6">
        <v>1</v>
      </c>
      <c r="H17" s="4">
        <v>1207.17</v>
      </c>
      <c r="I17" s="6">
        <v>8.4199999999999997E-2</v>
      </c>
    </row>
    <row r="18" spans="1:9" x14ac:dyDescent="0.3">
      <c r="A18" s="4" t="s">
        <v>25</v>
      </c>
      <c r="B18" s="5">
        <v>45292</v>
      </c>
      <c r="C18" s="4">
        <v>81</v>
      </c>
      <c r="D18" s="4">
        <v>7</v>
      </c>
      <c r="E18" s="4">
        <v>82.43</v>
      </c>
      <c r="F18" s="4">
        <v>7</v>
      </c>
      <c r="G18" s="6">
        <v>1</v>
      </c>
      <c r="H18" s="4">
        <v>3463.96</v>
      </c>
      <c r="I18" s="6">
        <v>8.4900000000000003E-2</v>
      </c>
    </row>
    <row r="19" spans="1:9" x14ac:dyDescent="0.3">
      <c r="A19" s="4" t="s">
        <v>26</v>
      </c>
      <c r="B19" s="5">
        <v>45292</v>
      </c>
      <c r="C19" s="4">
        <v>31</v>
      </c>
      <c r="D19" s="4">
        <v>17</v>
      </c>
      <c r="E19" s="4">
        <v>476.95</v>
      </c>
      <c r="F19" s="4">
        <v>7</v>
      </c>
      <c r="G19" s="6">
        <v>0.41176470588235292</v>
      </c>
      <c r="H19" s="4">
        <v>3945.43</v>
      </c>
      <c r="I19" s="6">
        <v>3.6000000000000004E-2</v>
      </c>
    </row>
    <row r="20" spans="1:9" x14ac:dyDescent="0.3">
      <c r="A20" s="4" t="s">
        <v>27</v>
      </c>
      <c r="B20" s="5">
        <v>45292</v>
      </c>
      <c r="C20" s="4">
        <v>92</v>
      </c>
      <c r="D20" s="4">
        <v>20</v>
      </c>
      <c r="E20" s="4">
        <v>161.41999999999999</v>
      </c>
      <c r="F20" s="4">
        <v>4</v>
      </c>
      <c r="G20" s="6">
        <v>0.2</v>
      </c>
      <c r="H20" s="4">
        <v>425.41</v>
      </c>
      <c r="I20" s="6">
        <v>0.1045</v>
      </c>
    </row>
    <row r="21" spans="1:9" x14ac:dyDescent="0.3">
      <c r="A21" s="4" t="s">
        <v>28</v>
      </c>
      <c r="B21" s="5">
        <v>45292</v>
      </c>
      <c r="C21" s="4">
        <v>73</v>
      </c>
      <c r="D21" s="4">
        <v>12</v>
      </c>
      <c r="E21" s="4">
        <v>507.45</v>
      </c>
      <c r="F21" s="4">
        <v>0</v>
      </c>
      <c r="G21" s="6">
        <v>0</v>
      </c>
      <c r="H21" s="4">
        <v>1123.8399999999999</v>
      </c>
      <c r="I21" s="6">
        <v>8.9999999999999998E-4</v>
      </c>
    </row>
    <row r="22" spans="1:9" x14ac:dyDescent="0.3">
      <c r="A22" s="4" t="s">
        <v>29</v>
      </c>
      <c r="B22" s="5">
        <v>45292</v>
      </c>
      <c r="C22" s="4">
        <v>25</v>
      </c>
      <c r="D22" s="4">
        <v>14</v>
      </c>
      <c r="E22" s="4">
        <v>279.95</v>
      </c>
      <c r="F22" s="4">
        <v>2</v>
      </c>
      <c r="G22" s="6">
        <v>0.14285714285714285</v>
      </c>
      <c r="H22" s="4">
        <v>1432.23</v>
      </c>
      <c r="I22" s="6">
        <v>5.1699999999999996E-2</v>
      </c>
    </row>
    <row r="23" spans="1:9" x14ac:dyDescent="0.3">
      <c r="A23" s="4" t="s">
        <v>30</v>
      </c>
      <c r="B23" s="5">
        <v>45292</v>
      </c>
      <c r="C23" s="4">
        <v>96</v>
      </c>
      <c r="D23" s="4">
        <v>6</v>
      </c>
      <c r="E23" s="4">
        <v>532.83000000000004</v>
      </c>
      <c r="F23" s="4">
        <v>1</v>
      </c>
      <c r="G23" s="6">
        <v>0.16666666666666666</v>
      </c>
      <c r="H23" s="4">
        <v>3173.13</v>
      </c>
      <c r="I23" s="6">
        <v>2.8300000000000002E-2</v>
      </c>
    </row>
    <row r="24" spans="1:9" x14ac:dyDescent="0.3">
      <c r="A24" s="4" t="s">
        <v>9</v>
      </c>
      <c r="B24" s="5">
        <v>45292</v>
      </c>
      <c r="C24" s="4">
        <v>63</v>
      </c>
      <c r="D24" s="4">
        <v>8</v>
      </c>
      <c r="E24" s="4">
        <v>170.49</v>
      </c>
      <c r="F24" s="4">
        <v>7</v>
      </c>
      <c r="G24" s="6">
        <v>0.875</v>
      </c>
      <c r="H24" s="4">
        <v>526.12</v>
      </c>
      <c r="I24" s="6">
        <v>8.3499999999999991E-2</v>
      </c>
    </row>
    <row r="25" spans="1:9" x14ac:dyDescent="0.3">
      <c r="A25" s="4" t="s">
        <v>10</v>
      </c>
      <c r="B25" s="5">
        <v>45292</v>
      </c>
      <c r="C25" s="4">
        <v>92</v>
      </c>
      <c r="D25" s="4">
        <v>13</v>
      </c>
      <c r="E25" s="4">
        <v>422.39</v>
      </c>
      <c r="F25" s="4">
        <v>1</v>
      </c>
      <c r="G25" s="6">
        <v>7.6923076923076927E-2</v>
      </c>
      <c r="H25" s="4">
        <v>2695.84</v>
      </c>
      <c r="I25" s="6">
        <v>2.46E-2</v>
      </c>
    </row>
    <row r="26" spans="1:9" x14ac:dyDescent="0.3">
      <c r="A26" s="4" t="s">
        <v>11</v>
      </c>
      <c r="B26" s="5">
        <v>45292</v>
      </c>
      <c r="C26" s="4">
        <v>38</v>
      </c>
      <c r="D26" s="4">
        <v>10</v>
      </c>
      <c r="E26" s="4">
        <v>514.25</v>
      </c>
      <c r="F26" s="4">
        <v>4</v>
      </c>
      <c r="G26" s="6">
        <v>0.4</v>
      </c>
      <c r="H26" s="4">
        <v>243.62</v>
      </c>
      <c r="I26" s="6">
        <v>6.4399999999999999E-2</v>
      </c>
    </row>
    <row r="27" spans="1:9" x14ac:dyDescent="0.3">
      <c r="A27" s="4" t="s">
        <v>12</v>
      </c>
      <c r="B27" s="5">
        <v>45292</v>
      </c>
      <c r="C27" s="4">
        <v>43</v>
      </c>
      <c r="D27" s="4">
        <v>15</v>
      </c>
      <c r="E27" s="4">
        <v>363.48</v>
      </c>
      <c r="F27" s="4">
        <v>7</v>
      </c>
      <c r="G27" s="6">
        <v>0.46666666666666667</v>
      </c>
      <c r="H27" s="4">
        <v>3843.52</v>
      </c>
      <c r="I27" s="6">
        <v>8.3400000000000002E-2</v>
      </c>
    </row>
    <row r="28" spans="1:9" x14ac:dyDescent="0.3">
      <c r="A28" s="4" t="s">
        <v>13</v>
      </c>
      <c r="B28" s="5">
        <v>45323</v>
      </c>
      <c r="C28" s="4">
        <v>62</v>
      </c>
      <c r="D28" s="4">
        <v>15</v>
      </c>
      <c r="E28" s="4">
        <v>361.38</v>
      </c>
      <c r="F28" s="4">
        <v>6</v>
      </c>
      <c r="G28" s="6">
        <v>0.4</v>
      </c>
      <c r="H28" s="4">
        <v>4195.1400000000003</v>
      </c>
      <c r="I28" s="6">
        <v>2.75E-2</v>
      </c>
    </row>
    <row r="29" spans="1:9" x14ac:dyDescent="0.3">
      <c r="A29" s="4" t="s">
        <v>14</v>
      </c>
      <c r="B29" s="5">
        <v>45323</v>
      </c>
      <c r="C29" s="4">
        <v>81</v>
      </c>
      <c r="D29" s="4">
        <v>14</v>
      </c>
      <c r="E29" s="4">
        <v>362.96</v>
      </c>
      <c r="F29" s="4">
        <v>5</v>
      </c>
      <c r="G29" s="6">
        <v>0.35714285714285715</v>
      </c>
      <c r="H29" s="4">
        <v>3620.19</v>
      </c>
      <c r="I29" s="6">
        <v>4.0800000000000003E-2</v>
      </c>
    </row>
    <row r="30" spans="1:9" x14ac:dyDescent="0.3">
      <c r="A30" s="4" t="s">
        <v>15</v>
      </c>
      <c r="B30" s="5">
        <v>45323</v>
      </c>
      <c r="C30" s="4">
        <v>52</v>
      </c>
      <c r="D30" s="4">
        <v>14</v>
      </c>
      <c r="E30" s="4">
        <v>382.59</v>
      </c>
      <c r="F30" s="4">
        <v>3</v>
      </c>
      <c r="G30" s="6">
        <v>0.21428571428571427</v>
      </c>
      <c r="H30" s="4">
        <v>3394.39</v>
      </c>
      <c r="I30" s="6">
        <v>4.5599999999999995E-2</v>
      </c>
    </row>
    <row r="31" spans="1:9" x14ac:dyDescent="0.3">
      <c r="A31" s="4" t="s">
        <v>16</v>
      </c>
      <c r="B31" s="5">
        <v>45323</v>
      </c>
      <c r="C31" s="4">
        <v>22</v>
      </c>
      <c r="D31" s="4">
        <v>7</v>
      </c>
      <c r="E31" s="4">
        <v>79.459999999999994</v>
      </c>
      <c r="F31" s="4">
        <v>3</v>
      </c>
      <c r="G31" s="6">
        <v>0.42857142857142855</v>
      </c>
      <c r="H31" s="4">
        <v>1638.74</v>
      </c>
      <c r="I31" s="6">
        <v>3.04E-2</v>
      </c>
    </row>
    <row r="32" spans="1:9" x14ac:dyDescent="0.3">
      <c r="A32" s="4" t="s">
        <v>17</v>
      </c>
      <c r="B32" s="5">
        <v>45323</v>
      </c>
      <c r="C32" s="4">
        <v>93</v>
      </c>
      <c r="D32" s="4">
        <v>11</v>
      </c>
      <c r="E32" s="4">
        <v>446.3</v>
      </c>
      <c r="F32" s="4">
        <v>5</v>
      </c>
      <c r="G32" s="6">
        <v>0.45454545454545453</v>
      </c>
      <c r="H32" s="4">
        <v>1057.1400000000001</v>
      </c>
      <c r="I32" s="6">
        <v>3.6900000000000002E-2</v>
      </c>
    </row>
    <row r="33" spans="1:9" x14ac:dyDescent="0.3">
      <c r="A33" s="4" t="s">
        <v>18</v>
      </c>
      <c r="B33" s="5">
        <v>45323</v>
      </c>
      <c r="C33" s="4">
        <v>65</v>
      </c>
      <c r="D33" s="4">
        <v>7</v>
      </c>
      <c r="E33" s="4">
        <v>461.67</v>
      </c>
      <c r="F33" s="4">
        <v>2</v>
      </c>
      <c r="G33" s="6">
        <v>0.2857142857142857</v>
      </c>
      <c r="H33" s="4">
        <v>3486.23</v>
      </c>
      <c r="I33" s="6">
        <v>1.1200000000000002E-2</v>
      </c>
    </row>
    <row r="34" spans="1:9" x14ac:dyDescent="0.3">
      <c r="A34" s="4" t="s">
        <v>19</v>
      </c>
      <c r="B34" s="5">
        <v>45323</v>
      </c>
      <c r="C34" s="4">
        <v>90</v>
      </c>
      <c r="D34" s="4">
        <v>20</v>
      </c>
      <c r="E34" s="4">
        <v>328.63</v>
      </c>
      <c r="F34" s="4">
        <v>3</v>
      </c>
      <c r="G34" s="6">
        <v>0.15</v>
      </c>
      <c r="H34" s="4">
        <v>2662.44</v>
      </c>
      <c r="I34" s="6">
        <v>0.10640000000000001</v>
      </c>
    </row>
    <row r="35" spans="1:9" x14ac:dyDescent="0.3">
      <c r="A35" s="4" t="s">
        <v>20</v>
      </c>
      <c r="B35" s="5">
        <v>45323</v>
      </c>
      <c r="C35" s="4">
        <v>48</v>
      </c>
      <c r="D35" s="4">
        <v>7</v>
      </c>
      <c r="E35" s="4">
        <v>247.66</v>
      </c>
      <c r="F35" s="4">
        <v>6</v>
      </c>
      <c r="G35" s="6">
        <v>0.8571428571428571</v>
      </c>
      <c r="H35" s="4">
        <v>4335.84</v>
      </c>
      <c r="I35" s="6">
        <v>3.9900000000000005E-2</v>
      </c>
    </row>
    <row r="36" spans="1:9" x14ac:dyDescent="0.3">
      <c r="A36" s="4" t="s">
        <v>21</v>
      </c>
      <c r="B36" s="5">
        <v>45323</v>
      </c>
      <c r="C36" s="4">
        <v>37</v>
      </c>
      <c r="D36" s="4">
        <v>17</v>
      </c>
      <c r="E36" s="4">
        <v>378.61</v>
      </c>
      <c r="F36" s="4">
        <v>10</v>
      </c>
      <c r="G36" s="6">
        <v>0.58823529411764708</v>
      </c>
      <c r="H36" s="4">
        <v>1295.07</v>
      </c>
      <c r="I36" s="6">
        <v>5.6299999999999996E-2</v>
      </c>
    </row>
    <row r="37" spans="1:9" x14ac:dyDescent="0.3">
      <c r="A37" s="4" t="s">
        <v>22</v>
      </c>
      <c r="B37" s="5">
        <v>45323</v>
      </c>
      <c r="C37" s="4">
        <v>68</v>
      </c>
      <c r="D37" s="4">
        <v>16</v>
      </c>
      <c r="E37" s="4">
        <v>299.58999999999997</v>
      </c>
      <c r="F37" s="4">
        <v>9</v>
      </c>
      <c r="G37" s="6">
        <v>0.5625</v>
      </c>
      <c r="H37" s="4">
        <v>979.47</v>
      </c>
      <c r="I37" s="6">
        <v>3.6900000000000002E-2</v>
      </c>
    </row>
    <row r="38" spans="1:9" x14ac:dyDescent="0.3">
      <c r="A38" s="4" t="s">
        <v>23</v>
      </c>
      <c r="B38" s="5">
        <v>45323</v>
      </c>
      <c r="C38" s="4">
        <v>20</v>
      </c>
      <c r="D38" s="4">
        <v>9</v>
      </c>
      <c r="E38" s="4">
        <v>202.4</v>
      </c>
      <c r="F38" s="4">
        <v>7</v>
      </c>
      <c r="G38" s="6">
        <v>0.77777777777777779</v>
      </c>
      <c r="H38" s="4">
        <v>732.99</v>
      </c>
      <c r="I38" s="6">
        <v>7.9000000000000001E-2</v>
      </c>
    </row>
    <row r="39" spans="1:9" x14ac:dyDescent="0.3">
      <c r="A39" s="4" t="s">
        <v>24</v>
      </c>
      <c r="B39" s="5">
        <v>45323</v>
      </c>
      <c r="C39" s="4">
        <v>35</v>
      </c>
      <c r="D39" s="4">
        <v>6</v>
      </c>
      <c r="E39" s="4">
        <v>568.38</v>
      </c>
      <c r="F39" s="4">
        <v>6</v>
      </c>
      <c r="G39" s="6">
        <v>1</v>
      </c>
      <c r="H39" s="4">
        <v>3949.69</v>
      </c>
      <c r="I39" s="6">
        <v>3.7499999999999999E-2</v>
      </c>
    </row>
    <row r="40" spans="1:9" x14ac:dyDescent="0.3">
      <c r="A40" s="4" t="s">
        <v>25</v>
      </c>
      <c r="B40" s="5">
        <v>45323</v>
      </c>
      <c r="C40" s="4">
        <v>68</v>
      </c>
      <c r="D40" s="4">
        <v>21</v>
      </c>
      <c r="E40" s="4">
        <v>553.08000000000004</v>
      </c>
      <c r="F40" s="4">
        <v>3</v>
      </c>
      <c r="G40" s="6">
        <v>0.14285714285714285</v>
      </c>
      <c r="H40" s="4">
        <v>360.7</v>
      </c>
      <c r="I40" s="6">
        <v>3.3399999999999999E-2</v>
      </c>
    </row>
    <row r="41" spans="1:9" x14ac:dyDescent="0.3">
      <c r="A41" s="4" t="s">
        <v>26</v>
      </c>
      <c r="B41" s="5">
        <v>45323</v>
      </c>
      <c r="C41" s="4">
        <v>30</v>
      </c>
      <c r="D41" s="4">
        <v>8</v>
      </c>
      <c r="E41" s="4">
        <v>223.22</v>
      </c>
      <c r="F41" s="4">
        <v>2</v>
      </c>
      <c r="G41" s="6">
        <v>0.25</v>
      </c>
      <c r="H41" s="4">
        <v>3595.12</v>
      </c>
      <c r="I41" s="6">
        <v>4.3400000000000001E-2</v>
      </c>
    </row>
    <row r="42" spans="1:9" x14ac:dyDescent="0.3">
      <c r="A42" s="4" t="s">
        <v>27</v>
      </c>
      <c r="B42" s="5">
        <v>45323</v>
      </c>
      <c r="C42" s="4">
        <v>69</v>
      </c>
      <c r="D42" s="4">
        <v>8</v>
      </c>
      <c r="E42" s="4">
        <v>199.93</v>
      </c>
      <c r="F42" s="4">
        <v>2</v>
      </c>
      <c r="G42" s="6">
        <v>0.25</v>
      </c>
      <c r="H42" s="4">
        <v>610.66</v>
      </c>
      <c r="I42" s="6">
        <v>2.8199999999999999E-2</v>
      </c>
    </row>
    <row r="43" spans="1:9" x14ac:dyDescent="0.3">
      <c r="A43" s="4" t="s">
        <v>28</v>
      </c>
      <c r="B43" s="5">
        <v>45323</v>
      </c>
      <c r="C43" s="4">
        <v>92</v>
      </c>
      <c r="D43" s="4">
        <v>6</v>
      </c>
      <c r="E43" s="4">
        <v>180.46</v>
      </c>
      <c r="F43" s="4">
        <v>5</v>
      </c>
      <c r="G43" s="6">
        <v>0.83333333333333337</v>
      </c>
      <c r="H43" s="4">
        <v>1173.27</v>
      </c>
      <c r="I43" s="6">
        <v>7.5300000000000006E-2</v>
      </c>
    </row>
    <row r="44" spans="1:9" x14ac:dyDescent="0.3">
      <c r="A44" s="4" t="s">
        <v>29</v>
      </c>
      <c r="B44" s="5">
        <v>45323</v>
      </c>
      <c r="C44" s="4">
        <v>92</v>
      </c>
      <c r="D44" s="4">
        <v>7</v>
      </c>
      <c r="E44" s="4">
        <v>80.12</v>
      </c>
      <c r="F44" s="4">
        <v>6</v>
      </c>
      <c r="G44" s="6">
        <v>0.8571428571428571</v>
      </c>
      <c r="H44" s="4">
        <v>3794.02</v>
      </c>
      <c r="I44" s="6">
        <v>9.5000000000000001E-2</v>
      </c>
    </row>
    <row r="45" spans="1:9" x14ac:dyDescent="0.3">
      <c r="A45" s="4" t="s">
        <v>30</v>
      </c>
      <c r="B45" s="5">
        <v>45323</v>
      </c>
      <c r="C45" s="4">
        <v>21</v>
      </c>
      <c r="D45" s="4">
        <v>14</v>
      </c>
      <c r="E45" s="4">
        <v>563.79</v>
      </c>
      <c r="F45" s="4">
        <v>8</v>
      </c>
      <c r="G45" s="6">
        <v>0.5714285714285714</v>
      </c>
      <c r="H45" s="4">
        <v>3616.21</v>
      </c>
      <c r="I45" s="6">
        <v>3.61E-2</v>
      </c>
    </row>
    <row r="46" spans="1:9" x14ac:dyDescent="0.3">
      <c r="A46" s="4" t="s">
        <v>9</v>
      </c>
      <c r="B46" s="5">
        <v>45323</v>
      </c>
      <c r="C46" s="4">
        <v>83</v>
      </c>
      <c r="D46" s="4">
        <v>20</v>
      </c>
      <c r="E46" s="4">
        <v>193.39</v>
      </c>
      <c r="F46" s="4">
        <v>5</v>
      </c>
      <c r="G46" s="6">
        <v>0.25</v>
      </c>
      <c r="H46" s="4">
        <v>402.53</v>
      </c>
      <c r="I46" s="6">
        <v>0.1013</v>
      </c>
    </row>
    <row r="47" spans="1:9" x14ac:dyDescent="0.3">
      <c r="A47" s="4" t="s">
        <v>10</v>
      </c>
      <c r="B47" s="5">
        <v>45323</v>
      </c>
      <c r="C47" s="4">
        <v>57</v>
      </c>
      <c r="D47" s="4">
        <v>11</v>
      </c>
      <c r="E47" s="4">
        <v>454.77</v>
      </c>
      <c r="F47" s="4">
        <v>1</v>
      </c>
      <c r="G47" s="6">
        <v>9.0909090909090912E-2</v>
      </c>
      <c r="H47" s="4">
        <v>1152.4100000000001</v>
      </c>
      <c r="I47" s="6">
        <v>1E-3</v>
      </c>
    </row>
    <row r="48" spans="1:9" x14ac:dyDescent="0.3">
      <c r="A48" s="4" t="s">
        <v>11</v>
      </c>
      <c r="B48" s="5">
        <v>45323</v>
      </c>
      <c r="C48" s="4">
        <v>22</v>
      </c>
      <c r="D48" s="4">
        <v>17</v>
      </c>
      <c r="E48" s="4">
        <v>291.97000000000003</v>
      </c>
      <c r="F48" s="4">
        <v>1</v>
      </c>
      <c r="G48" s="6">
        <v>5.8823529411764705E-2</v>
      </c>
      <c r="H48" s="4">
        <v>1703.6</v>
      </c>
      <c r="I48" s="6">
        <v>5.21E-2</v>
      </c>
    </row>
    <row r="49" spans="1:9" x14ac:dyDescent="0.3">
      <c r="A49" s="4" t="s">
        <v>12</v>
      </c>
      <c r="B49" s="5">
        <v>45323</v>
      </c>
      <c r="C49" s="4">
        <v>78</v>
      </c>
      <c r="D49" s="4">
        <v>5</v>
      </c>
      <c r="E49" s="4">
        <v>553.86</v>
      </c>
      <c r="F49" s="4">
        <v>1</v>
      </c>
      <c r="G49" s="6">
        <v>0.2</v>
      </c>
      <c r="H49" s="4">
        <v>3503.57</v>
      </c>
      <c r="I49" s="6">
        <v>3.1300000000000001E-2</v>
      </c>
    </row>
    <row r="50" spans="1:9" x14ac:dyDescent="0.3">
      <c r="A50" s="4" t="s">
        <v>13</v>
      </c>
      <c r="B50" s="5">
        <v>45323</v>
      </c>
      <c r="C50" s="4">
        <v>68</v>
      </c>
      <c r="D50" s="4">
        <v>7</v>
      </c>
      <c r="E50" s="4">
        <v>171.76</v>
      </c>
      <c r="F50" s="4">
        <v>7</v>
      </c>
      <c r="G50" s="6">
        <v>1</v>
      </c>
      <c r="H50" s="4">
        <v>548.36</v>
      </c>
      <c r="I50" s="6">
        <v>8.2500000000000004E-2</v>
      </c>
    </row>
    <row r="51" spans="1:9" x14ac:dyDescent="0.3">
      <c r="A51" s="4" t="s">
        <v>14</v>
      </c>
      <c r="B51" s="5">
        <v>45323</v>
      </c>
      <c r="C51" s="4">
        <v>83</v>
      </c>
      <c r="D51" s="4">
        <v>16</v>
      </c>
      <c r="E51" s="4">
        <v>382.21</v>
      </c>
      <c r="F51" s="4">
        <v>1</v>
      </c>
      <c r="G51" s="6">
        <v>6.25E-2</v>
      </c>
      <c r="H51" s="4">
        <v>3017.43</v>
      </c>
      <c r="I51" s="6">
        <v>2.4199999999999999E-2</v>
      </c>
    </row>
    <row r="52" spans="1:9" x14ac:dyDescent="0.3">
      <c r="A52" s="4" t="s">
        <v>15</v>
      </c>
      <c r="B52" s="5">
        <v>45323</v>
      </c>
      <c r="C52" s="4">
        <v>31</v>
      </c>
      <c r="D52" s="4">
        <v>11</v>
      </c>
      <c r="E52" s="4">
        <v>562.73</v>
      </c>
      <c r="F52" s="4">
        <v>4</v>
      </c>
      <c r="G52" s="6">
        <v>0.36363636363636365</v>
      </c>
      <c r="H52" s="4">
        <v>221.94</v>
      </c>
      <c r="I52" s="6">
        <v>6.7400000000000002E-2</v>
      </c>
    </row>
    <row r="53" spans="1:9" x14ac:dyDescent="0.3">
      <c r="A53" s="4" t="s">
        <v>16</v>
      </c>
      <c r="B53" s="5">
        <v>45323</v>
      </c>
      <c r="C53" s="4">
        <v>34</v>
      </c>
      <c r="D53" s="4">
        <v>17</v>
      </c>
      <c r="E53" s="4">
        <v>380.37</v>
      </c>
      <c r="F53" s="4">
        <v>7</v>
      </c>
      <c r="G53" s="6">
        <v>0.41176470588235292</v>
      </c>
      <c r="H53" s="4">
        <v>4183.2700000000004</v>
      </c>
      <c r="I53" s="6">
        <v>8.8699999999999987E-2</v>
      </c>
    </row>
    <row r="54" spans="1:9" x14ac:dyDescent="0.3">
      <c r="A54" s="4" t="s">
        <v>17</v>
      </c>
      <c r="B54" s="5">
        <v>45352</v>
      </c>
      <c r="C54" s="4">
        <v>55</v>
      </c>
      <c r="D54" s="4">
        <v>17</v>
      </c>
      <c r="E54" s="4">
        <v>315.62</v>
      </c>
      <c r="F54" s="4">
        <v>5</v>
      </c>
      <c r="G54" s="6">
        <v>0.29411764705882354</v>
      </c>
      <c r="H54" s="4">
        <v>3890.73</v>
      </c>
      <c r="I54" s="6">
        <v>2.8799999999999999E-2</v>
      </c>
    </row>
    <row r="55" spans="1:9" x14ac:dyDescent="0.3">
      <c r="A55" s="4" t="s">
        <v>18</v>
      </c>
      <c r="B55" s="5">
        <v>45352</v>
      </c>
      <c r="C55" s="4">
        <v>91</v>
      </c>
      <c r="D55" s="4">
        <v>10</v>
      </c>
      <c r="E55" s="4">
        <v>361.58</v>
      </c>
      <c r="F55" s="4">
        <v>4</v>
      </c>
      <c r="G55" s="6">
        <v>0.4</v>
      </c>
      <c r="H55" s="4">
        <v>3674.37</v>
      </c>
      <c r="I55" s="6">
        <v>4.0800000000000003E-2</v>
      </c>
    </row>
    <row r="56" spans="1:9" x14ac:dyDescent="0.3">
      <c r="A56" s="4" t="s">
        <v>19</v>
      </c>
      <c r="B56" s="5">
        <v>45352</v>
      </c>
      <c r="C56" s="4">
        <v>59</v>
      </c>
      <c r="D56" s="4">
        <v>13</v>
      </c>
      <c r="E56" s="4">
        <v>402.9</v>
      </c>
      <c r="F56" s="4">
        <v>2</v>
      </c>
      <c r="G56" s="6">
        <v>0.15384615384615385</v>
      </c>
      <c r="H56" s="4">
        <v>3357.27</v>
      </c>
      <c r="I56" s="6">
        <v>4.2599999999999999E-2</v>
      </c>
    </row>
    <row r="57" spans="1:9" x14ac:dyDescent="0.3">
      <c r="A57" s="4" t="s">
        <v>20</v>
      </c>
      <c r="B57" s="5">
        <v>45352</v>
      </c>
      <c r="C57" s="4">
        <v>19</v>
      </c>
      <c r="D57" s="4">
        <v>6</v>
      </c>
      <c r="E57" s="4">
        <v>82.65</v>
      </c>
      <c r="F57" s="4">
        <v>3</v>
      </c>
      <c r="G57" s="6">
        <v>0.5</v>
      </c>
      <c r="H57" s="4">
        <v>1469.62</v>
      </c>
      <c r="I57" s="6">
        <v>3.0699999999999998E-2</v>
      </c>
    </row>
    <row r="58" spans="1:9" x14ac:dyDescent="0.3">
      <c r="A58" s="4" t="s">
        <v>21</v>
      </c>
      <c r="B58" s="5">
        <v>45352</v>
      </c>
      <c r="C58" s="4">
        <v>77</v>
      </c>
      <c r="D58" s="4">
        <v>14</v>
      </c>
      <c r="E58" s="4">
        <v>494.43</v>
      </c>
      <c r="F58" s="4">
        <v>4</v>
      </c>
      <c r="G58" s="6">
        <v>0.2857142857142857</v>
      </c>
      <c r="H58" s="4">
        <v>963.35</v>
      </c>
      <c r="I58" s="6">
        <v>3.6699999999999997E-2</v>
      </c>
    </row>
    <row r="59" spans="1:9" x14ac:dyDescent="0.3">
      <c r="A59" s="4" t="s">
        <v>22</v>
      </c>
      <c r="B59" s="5">
        <v>45352</v>
      </c>
      <c r="C59" s="4">
        <v>50</v>
      </c>
      <c r="D59" s="4">
        <v>8</v>
      </c>
      <c r="E59" s="4">
        <v>512.92999999999995</v>
      </c>
      <c r="F59" s="4">
        <v>3</v>
      </c>
      <c r="G59" s="6">
        <v>0.375</v>
      </c>
      <c r="H59" s="4">
        <v>3725.66</v>
      </c>
      <c r="I59" s="6">
        <v>1.1599999999999999E-2</v>
      </c>
    </row>
    <row r="60" spans="1:9" x14ac:dyDescent="0.3">
      <c r="A60" s="4" t="s">
        <v>23</v>
      </c>
      <c r="B60" s="5">
        <v>45352</v>
      </c>
      <c r="C60" s="4">
        <v>88</v>
      </c>
      <c r="D60" s="4">
        <v>18</v>
      </c>
      <c r="E60" s="4">
        <v>291.04000000000002</v>
      </c>
      <c r="F60" s="4">
        <v>2</v>
      </c>
      <c r="G60" s="6">
        <v>0.1111111111111111</v>
      </c>
      <c r="H60" s="4">
        <v>2619.84</v>
      </c>
      <c r="I60" s="6">
        <v>0.10550000000000001</v>
      </c>
    </row>
    <row r="61" spans="1:9" x14ac:dyDescent="0.3">
      <c r="A61" s="4" t="s">
        <v>24</v>
      </c>
      <c r="B61" s="5">
        <v>45352</v>
      </c>
      <c r="C61" s="4">
        <v>62</v>
      </c>
      <c r="D61" s="4">
        <v>9</v>
      </c>
      <c r="E61" s="4">
        <v>252.77</v>
      </c>
      <c r="F61" s="4">
        <v>7</v>
      </c>
      <c r="G61" s="6">
        <v>0.77777777777777779</v>
      </c>
      <c r="H61" s="4">
        <v>4641.6099999999997</v>
      </c>
      <c r="I61" s="6">
        <v>4.0800000000000003E-2</v>
      </c>
    </row>
    <row r="62" spans="1:9" x14ac:dyDescent="0.3">
      <c r="A62" s="4" t="s">
        <v>25</v>
      </c>
      <c r="B62" s="5">
        <v>45352</v>
      </c>
      <c r="C62" s="4">
        <v>33</v>
      </c>
      <c r="D62" s="4">
        <v>18</v>
      </c>
      <c r="E62" s="4">
        <v>348.57</v>
      </c>
      <c r="F62" s="4">
        <v>8</v>
      </c>
      <c r="G62" s="6">
        <v>0.44444444444444442</v>
      </c>
      <c r="H62" s="4">
        <v>1169.6400000000001</v>
      </c>
      <c r="I62" s="6">
        <v>5.4800000000000001E-2</v>
      </c>
    </row>
    <row r="63" spans="1:9" x14ac:dyDescent="0.3">
      <c r="A63" s="4" t="s">
        <v>26</v>
      </c>
      <c r="B63" s="5">
        <v>45352</v>
      </c>
      <c r="C63" s="4">
        <v>54</v>
      </c>
      <c r="D63" s="4">
        <v>15</v>
      </c>
      <c r="E63" s="4">
        <v>321.99</v>
      </c>
      <c r="F63" s="4">
        <v>8</v>
      </c>
      <c r="G63" s="6">
        <v>0.53333333333333333</v>
      </c>
      <c r="H63" s="4">
        <v>1080.0899999999999</v>
      </c>
      <c r="I63" s="6">
        <v>3.5499999999999997E-2</v>
      </c>
    </row>
    <row r="64" spans="1:9" x14ac:dyDescent="0.3">
      <c r="A64" s="4" t="s">
        <v>27</v>
      </c>
      <c r="B64" s="5">
        <v>45352</v>
      </c>
      <c r="C64" s="4">
        <v>16</v>
      </c>
      <c r="D64" s="4">
        <v>9</v>
      </c>
      <c r="E64" s="4">
        <v>199.87</v>
      </c>
      <c r="F64" s="4">
        <v>9</v>
      </c>
      <c r="G64" s="6">
        <v>1</v>
      </c>
      <c r="H64" s="4">
        <v>818.64</v>
      </c>
      <c r="I64" s="6">
        <v>7.46E-2</v>
      </c>
    </row>
    <row r="65" spans="1:9" x14ac:dyDescent="0.3">
      <c r="A65" s="4" t="s">
        <v>28</v>
      </c>
      <c r="B65" s="5">
        <v>45352</v>
      </c>
      <c r="C65" s="4">
        <v>30</v>
      </c>
      <c r="D65" s="4">
        <v>5</v>
      </c>
      <c r="E65" s="4">
        <v>565.19000000000005</v>
      </c>
      <c r="F65" s="4">
        <v>4</v>
      </c>
      <c r="G65" s="6">
        <v>0.8</v>
      </c>
      <c r="H65" s="4">
        <v>3621.51</v>
      </c>
      <c r="I65" s="6">
        <v>4.3099999999999999E-2</v>
      </c>
    </row>
    <row r="66" spans="1:9" x14ac:dyDescent="0.3">
      <c r="A66" s="4" t="s">
        <v>29</v>
      </c>
      <c r="B66" s="5">
        <v>45352</v>
      </c>
      <c r="C66" s="4">
        <v>68</v>
      </c>
      <c r="D66" s="4">
        <v>19</v>
      </c>
      <c r="E66" s="4">
        <v>623.25</v>
      </c>
      <c r="F66" s="4">
        <v>3</v>
      </c>
      <c r="G66" s="6">
        <v>0.15789473684210525</v>
      </c>
      <c r="H66" s="4">
        <v>355.96</v>
      </c>
      <c r="I66" s="6">
        <v>3.6299999999999999E-2</v>
      </c>
    </row>
    <row r="67" spans="1:9" x14ac:dyDescent="0.3">
      <c r="A67" s="4" t="s">
        <v>30</v>
      </c>
      <c r="B67" s="5">
        <v>45352</v>
      </c>
      <c r="C67" s="4">
        <v>31</v>
      </c>
      <c r="D67" s="4">
        <v>9</v>
      </c>
      <c r="E67" s="4">
        <v>209.18</v>
      </c>
      <c r="F67" s="4">
        <v>2</v>
      </c>
      <c r="G67" s="6">
        <v>0.22222222222222221</v>
      </c>
      <c r="H67" s="4">
        <v>4153.3100000000004</v>
      </c>
      <c r="I67" s="6">
        <v>4.0399999999999998E-2</v>
      </c>
    </row>
    <row r="68" spans="1:9" x14ac:dyDescent="0.3">
      <c r="A68" s="4" t="s">
        <v>9</v>
      </c>
      <c r="B68" s="5">
        <v>45352</v>
      </c>
      <c r="C68" s="4">
        <v>61</v>
      </c>
      <c r="D68" s="4">
        <v>7</v>
      </c>
      <c r="E68" s="4">
        <v>190.5</v>
      </c>
      <c r="F68" s="4">
        <v>3</v>
      </c>
      <c r="G68" s="6">
        <v>0.42857142857142855</v>
      </c>
      <c r="H68" s="4">
        <v>661.2</v>
      </c>
      <c r="I68" s="6">
        <v>2.7699999999999999E-2</v>
      </c>
    </row>
    <row r="69" spans="1:9" x14ac:dyDescent="0.3">
      <c r="A69" s="4" t="s">
        <v>10</v>
      </c>
      <c r="B69" s="5">
        <v>45352</v>
      </c>
      <c r="C69" s="4">
        <v>83</v>
      </c>
      <c r="D69" s="4">
        <v>5</v>
      </c>
      <c r="E69" s="4">
        <v>170.12</v>
      </c>
      <c r="F69" s="4">
        <v>3</v>
      </c>
      <c r="G69" s="6">
        <v>0.6</v>
      </c>
      <c r="H69" s="4">
        <v>1171.95</v>
      </c>
      <c r="I69" s="6">
        <v>7.690000000000001E-2</v>
      </c>
    </row>
    <row r="70" spans="1:9" x14ac:dyDescent="0.3">
      <c r="A70" s="4" t="s">
        <v>11</v>
      </c>
      <c r="B70" s="5">
        <v>45352</v>
      </c>
      <c r="C70" s="4">
        <v>74</v>
      </c>
      <c r="D70" s="4">
        <v>7</v>
      </c>
      <c r="E70" s="4">
        <v>87.89</v>
      </c>
      <c r="F70" s="4">
        <v>7</v>
      </c>
      <c r="G70" s="6">
        <v>1</v>
      </c>
      <c r="H70" s="4">
        <v>3848.14</v>
      </c>
      <c r="I70" s="6">
        <v>8.6699999999999999E-2</v>
      </c>
    </row>
    <row r="71" spans="1:9" x14ac:dyDescent="0.3">
      <c r="A71" s="4" t="s">
        <v>12</v>
      </c>
      <c r="B71" s="5">
        <v>45352</v>
      </c>
      <c r="C71" s="4">
        <v>21</v>
      </c>
      <c r="D71" s="4">
        <v>14</v>
      </c>
      <c r="E71" s="4">
        <v>498.82</v>
      </c>
      <c r="F71" s="4">
        <v>5</v>
      </c>
      <c r="G71" s="6">
        <v>0.35714285714285715</v>
      </c>
      <c r="H71" s="4">
        <v>4039.26</v>
      </c>
      <c r="I71" s="6">
        <v>3.4000000000000002E-2</v>
      </c>
    </row>
    <row r="72" spans="1:9" x14ac:dyDescent="0.3">
      <c r="A72" s="4" t="s">
        <v>13</v>
      </c>
      <c r="B72" s="5">
        <v>45352</v>
      </c>
      <c r="C72" s="4">
        <v>84</v>
      </c>
      <c r="D72" s="4">
        <v>15</v>
      </c>
      <c r="E72" s="4">
        <v>163.21</v>
      </c>
      <c r="F72" s="4">
        <v>5</v>
      </c>
      <c r="G72" s="6">
        <v>0.33333333333333331</v>
      </c>
      <c r="H72" s="4">
        <v>411.36</v>
      </c>
      <c r="I72" s="6">
        <v>0.1014</v>
      </c>
    </row>
    <row r="73" spans="1:9" x14ac:dyDescent="0.3">
      <c r="A73" s="4" t="s">
        <v>14</v>
      </c>
      <c r="B73" s="5">
        <v>45352</v>
      </c>
      <c r="C73" s="4">
        <v>64</v>
      </c>
      <c r="D73" s="4">
        <v>13</v>
      </c>
      <c r="E73" s="4">
        <v>496.4</v>
      </c>
      <c r="F73" s="4">
        <v>0</v>
      </c>
      <c r="G73" s="6">
        <v>0</v>
      </c>
      <c r="H73" s="4">
        <v>1306.3800000000001</v>
      </c>
      <c r="I73" s="6">
        <v>1.1000000000000001E-3</v>
      </c>
    </row>
    <row r="74" spans="1:9" x14ac:dyDescent="0.3">
      <c r="A74" s="4" t="s">
        <v>15</v>
      </c>
      <c r="B74" s="5">
        <v>45352</v>
      </c>
      <c r="C74" s="4">
        <v>21</v>
      </c>
      <c r="D74" s="4">
        <v>13</v>
      </c>
      <c r="E74" s="4">
        <v>315.41000000000003</v>
      </c>
      <c r="F74" s="4">
        <v>1</v>
      </c>
      <c r="G74" s="6">
        <v>7.6923076923076927E-2</v>
      </c>
      <c r="H74" s="4">
        <v>1692.59</v>
      </c>
      <c r="I74" s="6">
        <v>5.0999999999999997E-2</v>
      </c>
    </row>
    <row r="75" spans="1:9" x14ac:dyDescent="0.3">
      <c r="A75" s="4" t="s">
        <v>16</v>
      </c>
      <c r="B75" s="5">
        <v>45352</v>
      </c>
      <c r="C75" s="4">
        <v>110</v>
      </c>
      <c r="D75" s="4">
        <v>6</v>
      </c>
      <c r="E75" s="4">
        <v>535.37</v>
      </c>
      <c r="F75" s="4">
        <v>2</v>
      </c>
      <c r="G75" s="6">
        <v>0.33333333333333331</v>
      </c>
      <c r="H75" s="4">
        <v>3113.29</v>
      </c>
      <c r="I75" s="6">
        <v>3.2099999999999997E-2</v>
      </c>
    </row>
    <row r="76" spans="1:9" x14ac:dyDescent="0.3">
      <c r="A76" s="4" t="s">
        <v>17</v>
      </c>
      <c r="B76" s="5">
        <v>45352</v>
      </c>
      <c r="C76" s="4">
        <v>62</v>
      </c>
      <c r="D76" s="4">
        <v>8</v>
      </c>
      <c r="E76" s="4">
        <v>198.84</v>
      </c>
      <c r="F76" s="4">
        <v>8</v>
      </c>
      <c r="G76" s="6">
        <v>1</v>
      </c>
      <c r="H76" s="4">
        <v>534.58000000000004</v>
      </c>
      <c r="I76" s="6">
        <v>8.8000000000000009E-2</v>
      </c>
    </row>
    <row r="77" spans="1:9" x14ac:dyDescent="0.3">
      <c r="A77" s="4" t="s">
        <v>18</v>
      </c>
      <c r="B77" s="5">
        <v>45352</v>
      </c>
      <c r="C77" s="4">
        <v>108</v>
      </c>
      <c r="D77" s="4">
        <v>14</v>
      </c>
      <c r="E77" s="4">
        <v>416.78</v>
      </c>
      <c r="F77" s="4">
        <v>1</v>
      </c>
      <c r="G77" s="6">
        <v>7.1428571428571425E-2</v>
      </c>
      <c r="H77" s="4">
        <v>2989.69</v>
      </c>
      <c r="I77" s="6">
        <v>2.5499999999999998E-2</v>
      </c>
    </row>
    <row r="78" spans="1:9" x14ac:dyDescent="0.3">
      <c r="A78" s="4" t="s">
        <v>19</v>
      </c>
      <c r="B78" s="5">
        <v>45352</v>
      </c>
      <c r="C78" s="4">
        <v>28</v>
      </c>
      <c r="D78" s="4">
        <v>12</v>
      </c>
      <c r="E78" s="4">
        <v>533.85</v>
      </c>
      <c r="F78" s="4">
        <v>5</v>
      </c>
      <c r="G78" s="6">
        <v>0.41666666666666669</v>
      </c>
      <c r="H78" s="4">
        <v>224.87</v>
      </c>
      <c r="I78" s="6">
        <v>6.480000000000001E-2</v>
      </c>
    </row>
    <row r="79" spans="1:9" x14ac:dyDescent="0.3">
      <c r="A79" s="4" t="s">
        <v>20</v>
      </c>
      <c r="B79" s="5">
        <v>45352</v>
      </c>
      <c r="C79" s="4">
        <v>39</v>
      </c>
      <c r="D79" s="4">
        <v>16</v>
      </c>
      <c r="E79" s="4">
        <v>312.8</v>
      </c>
      <c r="F79" s="4">
        <v>8</v>
      </c>
      <c r="G79" s="6">
        <v>0.5</v>
      </c>
      <c r="H79" s="4">
        <v>4592.09</v>
      </c>
      <c r="I79" s="6">
        <v>8.5500000000000007E-2</v>
      </c>
    </row>
    <row r="80" spans="1:9" x14ac:dyDescent="0.3">
      <c r="A80" s="4" t="s">
        <v>21</v>
      </c>
      <c r="B80" s="5">
        <v>45383</v>
      </c>
      <c r="C80" s="4">
        <v>69</v>
      </c>
      <c r="D80" s="4">
        <v>17</v>
      </c>
      <c r="E80" s="4">
        <v>342.81</v>
      </c>
      <c r="F80" s="4">
        <v>6</v>
      </c>
      <c r="G80" s="6">
        <v>0.35294117647058826</v>
      </c>
      <c r="H80" s="4">
        <v>3728.2</v>
      </c>
      <c r="I80" s="6">
        <v>2.9600000000000001E-2</v>
      </c>
    </row>
    <row r="81" spans="1:9" x14ac:dyDescent="0.3">
      <c r="A81" s="4" t="s">
        <v>22</v>
      </c>
      <c r="B81" s="5">
        <v>45383</v>
      </c>
      <c r="C81" s="4">
        <v>83</v>
      </c>
      <c r="D81" s="4">
        <v>11</v>
      </c>
      <c r="E81" s="4">
        <v>365.12</v>
      </c>
      <c r="F81" s="4">
        <v>5</v>
      </c>
      <c r="G81" s="6">
        <v>0.45454545454545453</v>
      </c>
      <c r="H81" s="4">
        <v>3682.69</v>
      </c>
      <c r="I81" s="6">
        <v>3.8199999999999998E-2</v>
      </c>
    </row>
    <row r="82" spans="1:9" x14ac:dyDescent="0.3">
      <c r="A82" s="4" t="s">
        <v>23</v>
      </c>
      <c r="B82" s="5">
        <v>45383</v>
      </c>
      <c r="C82" s="4">
        <v>41</v>
      </c>
      <c r="D82" s="4">
        <v>14</v>
      </c>
      <c r="E82" s="4">
        <v>416.88</v>
      </c>
      <c r="F82" s="4">
        <v>2</v>
      </c>
      <c r="G82" s="6">
        <v>0.14285714285714285</v>
      </c>
      <c r="H82" s="4">
        <v>3638.83</v>
      </c>
      <c r="I82" s="6">
        <v>4.41E-2</v>
      </c>
    </row>
    <row r="83" spans="1:9" x14ac:dyDescent="0.3">
      <c r="A83" s="4" t="s">
        <v>24</v>
      </c>
      <c r="B83" s="5">
        <v>45383</v>
      </c>
      <c r="C83" s="4">
        <v>17</v>
      </c>
      <c r="D83" s="4">
        <v>7</v>
      </c>
      <c r="E83" s="4">
        <v>81.14</v>
      </c>
      <c r="F83" s="4">
        <v>3</v>
      </c>
      <c r="G83" s="6">
        <v>0.42857142857142855</v>
      </c>
      <c r="H83" s="4">
        <v>1419.04</v>
      </c>
      <c r="I83" s="6">
        <v>2.9399999999999999E-2</v>
      </c>
    </row>
    <row r="84" spans="1:9" x14ac:dyDescent="0.3">
      <c r="A84" s="4" t="s">
        <v>25</v>
      </c>
      <c r="B84" s="5">
        <v>45383</v>
      </c>
      <c r="C84" s="4">
        <v>76</v>
      </c>
      <c r="D84" s="4">
        <v>16</v>
      </c>
      <c r="E84" s="4">
        <v>449.04</v>
      </c>
      <c r="F84" s="4">
        <v>4</v>
      </c>
      <c r="G84" s="6">
        <v>0.25</v>
      </c>
      <c r="H84" s="4">
        <v>1019.97</v>
      </c>
      <c r="I84" s="6">
        <v>3.8100000000000002E-2</v>
      </c>
    </row>
    <row r="85" spans="1:9" x14ac:dyDescent="0.3">
      <c r="A85" s="4" t="s">
        <v>26</v>
      </c>
      <c r="B85" s="5">
        <v>45383</v>
      </c>
      <c r="C85" s="4">
        <v>72</v>
      </c>
      <c r="D85" s="4">
        <v>6</v>
      </c>
      <c r="E85" s="4">
        <v>508.55</v>
      </c>
      <c r="F85" s="4">
        <v>3</v>
      </c>
      <c r="G85" s="6">
        <v>0.5</v>
      </c>
      <c r="H85" s="4">
        <v>3633.75</v>
      </c>
      <c r="I85" s="6">
        <v>1.1399999999999999E-2</v>
      </c>
    </row>
    <row r="86" spans="1:9" x14ac:dyDescent="0.3">
      <c r="A86" s="4" t="s">
        <v>27</v>
      </c>
      <c r="B86" s="5">
        <v>45383</v>
      </c>
      <c r="C86" s="4">
        <v>72</v>
      </c>
      <c r="D86" s="4">
        <v>18</v>
      </c>
      <c r="E86" s="4">
        <v>299.08999999999997</v>
      </c>
      <c r="F86" s="4">
        <v>2</v>
      </c>
      <c r="G86" s="6">
        <v>0.1111111111111111</v>
      </c>
      <c r="H86" s="4">
        <v>2378.29</v>
      </c>
      <c r="I86" s="6">
        <v>0.1052</v>
      </c>
    </row>
    <row r="87" spans="1:9" x14ac:dyDescent="0.3">
      <c r="A87" s="4" t="s">
        <v>28</v>
      </c>
      <c r="B87" s="5">
        <v>45383</v>
      </c>
      <c r="C87" s="4">
        <v>44</v>
      </c>
      <c r="D87" s="4">
        <v>6</v>
      </c>
      <c r="E87" s="4">
        <v>246.21</v>
      </c>
      <c r="F87" s="4">
        <v>5</v>
      </c>
      <c r="G87" s="6">
        <v>0.83333333333333337</v>
      </c>
      <c r="H87" s="4">
        <v>4155.8</v>
      </c>
      <c r="I87" s="6">
        <v>4.3299999999999998E-2</v>
      </c>
    </row>
    <row r="88" spans="1:9" x14ac:dyDescent="0.3">
      <c r="A88" s="4" t="s">
        <v>29</v>
      </c>
      <c r="B88" s="5">
        <v>45383</v>
      </c>
      <c r="C88" s="4">
        <v>29</v>
      </c>
      <c r="D88" s="4">
        <v>16</v>
      </c>
      <c r="E88" s="4">
        <v>412.07</v>
      </c>
      <c r="F88" s="4">
        <v>10</v>
      </c>
      <c r="G88" s="6">
        <v>0.625</v>
      </c>
      <c r="H88" s="4">
        <v>1075.94</v>
      </c>
      <c r="I88" s="6">
        <v>6.2400000000000004E-2</v>
      </c>
    </row>
    <row r="89" spans="1:9" x14ac:dyDescent="0.3">
      <c r="A89" s="4" t="s">
        <v>30</v>
      </c>
      <c r="B89" s="5">
        <v>45383</v>
      </c>
      <c r="C89" s="4">
        <v>64</v>
      </c>
      <c r="D89" s="4">
        <v>13</v>
      </c>
      <c r="E89" s="4">
        <v>317.58</v>
      </c>
      <c r="F89" s="4">
        <v>8</v>
      </c>
      <c r="G89" s="6">
        <v>0.61538461538461542</v>
      </c>
      <c r="H89" s="4">
        <v>1088.22</v>
      </c>
      <c r="I89" s="6">
        <v>3.49E-2</v>
      </c>
    </row>
    <row r="90" spans="1:9" x14ac:dyDescent="0.3">
      <c r="A90" s="4" t="s">
        <v>9</v>
      </c>
      <c r="B90" s="5">
        <v>45383</v>
      </c>
      <c r="C90" s="4">
        <v>16</v>
      </c>
      <c r="D90" s="4">
        <v>7</v>
      </c>
      <c r="E90" s="4">
        <v>181.58</v>
      </c>
      <c r="F90" s="4">
        <v>6</v>
      </c>
      <c r="G90" s="6">
        <v>0.8571428571428571</v>
      </c>
      <c r="H90" s="4">
        <v>868.4</v>
      </c>
      <c r="I90" s="6">
        <v>8.4100000000000008E-2</v>
      </c>
    </row>
    <row r="91" spans="1:9" x14ac:dyDescent="0.3">
      <c r="A91" s="4" t="s">
        <v>10</v>
      </c>
      <c r="B91" s="5">
        <v>45383</v>
      </c>
      <c r="C91" s="4">
        <v>37</v>
      </c>
      <c r="D91" s="4">
        <v>7</v>
      </c>
      <c r="E91" s="4">
        <v>470.85</v>
      </c>
      <c r="F91" s="4">
        <v>7</v>
      </c>
      <c r="G91" s="6">
        <v>1</v>
      </c>
      <c r="H91" s="4">
        <v>3483.6</v>
      </c>
      <c r="I91" s="6">
        <v>4.2599999999999999E-2</v>
      </c>
    </row>
    <row r="92" spans="1:9" x14ac:dyDescent="0.3">
      <c r="A92" s="4" t="s">
        <v>11</v>
      </c>
      <c r="B92" s="5">
        <v>45383</v>
      </c>
      <c r="C92" s="4">
        <v>81</v>
      </c>
      <c r="D92" s="4">
        <v>16</v>
      </c>
      <c r="E92" s="4">
        <v>584.29999999999995</v>
      </c>
      <c r="F92" s="4">
        <v>3</v>
      </c>
      <c r="G92" s="6">
        <v>0.1875</v>
      </c>
      <c r="H92" s="4">
        <v>377.45</v>
      </c>
      <c r="I92" s="6">
        <v>3.32E-2</v>
      </c>
    </row>
    <row r="93" spans="1:9" x14ac:dyDescent="0.3">
      <c r="A93" s="4" t="s">
        <v>12</v>
      </c>
      <c r="B93" s="5">
        <v>45383</v>
      </c>
      <c r="C93" s="4">
        <v>26</v>
      </c>
      <c r="D93" s="4">
        <v>6</v>
      </c>
      <c r="E93" s="4">
        <v>231.59</v>
      </c>
      <c r="F93" s="4">
        <v>2</v>
      </c>
      <c r="G93" s="6">
        <v>0.33333333333333331</v>
      </c>
      <c r="H93" s="4">
        <v>3988.15</v>
      </c>
      <c r="I93" s="6">
        <v>3.8399999999999997E-2</v>
      </c>
    </row>
    <row r="94" spans="1:9" x14ac:dyDescent="0.3">
      <c r="A94" s="4" t="s">
        <v>13</v>
      </c>
      <c r="B94" s="5">
        <v>45383</v>
      </c>
      <c r="C94" s="4">
        <v>69</v>
      </c>
      <c r="D94" s="4">
        <v>9</v>
      </c>
      <c r="E94" s="4">
        <v>221.01</v>
      </c>
      <c r="F94" s="4">
        <v>3</v>
      </c>
      <c r="G94" s="6">
        <v>0.33333333333333331</v>
      </c>
      <c r="H94" s="4">
        <v>643.44000000000005</v>
      </c>
      <c r="I94" s="6">
        <v>3.2000000000000001E-2</v>
      </c>
    </row>
    <row r="95" spans="1:9" x14ac:dyDescent="0.3">
      <c r="A95" s="4" t="s">
        <v>14</v>
      </c>
      <c r="B95" s="5">
        <v>45383</v>
      </c>
      <c r="C95" s="4">
        <v>103</v>
      </c>
      <c r="D95" s="4">
        <v>6</v>
      </c>
      <c r="E95" s="4">
        <v>165.74</v>
      </c>
      <c r="F95" s="4">
        <v>6</v>
      </c>
      <c r="G95" s="6">
        <v>1</v>
      </c>
      <c r="H95" s="4">
        <v>1169.3800000000001</v>
      </c>
      <c r="I95" s="6">
        <v>7.7699999999999991E-2</v>
      </c>
    </row>
    <row r="96" spans="1:9" x14ac:dyDescent="0.3">
      <c r="A96" s="4" t="s">
        <v>15</v>
      </c>
      <c r="B96" s="5">
        <v>45383</v>
      </c>
      <c r="C96" s="4">
        <v>100</v>
      </c>
      <c r="D96" s="4">
        <v>7</v>
      </c>
      <c r="E96" s="4">
        <v>82.62</v>
      </c>
      <c r="F96" s="4">
        <v>6</v>
      </c>
      <c r="G96" s="6">
        <v>0.8571428571428571</v>
      </c>
      <c r="H96" s="4">
        <v>4085.91</v>
      </c>
      <c r="I96" s="6">
        <v>9.0500000000000011E-2</v>
      </c>
    </row>
    <row r="97" spans="1:9" x14ac:dyDescent="0.3">
      <c r="A97" s="4" t="s">
        <v>16</v>
      </c>
      <c r="B97" s="5">
        <v>45383</v>
      </c>
      <c r="C97" s="4">
        <v>26</v>
      </c>
      <c r="D97" s="4">
        <v>17</v>
      </c>
      <c r="E97" s="4">
        <v>526.34</v>
      </c>
      <c r="F97" s="4">
        <v>6</v>
      </c>
      <c r="G97" s="6">
        <v>0.35294117647058826</v>
      </c>
      <c r="H97" s="4">
        <v>3360.11</v>
      </c>
      <c r="I97" s="6">
        <v>3.0600000000000002E-2</v>
      </c>
    </row>
    <row r="98" spans="1:9" x14ac:dyDescent="0.3">
      <c r="A98" s="4" t="s">
        <v>17</v>
      </c>
      <c r="B98" s="5">
        <v>45383</v>
      </c>
      <c r="C98" s="4">
        <v>104</v>
      </c>
      <c r="D98" s="4">
        <v>22</v>
      </c>
      <c r="E98" s="4">
        <v>190.87</v>
      </c>
      <c r="F98" s="4">
        <v>4</v>
      </c>
      <c r="G98" s="6">
        <v>0.18181818181818182</v>
      </c>
      <c r="H98" s="4">
        <v>433.41</v>
      </c>
      <c r="I98" s="6">
        <v>9.3599999999999989E-2</v>
      </c>
    </row>
    <row r="99" spans="1:9" x14ac:dyDescent="0.3">
      <c r="A99" s="4" t="s">
        <v>18</v>
      </c>
      <c r="B99" s="5">
        <v>45383</v>
      </c>
      <c r="C99" s="4">
        <v>63</v>
      </c>
      <c r="D99" s="4">
        <v>11</v>
      </c>
      <c r="E99" s="4">
        <v>554.51</v>
      </c>
      <c r="F99" s="4">
        <v>1</v>
      </c>
      <c r="G99" s="6">
        <v>9.0909090909090912E-2</v>
      </c>
      <c r="H99" s="4">
        <v>1138.51</v>
      </c>
      <c r="I99" s="6">
        <v>1E-3</v>
      </c>
    </row>
    <row r="100" spans="1:9" x14ac:dyDescent="0.3">
      <c r="A100" s="4" t="s">
        <v>19</v>
      </c>
      <c r="B100" s="5">
        <v>45383</v>
      </c>
      <c r="C100" s="4">
        <v>22</v>
      </c>
      <c r="D100" s="4">
        <v>13</v>
      </c>
      <c r="E100" s="4">
        <v>302.49</v>
      </c>
      <c r="F100" s="4">
        <v>2</v>
      </c>
      <c r="G100" s="6">
        <v>0.15384615384615385</v>
      </c>
      <c r="H100" s="4">
        <v>1591.45</v>
      </c>
      <c r="I100" s="6">
        <v>4.9599999999999998E-2</v>
      </c>
    </row>
    <row r="101" spans="1:9" x14ac:dyDescent="0.3">
      <c r="A101" s="4" t="s">
        <v>20</v>
      </c>
      <c r="B101" s="5">
        <v>45383</v>
      </c>
      <c r="C101" s="4">
        <v>91</v>
      </c>
      <c r="D101" s="4">
        <v>5</v>
      </c>
      <c r="E101" s="4">
        <v>605.11</v>
      </c>
      <c r="F101" s="4">
        <v>2</v>
      </c>
      <c r="G101" s="6">
        <v>0.4</v>
      </c>
      <c r="H101" s="4">
        <v>3499.88</v>
      </c>
      <c r="I101" s="6">
        <v>3.0200000000000001E-2</v>
      </c>
    </row>
    <row r="102" spans="1:9" x14ac:dyDescent="0.3">
      <c r="A102" s="4" t="s">
        <v>21</v>
      </c>
      <c r="B102" s="5">
        <v>45383</v>
      </c>
      <c r="C102" s="4">
        <v>77</v>
      </c>
      <c r="D102" s="4">
        <v>8</v>
      </c>
      <c r="E102" s="4">
        <v>173.88</v>
      </c>
      <c r="F102" s="4">
        <v>6</v>
      </c>
      <c r="G102" s="6">
        <v>0.75</v>
      </c>
      <c r="H102" s="4">
        <v>462.44</v>
      </c>
      <c r="I102" s="6">
        <v>7.9899999999999999E-2</v>
      </c>
    </row>
    <row r="103" spans="1:9" x14ac:dyDescent="0.3">
      <c r="A103" s="4" t="s">
        <v>22</v>
      </c>
      <c r="B103" s="5">
        <v>45383</v>
      </c>
      <c r="C103" s="4">
        <v>90</v>
      </c>
      <c r="D103" s="4">
        <v>17</v>
      </c>
      <c r="E103" s="4">
        <v>366.84</v>
      </c>
      <c r="F103" s="4">
        <v>0</v>
      </c>
      <c r="G103" s="6">
        <v>0</v>
      </c>
      <c r="H103" s="4">
        <v>3153.56</v>
      </c>
      <c r="I103" s="6">
        <v>2.4500000000000001E-2</v>
      </c>
    </row>
    <row r="104" spans="1:9" x14ac:dyDescent="0.3">
      <c r="A104" s="4" t="s">
        <v>23</v>
      </c>
      <c r="B104" s="5">
        <v>45383</v>
      </c>
      <c r="C104" s="4">
        <v>33</v>
      </c>
      <c r="D104" s="4">
        <v>9</v>
      </c>
      <c r="E104" s="4">
        <v>578.41999999999996</v>
      </c>
      <c r="F104" s="4">
        <v>4</v>
      </c>
      <c r="G104" s="6">
        <v>0.44444444444444442</v>
      </c>
      <c r="H104" s="4">
        <v>229.72</v>
      </c>
      <c r="I104" s="6">
        <v>7.46E-2</v>
      </c>
    </row>
    <row r="105" spans="1:9" x14ac:dyDescent="0.3">
      <c r="A105" s="4" t="s">
        <v>24</v>
      </c>
      <c r="B105" s="5">
        <v>45383</v>
      </c>
      <c r="C105" s="4">
        <v>42</v>
      </c>
      <c r="D105" s="4">
        <v>14</v>
      </c>
      <c r="E105" s="4">
        <v>321.29000000000002</v>
      </c>
      <c r="F105" s="4">
        <v>7</v>
      </c>
      <c r="G105" s="6">
        <v>0.5</v>
      </c>
      <c r="H105" s="4">
        <v>4298.2700000000004</v>
      </c>
      <c r="I105" s="6">
        <v>7.4499999999999997E-2</v>
      </c>
    </row>
    <row r="106" spans="1:9" x14ac:dyDescent="0.3">
      <c r="A106" s="4" t="s">
        <v>25</v>
      </c>
      <c r="B106" s="5">
        <v>45413</v>
      </c>
      <c r="C106" s="4">
        <v>69</v>
      </c>
      <c r="D106" s="4">
        <v>16</v>
      </c>
      <c r="E106" s="4">
        <v>299.22000000000003</v>
      </c>
      <c r="F106" s="4">
        <v>6</v>
      </c>
      <c r="G106" s="6">
        <v>0.375</v>
      </c>
      <c r="H106" s="4">
        <v>3716.14</v>
      </c>
      <c r="I106" s="6">
        <v>2.63E-2</v>
      </c>
    </row>
    <row r="107" spans="1:9" x14ac:dyDescent="0.3">
      <c r="A107" s="4" t="s">
        <v>26</v>
      </c>
      <c r="B107" s="5">
        <v>45413</v>
      </c>
      <c r="C107" s="4">
        <v>68</v>
      </c>
      <c r="D107" s="4">
        <v>11</v>
      </c>
      <c r="E107" s="4">
        <v>345.62</v>
      </c>
      <c r="F107" s="4">
        <v>4</v>
      </c>
      <c r="G107" s="6">
        <v>0.36363636363636365</v>
      </c>
      <c r="H107" s="4">
        <v>3558.13</v>
      </c>
      <c r="I107" s="6">
        <v>4.0800000000000003E-2</v>
      </c>
    </row>
    <row r="108" spans="1:9" x14ac:dyDescent="0.3">
      <c r="A108" s="4" t="s">
        <v>27</v>
      </c>
      <c r="B108" s="5">
        <v>45413</v>
      </c>
      <c r="C108" s="4">
        <v>45</v>
      </c>
      <c r="D108" s="4">
        <v>17</v>
      </c>
      <c r="E108" s="4">
        <v>416.96</v>
      </c>
      <c r="F108" s="4">
        <v>3</v>
      </c>
      <c r="G108" s="6">
        <v>0.17647058823529413</v>
      </c>
      <c r="H108" s="4">
        <v>3327.07</v>
      </c>
      <c r="I108" s="6">
        <v>4.0999999999999995E-2</v>
      </c>
    </row>
    <row r="109" spans="1:9" x14ac:dyDescent="0.3">
      <c r="A109" s="4" t="s">
        <v>28</v>
      </c>
      <c r="B109" s="5">
        <v>45413</v>
      </c>
      <c r="C109" s="4">
        <v>17</v>
      </c>
      <c r="D109" s="4">
        <v>8</v>
      </c>
      <c r="E109" s="4">
        <v>72.05</v>
      </c>
      <c r="F109" s="4">
        <v>3</v>
      </c>
      <c r="G109" s="6">
        <v>0.375</v>
      </c>
      <c r="H109" s="4">
        <v>1672.82</v>
      </c>
      <c r="I109" s="6">
        <v>3.0299999999999997E-2</v>
      </c>
    </row>
    <row r="110" spans="1:9" x14ac:dyDescent="0.3">
      <c r="A110" s="4" t="s">
        <v>29</v>
      </c>
      <c r="B110" s="5">
        <v>45413</v>
      </c>
      <c r="C110" s="4">
        <v>85</v>
      </c>
      <c r="D110" s="4">
        <v>13</v>
      </c>
      <c r="E110" s="4">
        <v>475.61</v>
      </c>
      <c r="F110" s="4">
        <v>5</v>
      </c>
      <c r="G110" s="6">
        <v>0.38461538461538464</v>
      </c>
      <c r="H110" s="4">
        <v>939.32</v>
      </c>
      <c r="I110" s="6">
        <v>3.6400000000000002E-2</v>
      </c>
    </row>
    <row r="111" spans="1:9" x14ac:dyDescent="0.3">
      <c r="A111" s="4" t="s">
        <v>30</v>
      </c>
      <c r="B111" s="5">
        <v>45413</v>
      </c>
      <c r="C111" s="4">
        <v>49</v>
      </c>
      <c r="D111" s="4">
        <v>7</v>
      </c>
      <c r="E111" s="4">
        <v>469.53</v>
      </c>
      <c r="F111" s="4">
        <v>3</v>
      </c>
      <c r="G111" s="6">
        <v>0.42857142857142855</v>
      </c>
      <c r="H111" s="4">
        <v>3623.32</v>
      </c>
      <c r="I111" s="6">
        <v>1.21E-2</v>
      </c>
    </row>
    <row r="112" spans="1:9" x14ac:dyDescent="0.3">
      <c r="A112" s="4" t="s">
        <v>9</v>
      </c>
      <c r="B112" s="5">
        <v>45413</v>
      </c>
      <c r="C112" s="4">
        <v>66</v>
      </c>
      <c r="D112" s="4">
        <v>15</v>
      </c>
      <c r="E112" s="4">
        <v>333.1</v>
      </c>
      <c r="F112" s="4">
        <v>2</v>
      </c>
      <c r="G112" s="6">
        <v>0.13333333333333333</v>
      </c>
      <c r="H112" s="4">
        <v>2631.58</v>
      </c>
      <c r="I112" s="6">
        <v>0.10249999999999999</v>
      </c>
    </row>
    <row r="113" spans="1:9" x14ac:dyDescent="0.3">
      <c r="A113" s="4" t="s">
        <v>10</v>
      </c>
      <c r="B113" s="5">
        <v>45413</v>
      </c>
      <c r="C113" s="4">
        <v>63</v>
      </c>
      <c r="D113" s="4">
        <v>9</v>
      </c>
      <c r="E113" s="4">
        <v>258.11</v>
      </c>
      <c r="F113" s="4">
        <v>7</v>
      </c>
      <c r="G113" s="6">
        <v>0.77777777777777779</v>
      </c>
      <c r="H113" s="4">
        <v>4064.36</v>
      </c>
      <c r="I113" s="6">
        <v>4.1599999999999998E-2</v>
      </c>
    </row>
    <row r="114" spans="1:9" x14ac:dyDescent="0.3">
      <c r="A114" s="4" t="s">
        <v>11</v>
      </c>
      <c r="B114" s="5">
        <v>45413</v>
      </c>
      <c r="C114" s="4">
        <v>31</v>
      </c>
      <c r="D114" s="4">
        <v>20</v>
      </c>
      <c r="E114" s="4">
        <v>400.8</v>
      </c>
      <c r="F114" s="4">
        <v>8</v>
      </c>
      <c r="G114" s="6">
        <v>0.4</v>
      </c>
      <c r="H114" s="4">
        <v>1294.3599999999999</v>
      </c>
      <c r="I114" s="6">
        <v>5.6399999999999999E-2</v>
      </c>
    </row>
    <row r="115" spans="1:9" x14ac:dyDescent="0.3">
      <c r="A115" s="4" t="s">
        <v>12</v>
      </c>
      <c r="B115" s="5">
        <v>45413</v>
      </c>
      <c r="C115" s="4">
        <v>75</v>
      </c>
      <c r="D115" s="4">
        <v>19</v>
      </c>
      <c r="E115" s="4">
        <v>343.28</v>
      </c>
      <c r="F115" s="4">
        <v>9</v>
      </c>
      <c r="G115" s="6">
        <v>0.47368421052631576</v>
      </c>
      <c r="H115" s="4">
        <v>899.46</v>
      </c>
      <c r="I115" s="6">
        <v>3.2199999999999999E-2</v>
      </c>
    </row>
    <row r="116" spans="1:9" x14ac:dyDescent="0.3">
      <c r="A116" s="4" t="s">
        <v>13</v>
      </c>
      <c r="B116" s="5">
        <v>45413</v>
      </c>
      <c r="C116" s="4">
        <v>18</v>
      </c>
      <c r="D116" s="4">
        <v>7</v>
      </c>
      <c r="E116" s="4">
        <v>204.63</v>
      </c>
      <c r="F116" s="4">
        <v>7</v>
      </c>
      <c r="G116" s="6">
        <v>1</v>
      </c>
      <c r="H116" s="4">
        <v>789.77</v>
      </c>
      <c r="I116" s="6">
        <v>7.4499999999999997E-2</v>
      </c>
    </row>
    <row r="117" spans="1:9" x14ac:dyDescent="0.3">
      <c r="A117" s="4" t="s">
        <v>14</v>
      </c>
      <c r="B117" s="5">
        <v>45413</v>
      </c>
      <c r="C117" s="4">
        <v>35</v>
      </c>
      <c r="D117" s="4">
        <v>6</v>
      </c>
      <c r="E117" s="4">
        <v>553.11</v>
      </c>
      <c r="F117" s="4">
        <v>4</v>
      </c>
      <c r="G117" s="6">
        <v>0.66666666666666663</v>
      </c>
      <c r="H117" s="4">
        <v>3867.67</v>
      </c>
      <c r="I117" s="6">
        <v>3.8300000000000001E-2</v>
      </c>
    </row>
    <row r="118" spans="1:9" x14ac:dyDescent="0.3">
      <c r="A118" s="4" t="s">
        <v>15</v>
      </c>
      <c r="B118" s="5">
        <v>45413</v>
      </c>
      <c r="C118" s="4">
        <v>74</v>
      </c>
      <c r="D118" s="4">
        <v>20</v>
      </c>
      <c r="E118" s="4">
        <v>623.33000000000004</v>
      </c>
      <c r="F118" s="4">
        <v>2</v>
      </c>
      <c r="G118" s="6">
        <v>0.1</v>
      </c>
      <c r="H118" s="4">
        <v>359.97</v>
      </c>
      <c r="I118" s="6">
        <v>3.8399999999999997E-2</v>
      </c>
    </row>
    <row r="119" spans="1:9" x14ac:dyDescent="0.3">
      <c r="A119" s="4" t="s">
        <v>16</v>
      </c>
      <c r="B119" s="5">
        <v>45413</v>
      </c>
      <c r="C119" s="4">
        <v>26</v>
      </c>
      <c r="D119" s="4">
        <v>7</v>
      </c>
      <c r="E119" s="4">
        <v>200.45</v>
      </c>
      <c r="F119" s="4">
        <v>1</v>
      </c>
      <c r="G119" s="6">
        <v>0.14285714285714285</v>
      </c>
      <c r="H119" s="4">
        <v>3797.35</v>
      </c>
      <c r="I119" s="6">
        <v>4.1399999999999999E-2</v>
      </c>
    </row>
    <row r="120" spans="1:9" x14ac:dyDescent="0.3">
      <c r="A120" s="4" t="s">
        <v>17</v>
      </c>
      <c r="B120" s="5">
        <v>45413</v>
      </c>
      <c r="C120" s="4">
        <v>50</v>
      </c>
      <c r="D120" s="4">
        <v>7</v>
      </c>
      <c r="E120" s="4">
        <v>196.2</v>
      </c>
      <c r="F120" s="4">
        <v>2</v>
      </c>
      <c r="G120" s="6">
        <v>0.2857142857142857</v>
      </c>
      <c r="H120" s="4">
        <v>592.71</v>
      </c>
      <c r="I120" s="6">
        <v>2.76E-2</v>
      </c>
    </row>
    <row r="121" spans="1:9" x14ac:dyDescent="0.3">
      <c r="A121" s="4" t="s">
        <v>18</v>
      </c>
      <c r="B121" s="5">
        <v>45413</v>
      </c>
      <c r="C121" s="4">
        <v>97</v>
      </c>
      <c r="D121" s="4">
        <v>5</v>
      </c>
      <c r="E121" s="4">
        <v>185.62</v>
      </c>
      <c r="F121" s="4">
        <v>4</v>
      </c>
      <c r="G121" s="6">
        <v>0.8</v>
      </c>
      <c r="H121" s="4">
        <v>1282.81</v>
      </c>
      <c r="I121" s="6">
        <v>7.22E-2</v>
      </c>
    </row>
    <row r="122" spans="1:9" x14ac:dyDescent="0.3">
      <c r="A122" s="4" t="s">
        <v>19</v>
      </c>
      <c r="B122" s="5">
        <v>45413</v>
      </c>
      <c r="C122" s="4">
        <v>91</v>
      </c>
      <c r="D122" s="4">
        <v>7</v>
      </c>
      <c r="E122" s="4">
        <v>89.39</v>
      </c>
      <c r="F122" s="4">
        <v>6</v>
      </c>
      <c r="G122" s="6">
        <v>0.8571428571428571</v>
      </c>
      <c r="H122" s="4">
        <v>3971.59</v>
      </c>
      <c r="I122" s="6">
        <v>9.0700000000000003E-2</v>
      </c>
    </row>
    <row r="123" spans="1:9" x14ac:dyDescent="0.3">
      <c r="A123" s="4" t="s">
        <v>20</v>
      </c>
      <c r="B123" s="5">
        <v>45413</v>
      </c>
      <c r="C123" s="4">
        <v>21</v>
      </c>
      <c r="D123" s="4">
        <v>14</v>
      </c>
      <c r="E123" s="4">
        <v>472.79</v>
      </c>
      <c r="F123" s="4">
        <v>8</v>
      </c>
      <c r="G123" s="6">
        <v>0.5714285714285714</v>
      </c>
      <c r="H123" s="4">
        <v>3830.32</v>
      </c>
      <c r="I123" s="6">
        <v>3.5200000000000002E-2</v>
      </c>
    </row>
    <row r="124" spans="1:9" x14ac:dyDescent="0.3">
      <c r="A124" s="4" t="s">
        <v>21</v>
      </c>
      <c r="B124" s="5">
        <v>45413</v>
      </c>
      <c r="C124" s="4">
        <v>91</v>
      </c>
      <c r="D124" s="4">
        <v>15</v>
      </c>
      <c r="E124" s="4">
        <v>173.03</v>
      </c>
      <c r="F124" s="4">
        <v>4</v>
      </c>
      <c r="G124" s="6">
        <v>0.26666666666666666</v>
      </c>
      <c r="H124" s="4">
        <v>386.08</v>
      </c>
      <c r="I124" s="6">
        <v>9.820000000000001E-2</v>
      </c>
    </row>
    <row r="125" spans="1:9" x14ac:dyDescent="0.3">
      <c r="A125" s="4" t="s">
        <v>22</v>
      </c>
      <c r="B125" s="5">
        <v>45413</v>
      </c>
      <c r="C125" s="4">
        <v>67</v>
      </c>
      <c r="D125" s="4">
        <v>15</v>
      </c>
      <c r="E125" s="4">
        <v>499.68</v>
      </c>
      <c r="F125" s="4">
        <v>0</v>
      </c>
      <c r="G125" s="6">
        <v>0</v>
      </c>
      <c r="H125" s="4">
        <v>1287.1300000000001</v>
      </c>
      <c r="I125" s="6">
        <v>1E-3</v>
      </c>
    </row>
    <row r="126" spans="1:9" x14ac:dyDescent="0.3">
      <c r="A126" s="4" t="s">
        <v>23</v>
      </c>
      <c r="B126" s="5">
        <v>45413</v>
      </c>
      <c r="C126" s="4">
        <v>19</v>
      </c>
      <c r="D126" s="4">
        <v>13</v>
      </c>
      <c r="E126" s="4">
        <v>316.23</v>
      </c>
      <c r="F126" s="4">
        <v>1</v>
      </c>
      <c r="G126" s="6">
        <v>7.6923076923076927E-2</v>
      </c>
      <c r="H126" s="4">
        <v>1598.49</v>
      </c>
      <c r="I126" s="6">
        <v>5.8299999999999998E-2</v>
      </c>
    </row>
    <row r="127" spans="1:9" x14ac:dyDescent="0.3">
      <c r="A127" s="4" t="s">
        <v>24</v>
      </c>
      <c r="B127" s="5">
        <v>45413</v>
      </c>
      <c r="C127" s="4">
        <v>105</v>
      </c>
      <c r="D127" s="4">
        <v>6</v>
      </c>
      <c r="E127" s="4">
        <v>567.03</v>
      </c>
      <c r="F127" s="4">
        <v>1</v>
      </c>
      <c r="G127" s="6">
        <v>0.16666666666666666</v>
      </c>
      <c r="H127" s="4">
        <v>3496.65</v>
      </c>
      <c r="I127" s="6">
        <v>3.0600000000000002E-2</v>
      </c>
    </row>
    <row r="128" spans="1:9" x14ac:dyDescent="0.3">
      <c r="A128" s="4" t="s">
        <v>25</v>
      </c>
      <c r="B128" s="5">
        <v>45413</v>
      </c>
      <c r="C128" s="4">
        <v>73</v>
      </c>
      <c r="D128" s="4">
        <v>8</v>
      </c>
      <c r="E128" s="4">
        <v>175.52</v>
      </c>
      <c r="F128" s="4">
        <v>7</v>
      </c>
      <c r="G128" s="6">
        <v>0.875</v>
      </c>
      <c r="H128" s="4">
        <v>455.32</v>
      </c>
      <c r="I128" s="6">
        <v>9.35E-2</v>
      </c>
    </row>
    <row r="129" spans="1:9" x14ac:dyDescent="0.3">
      <c r="A129" s="4" t="s">
        <v>26</v>
      </c>
      <c r="B129" s="5">
        <v>45413</v>
      </c>
      <c r="C129" s="4">
        <v>111</v>
      </c>
      <c r="D129" s="4">
        <v>13</v>
      </c>
      <c r="E129" s="4">
        <v>358.31</v>
      </c>
      <c r="F129" s="4">
        <v>0</v>
      </c>
      <c r="G129" s="6">
        <v>0</v>
      </c>
      <c r="H129" s="4">
        <v>2811.77</v>
      </c>
      <c r="I129" s="6">
        <v>2.7099999999999999E-2</v>
      </c>
    </row>
    <row r="130" spans="1:9" x14ac:dyDescent="0.3">
      <c r="A130" s="4" t="s">
        <v>27</v>
      </c>
      <c r="B130" s="5">
        <v>45413</v>
      </c>
      <c r="C130" s="4">
        <v>38</v>
      </c>
      <c r="D130" s="4">
        <v>12</v>
      </c>
      <c r="E130" s="4">
        <v>556.33000000000004</v>
      </c>
      <c r="F130" s="4">
        <v>4</v>
      </c>
      <c r="G130" s="6">
        <v>0.33333333333333331</v>
      </c>
      <c r="H130" s="4">
        <v>241.08</v>
      </c>
      <c r="I130" s="6">
        <v>7.0599999999999996E-2</v>
      </c>
    </row>
    <row r="131" spans="1:9" x14ac:dyDescent="0.3">
      <c r="A131" s="4" t="s">
        <v>28</v>
      </c>
      <c r="B131" s="5">
        <v>45413</v>
      </c>
      <c r="C131" s="4">
        <v>33</v>
      </c>
      <c r="D131" s="4">
        <v>17</v>
      </c>
      <c r="E131" s="4">
        <v>371.65</v>
      </c>
      <c r="F131" s="4">
        <v>9</v>
      </c>
      <c r="G131" s="6">
        <v>0.52941176470588236</v>
      </c>
      <c r="H131" s="4">
        <v>4068.75</v>
      </c>
      <c r="I131" s="6">
        <v>8.5500000000000007E-2</v>
      </c>
    </row>
    <row r="132" spans="1:9" x14ac:dyDescent="0.3">
      <c r="A132" s="4" t="s">
        <v>29</v>
      </c>
      <c r="B132" s="5">
        <v>45444</v>
      </c>
      <c r="C132" s="4">
        <v>59</v>
      </c>
      <c r="D132" s="4">
        <v>16</v>
      </c>
      <c r="E132" s="4">
        <v>359.47</v>
      </c>
      <c r="F132" s="4">
        <v>7</v>
      </c>
      <c r="G132" s="6">
        <v>0.4375</v>
      </c>
      <c r="H132" s="4">
        <v>3958.94</v>
      </c>
      <c r="I132" s="6">
        <v>2.46E-2</v>
      </c>
    </row>
    <row r="133" spans="1:9" x14ac:dyDescent="0.3">
      <c r="A133" s="4" t="s">
        <v>30</v>
      </c>
      <c r="B133" s="5">
        <v>45444</v>
      </c>
      <c r="C133" s="4">
        <v>71</v>
      </c>
      <c r="D133" s="4">
        <v>11</v>
      </c>
      <c r="E133" s="4">
        <v>379.33</v>
      </c>
      <c r="F133" s="4">
        <v>4</v>
      </c>
      <c r="G133" s="6">
        <v>0.36363636363636365</v>
      </c>
      <c r="H133" s="4">
        <v>4003.52</v>
      </c>
      <c r="I133" s="6">
        <v>4.2900000000000001E-2</v>
      </c>
    </row>
    <row r="134" spans="1:9" x14ac:dyDescent="0.3">
      <c r="A134" s="4" t="s">
        <v>9</v>
      </c>
      <c r="B134" s="5">
        <v>45444</v>
      </c>
      <c r="C134" s="4">
        <v>48</v>
      </c>
      <c r="D134" s="4">
        <v>14</v>
      </c>
      <c r="E134" s="4">
        <v>383.94</v>
      </c>
      <c r="F134" s="4">
        <v>3</v>
      </c>
      <c r="G134" s="6">
        <v>0.21428571428571427</v>
      </c>
      <c r="H134" s="4">
        <v>3173.36</v>
      </c>
      <c r="I134" s="6">
        <v>4.0999999999999995E-2</v>
      </c>
    </row>
    <row r="135" spans="1:9" x14ac:dyDescent="0.3">
      <c r="A135" s="4" t="s">
        <v>10</v>
      </c>
      <c r="B135" s="5">
        <v>45444</v>
      </c>
      <c r="C135" s="4">
        <v>18</v>
      </c>
      <c r="D135" s="4">
        <v>7</v>
      </c>
      <c r="E135" s="4">
        <v>85.32</v>
      </c>
      <c r="F135" s="4">
        <v>3</v>
      </c>
      <c r="G135" s="6">
        <v>0.42857142857142855</v>
      </c>
      <c r="H135" s="4">
        <v>1431.69</v>
      </c>
      <c r="I135" s="6">
        <v>3.1600000000000003E-2</v>
      </c>
    </row>
    <row r="136" spans="1:9" x14ac:dyDescent="0.3">
      <c r="A136" s="4" t="s">
        <v>11</v>
      </c>
      <c r="B136" s="5">
        <v>45444</v>
      </c>
      <c r="C136" s="4">
        <v>93</v>
      </c>
      <c r="D136" s="4">
        <v>14</v>
      </c>
      <c r="E136" s="4">
        <v>466.81</v>
      </c>
      <c r="F136" s="4">
        <v>5</v>
      </c>
      <c r="G136" s="6">
        <v>0.35714285714285715</v>
      </c>
      <c r="H136" s="4">
        <v>988.98</v>
      </c>
      <c r="I136" s="6">
        <v>4.2300000000000004E-2</v>
      </c>
    </row>
    <row r="137" spans="1:9" x14ac:dyDescent="0.3">
      <c r="A137" s="4" t="s">
        <v>12</v>
      </c>
      <c r="B137" s="5">
        <v>45444</v>
      </c>
      <c r="C137" s="4">
        <v>49</v>
      </c>
      <c r="D137" s="4">
        <v>7</v>
      </c>
      <c r="E137" s="4">
        <v>512.88</v>
      </c>
      <c r="F137" s="4">
        <v>2</v>
      </c>
      <c r="G137" s="6">
        <v>0.2857142857142857</v>
      </c>
      <c r="H137" s="4">
        <v>3545.66</v>
      </c>
      <c r="I137" s="6">
        <v>1.2699999999999999E-2</v>
      </c>
    </row>
    <row r="138" spans="1:9" x14ac:dyDescent="0.3">
      <c r="A138" s="4" t="s">
        <v>13</v>
      </c>
      <c r="B138" s="5">
        <v>45444</v>
      </c>
      <c r="C138" s="4">
        <v>85</v>
      </c>
      <c r="D138" s="4">
        <v>17</v>
      </c>
      <c r="E138" s="4">
        <v>324.56</v>
      </c>
      <c r="F138" s="4">
        <v>3</v>
      </c>
      <c r="G138" s="6">
        <v>0.17647058823529413</v>
      </c>
      <c r="H138" s="4">
        <v>2420.5300000000002</v>
      </c>
      <c r="I138" s="6">
        <v>8.929999999999999E-2</v>
      </c>
    </row>
    <row r="139" spans="1:9" x14ac:dyDescent="0.3">
      <c r="A139" s="4" t="s">
        <v>14</v>
      </c>
      <c r="B139" s="5">
        <v>45444</v>
      </c>
      <c r="C139" s="4">
        <v>61</v>
      </c>
      <c r="D139" s="4">
        <v>7</v>
      </c>
      <c r="E139" s="4">
        <v>219.53</v>
      </c>
      <c r="F139" s="4">
        <v>7</v>
      </c>
      <c r="G139" s="6">
        <v>1</v>
      </c>
      <c r="H139" s="4">
        <v>3860.12</v>
      </c>
      <c r="I139" s="6">
        <v>4.3499999999999997E-2</v>
      </c>
    </row>
    <row r="140" spans="1:9" x14ac:dyDescent="0.3">
      <c r="A140" s="4" t="s">
        <v>15</v>
      </c>
      <c r="B140" s="5">
        <v>45444</v>
      </c>
      <c r="C140" s="4">
        <v>30</v>
      </c>
      <c r="D140" s="4">
        <v>16</v>
      </c>
      <c r="E140" s="4">
        <v>353.65</v>
      </c>
      <c r="F140" s="4">
        <v>9</v>
      </c>
      <c r="G140" s="6">
        <v>0.5625</v>
      </c>
      <c r="H140" s="4">
        <v>1213.5899999999999</v>
      </c>
      <c r="I140" s="6">
        <v>6.2E-2</v>
      </c>
    </row>
    <row r="141" spans="1:9" x14ac:dyDescent="0.3">
      <c r="A141" s="4" t="s">
        <v>16</v>
      </c>
      <c r="B141" s="5">
        <v>45444</v>
      </c>
      <c r="C141" s="4">
        <v>54</v>
      </c>
      <c r="D141" s="4">
        <v>16</v>
      </c>
      <c r="E141" s="4">
        <v>334.41</v>
      </c>
      <c r="F141" s="4">
        <v>9</v>
      </c>
      <c r="G141" s="6">
        <v>0.5625</v>
      </c>
      <c r="H141" s="4">
        <v>1056.98</v>
      </c>
      <c r="I141" s="6">
        <v>3.5200000000000002E-2</v>
      </c>
    </row>
    <row r="142" spans="1:9" x14ac:dyDescent="0.3">
      <c r="A142" s="4" t="s">
        <v>17</v>
      </c>
      <c r="B142" s="5">
        <v>45444</v>
      </c>
      <c r="C142" s="4">
        <v>19</v>
      </c>
      <c r="D142" s="4">
        <v>7</v>
      </c>
      <c r="E142" s="4">
        <v>199.46</v>
      </c>
      <c r="F142" s="4">
        <v>7</v>
      </c>
      <c r="G142" s="6">
        <v>1</v>
      </c>
      <c r="H142" s="4">
        <v>809.56</v>
      </c>
      <c r="I142" s="6">
        <v>7.1399999999999991E-2</v>
      </c>
    </row>
    <row r="143" spans="1:9" x14ac:dyDescent="0.3">
      <c r="A143" s="4" t="s">
        <v>18</v>
      </c>
      <c r="B143" s="5">
        <v>45444</v>
      </c>
      <c r="C143" s="4">
        <v>40</v>
      </c>
      <c r="D143" s="4">
        <v>6</v>
      </c>
      <c r="E143" s="4">
        <v>509.67</v>
      </c>
      <c r="F143" s="4">
        <v>4</v>
      </c>
      <c r="G143" s="6">
        <v>0.66666666666666663</v>
      </c>
      <c r="H143" s="4">
        <v>3330.44</v>
      </c>
      <c r="I143" s="6">
        <v>3.8300000000000001E-2</v>
      </c>
    </row>
    <row r="144" spans="1:9" x14ac:dyDescent="0.3">
      <c r="A144" s="4" t="s">
        <v>19</v>
      </c>
      <c r="B144" s="5">
        <v>45444</v>
      </c>
      <c r="C144" s="4">
        <v>73</v>
      </c>
      <c r="D144" s="4">
        <v>21</v>
      </c>
      <c r="E144" s="4">
        <v>601.02</v>
      </c>
      <c r="F144" s="4">
        <v>2</v>
      </c>
      <c r="G144" s="6">
        <v>9.5238095238095233E-2</v>
      </c>
      <c r="H144" s="4">
        <v>364.56</v>
      </c>
      <c r="I144" s="6">
        <v>3.4300000000000004E-2</v>
      </c>
    </row>
    <row r="145" spans="1:9" x14ac:dyDescent="0.3">
      <c r="A145" s="4" t="s">
        <v>20</v>
      </c>
      <c r="B145" s="5">
        <v>45444</v>
      </c>
      <c r="C145" s="4">
        <v>36</v>
      </c>
      <c r="D145" s="4">
        <v>9</v>
      </c>
      <c r="E145" s="4">
        <v>196.74</v>
      </c>
      <c r="F145" s="4">
        <v>1</v>
      </c>
      <c r="G145" s="6">
        <v>0.1111111111111111</v>
      </c>
      <c r="H145" s="4">
        <v>3760.57</v>
      </c>
      <c r="I145" s="6">
        <v>3.9800000000000002E-2</v>
      </c>
    </row>
    <row r="146" spans="1:9" x14ac:dyDescent="0.3">
      <c r="A146" s="4" t="s">
        <v>21</v>
      </c>
      <c r="B146" s="5">
        <v>45444</v>
      </c>
      <c r="C146" s="4">
        <v>58</v>
      </c>
      <c r="D146" s="4">
        <v>8</v>
      </c>
      <c r="E146" s="4">
        <v>196.58</v>
      </c>
      <c r="F146" s="4">
        <v>3</v>
      </c>
      <c r="G146" s="6">
        <v>0.375</v>
      </c>
      <c r="H146" s="4">
        <v>692.47</v>
      </c>
      <c r="I146" s="6">
        <v>3.27E-2</v>
      </c>
    </row>
    <row r="147" spans="1:9" x14ac:dyDescent="0.3">
      <c r="A147" s="4" t="s">
        <v>22</v>
      </c>
      <c r="B147" s="5">
        <v>45444</v>
      </c>
      <c r="C147" s="4">
        <v>100</v>
      </c>
      <c r="D147" s="4">
        <v>5</v>
      </c>
      <c r="E147" s="4">
        <v>153.87</v>
      </c>
      <c r="F147" s="4">
        <v>2</v>
      </c>
      <c r="G147" s="6">
        <v>0.4</v>
      </c>
      <c r="H147" s="4">
        <v>1190.24</v>
      </c>
      <c r="I147" s="6">
        <v>8.0600000000000005E-2</v>
      </c>
    </row>
    <row r="148" spans="1:9" x14ac:dyDescent="0.3">
      <c r="A148" s="4" t="s">
        <v>23</v>
      </c>
      <c r="B148" s="5">
        <v>45444</v>
      </c>
      <c r="C148" s="4">
        <v>93</v>
      </c>
      <c r="D148" s="4">
        <v>5</v>
      </c>
      <c r="E148" s="4">
        <v>85.65</v>
      </c>
      <c r="F148" s="4">
        <v>5</v>
      </c>
      <c r="G148" s="6">
        <v>1</v>
      </c>
      <c r="H148" s="4">
        <v>3913.17</v>
      </c>
      <c r="I148" s="6">
        <v>9.5700000000000007E-2</v>
      </c>
    </row>
    <row r="149" spans="1:9" x14ac:dyDescent="0.3">
      <c r="A149" s="4" t="s">
        <v>24</v>
      </c>
      <c r="B149" s="5">
        <v>45444</v>
      </c>
      <c r="C149" s="4">
        <v>28</v>
      </c>
      <c r="D149" s="4">
        <v>16</v>
      </c>
      <c r="E149" s="4">
        <v>506.95</v>
      </c>
      <c r="F149" s="4">
        <v>6</v>
      </c>
      <c r="G149" s="6">
        <v>0.375</v>
      </c>
      <c r="H149" s="4">
        <v>3993.03</v>
      </c>
      <c r="I149" s="6">
        <v>3.0600000000000002E-2</v>
      </c>
    </row>
    <row r="150" spans="1:9" x14ac:dyDescent="0.3">
      <c r="A150" s="4" t="s">
        <v>25</v>
      </c>
      <c r="B150" s="5">
        <v>45444</v>
      </c>
      <c r="C150" s="4">
        <v>88</v>
      </c>
      <c r="D150" s="4">
        <v>18</v>
      </c>
      <c r="E150" s="4">
        <v>181.21</v>
      </c>
      <c r="F150" s="4">
        <v>4</v>
      </c>
      <c r="G150" s="6">
        <v>0.22222222222222221</v>
      </c>
      <c r="H150" s="4">
        <v>377.13</v>
      </c>
      <c r="I150" s="6">
        <v>0.10009999999999999</v>
      </c>
    </row>
    <row r="151" spans="1:9" x14ac:dyDescent="0.3">
      <c r="A151" s="4" t="s">
        <v>26</v>
      </c>
      <c r="B151" s="5">
        <v>45444</v>
      </c>
      <c r="C151" s="4">
        <v>69</v>
      </c>
      <c r="D151" s="4">
        <v>16</v>
      </c>
      <c r="E151" s="4">
        <v>495.32</v>
      </c>
      <c r="F151" s="4">
        <v>0</v>
      </c>
      <c r="G151" s="6">
        <v>0</v>
      </c>
      <c r="H151" s="4">
        <v>1262.99</v>
      </c>
      <c r="I151" s="6">
        <v>1E-3</v>
      </c>
    </row>
    <row r="152" spans="1:9" x14ac:dyDescent="0.3">
      <c r="A152" s="4" t="s">
        <v>27</v>
      </c>
      <c r="B152" s="5">
        <v>45444</v>
      </c>
      <c r="C152" s="4">
        <v>21</v>
      </c>
      <c r="D152" s="4">
        <v>16</v>
      </c>
      <c r="E152" s="4">
        <v>315.91000000000003</v>
      </c>
      <c r="F152" s="4">
        <v>1</v>
      </c>
      <c r="G152" s="6">
        <v>6.25E-2</v>
      </c>
      <c r="H152" s="4">
        <v>1455.83</v>
      </c>
      <c r="I152" s="6">
        <v>5.1299999999999998E-2</v>
      </c>
    </row>
    <row r="153" spans="1:9" x14ac:dyDescent="0.3">
      <c r="A153" s="4" t="s">
        <v>28</v>
      </c>
      <c r="B153" s="5">
        <v>45444</v>
      </c>
      <c r="C153" s="4">
        <v>92</v>
      </c>
      <c r="D153" s="4">
        <v>5</v>
      </c>
      <c r="E153" s="4">
        <v>569.75</v>
      </c>
      <c r="F153" s="4">
        <v>2</v>
      </c>
      <c r="G153" s="6">
        <v>0.4</v>
      </c>
      <c r="H153" s="4">
        <v>3734.43</v>
      </c>
      <c r="I153" s="6">
        <v>2.76E-2</v>
      </c>
    </row>
    <row r="154" spans="1:9" x14ac:dyDescent="0.3">
      <c r="A154" s="4" t="s">
        <v>29</v>
      </c>
      <c r="B154" s="5">
        <v>45444</v>
      </c>
      <c r="C154" s="4">
        <v>58</v>
      </c>
      <c r="D154" s="4">
        <v>7</v>
      </c>
      <c r="E154" s="4">
        <v>173.24</v>
      </c>
      <c r="F154" s="4">
        <v>7</v>
      </c>
      <c r="G154" s="6">
        <v>1</v>
      </c>
      <c r="H154" s="4">
        <v>525.73</v>
      </c>
      <c r="I154" s="6">
        <v>8.2299999999999998E-2</v>
      </c>
    </row>
    <row r="155" spans="1:9" x14ac:dyDescent="0.3">
      <c r="A155" s="4" t="s">
        <v>30</v>
      </c>
      <c r="B155" s="5">
        <v>45444</v>
      </c>
      <c r="C155" s="4">
        <v>114</v>
      </c>
      <c r="D155" s="4">
        <v>13</v>
      </c>
      <c r="E155" s="4">
        <v>364.35</v>
      </c>
      <c r="F155" s="4">
        <v>0</v>
      </c>
      <c r="G155" s="6">
        <v>0</v>
      </c>
      <c r="H155" s="4">
        <v>2988.28</v>
      </c>
      <c r="I155" s="6">
        <v>2.58E-2</v>
      </c>
    </row>
    <row r="156" spans="1:9" x14ac:dyDescent="0.3">
      <c r="A156" s="4" t="s">
        <v>9</v>
      </c>
      <c r="B156" s="5">
        <v>45444</v>
      </c>
      <c r="C156" s="4">
        <v>35</v>
      </c>
      <c r="D156" s="4">
        <v>12</v>
      </c>
      <c r="E156" s="4">
        <v>515.24</v>
      </c>
      <c r="F156" s="4">
        <v>5</v>
      </c>
      <c r="G156" s="6">
        <v>0.41666666666666669</v>
      </c>
      <c r="H156" s="4">
        <v>224.24</v>
      </c>
      <c r="I156" s="6">
        <v>6.9800000000000001E-2</v>
      </c>
    </row>
    <row r="157" spans="1:9" x14ac:dyDescent="0.3">
      <c r="A157" s="4" t="s">
        <v>10</v>
      </c>
      <c r="B157" s="5">
        <v>45444</v>
      </c>
      <c r="C157" s="4">
        <v>35</v>
      </c>
      <c r="D157" s="4">
        <v>16</v>
      </c>
      <c r="E157" s="4">
        <v>351.71</v>
      </c>
      <c r="F157" s="4">
        <v>9</v>
      </c>
      <c r="G157" s="6">
        <v>0.5625</v>
      </c>
      <c r="H157" s="4">
        <v>3984.69</v>
      </c>
      <c r="I157" s="6">
        <v>7.4099999999999999E-2</v>
      </c>
    </row>
    <row r="158" spans="1:9" x14ac:dyDescent="0.3">
      <c r="A158" s="4" t="s">
        <v>11</v>
      </c>
      <c r="B158" s="5">
        <v>45474</v>
      </c>
      <c r="C158" s="4">
        <v>71</v>
      </c>
      <c r="D158" s="4">
        <v>17</v>
      </c>
      <c r="E158" s="4">
        <v>360.1</v>
      </c>
      <c r="F158" s="4">
        <v>6</v>
      </c>
      <c r="G158" s="6">
        <v>0.35294117647058826</v>
      </c>
      <c r="H158" s="4">
        <v>4444.83</v>
      </c>
      <c r="I158" s="6">
        <v>2.9500000000000002E-2</v>
      </c>
    </row>
    <row r="159" spans="1:9" x14ac:dyDescent="0.3">
      <c r="A159" s="4" t="s">
        <v>12</v>
      </c>
      <c r="B159" s="5">
        <v>45474</v>
      </c>
      <c r="C159" s="4">
        <v>62</v>
      </c>
      <c r="D159" s="4">
        <v>13</v>
      </c>
      <c r="E159" s="4">
        <v>364.64</v>
      </c>
      <c r="F159" s="4">
        <v>4</v>
      </c>
      <c r="G159" s="6">
        <v>0.30769230769230771</v>
      </c>
      <c r="H159" s="4">
        <v>3704.33</v>
      </c>
      <c r="I159" s="6">
        <v>3.7499999999999999E-2</v>
      </c>
    </row>
    <row r="160" spans="1:9" x14ac:dyDescent="0.3">
      <c r="A160" s="4" t="s">
        <v>13</v>
      </c>
      <c r="B160" s="5">
        <v>45474</v>
      </c>
      <c r="C160" s="4">
        <v>53</v>
      </c>
      <c r="D160" s="4">
        <v>14</v>
      </c>
      <c r="E160" s="4">
        <v>367.56</v>
      </c>
      <c r="F160" s="4">
        <v>2</v>
      </c>
      <c r="G160" s="6">
        <v>0.14285714285714285</v>
      </c>
      <c r="H160" s="4">
        <v>3514.07</v>
      </c>
      <c r="I160" s="6">
        <v>4.0099999999999997E-2</v>
      </c>
    </row>
    <row r="161" spans="1:9" x14ac:dyDescent="0.3">
      <c r="A161" s="4" t="s">
        <v>14</v>
      </c>
      <c r="B161" s="5">
        <v>45474</v>
      </c>
      <c r="C161" s="4">
        <v>18</v>
      </c>
      <c r="D161" s="4">
        <v>6</v>
      </c>
      <c r="E161" s="4">
        <v>76.27</v>
      </c>
      <c r="F161" s="4">
        <v>4</v>
      </c>
      <c r="G161" s="6">
        <v>0.66666666666666663</v>
      </c>
      <c r="H161" s="4">
        <v>1597.98</v>
      </c>
      <c r="I161" s="6">
        <v>2.81E-2</v>
      </c>
    </row>
    <row r="162" spans="1:9" x14ac:dyDescent="0.3">
      <c r="A162" s="4" t="s">
        <v>15</v>
      </c>
      <c r="B162" s="5">
        <v>45474</v>
      </c>
      <c r="C162" s="4">
        <v>71</v>
      </c>
      <c r="D162" s="4">
        <v>12</v>
      </c>
      <c r="E162" s="4">
        <v>487.04</v>
      </c>
      <c r="F162" s="4">
        <v>5</v>
      </c>
      <c r="G162" s="6">
        <v>0.41666666666666669</v>
      </c>
      <c r="H162" s="4">
        <v>1004.9</v>
      </c>
      <c r="I162" s="6">
        <v>4.2099999999999999E-2</v>
      </c>
    </row>
    <row r="163" spans="1:9" x14ac:dyDescent="0.3">
      <c r="A163" s="4" t="s">
        <v>16</v>
      </c>
      <c r="B163" s="5">
        <v>45474</v>
      </c>
      <c r="C163" s="4">
        <v>70</v>
      </c>
      <c r="D163" s="4">
        <v>5</v>
      </c>
      <c r="E163" s="4">
        <v>491.31</v>
      </c>
      <c r="F163" s="4">
        <v>3</v>
      </c>
      <c r="G163" s="6">
        <v>0.6</v>
      </c>
      <c r="H163" s="4">
        <v>3289.06</v>
      </c>
      <c r="I163" s="6">
        <v>1.1299999999999999E-2</v>
      </c>
    </row>
    <row r="164" spans="1:9" x14ac:dyDescent="0.3">
      <c r="A164" s="4" t="s">
        <v>17</v>
      </c>
      <c r="B164" s="5">
        <v>45474</v>
      </c>
      <c r="C164" s="4">
        <v>77</v>
      </c>
      <c r="D164" s="4">
        <v>15</v>
      </c>
      <c r="E164" s="4">
        <v>282.58999999999997</v>
      </c>
      <c r="F164" s="4">
        <v>2</v>
      </c>
      <c r="G164" s="6">
        <v>0.13333333333333333</v>
      </c>
      <c r="H164" s="4">
        <v>2296.14</v>
      </c>
      <c r="I164" s="6">
        <v>9.5799999999999996E-2</v>
      </c>
    </row>
    <row r="165" spans="1:9" x14ac:dyDescent="0.3">
      <c r="A165" s="4" t="s">
        <v>18</v>
      </c>
      <c r="B165" s="5">
        <v>45474</v>
      </c>
      <c r="C165" s="4">
        <v>50</v>
      </c>
      <c r="D165" s="4">
        <v>9</v>
      </c>
      <c r="E165" s="4">
        <v>246.06</v>
      </c>
      <c r="F165" s="4">
        <v>5</v>
      </c>
      <c r="G165" s="6">
        <v>0.55555555555555558</v>
      </c>
      <c r="H165" s="4">
        <v>4227.22</v>
      </c>
      <c r="I165" s="6">
        <v>3.7200000000000004E-2</v>
      </c>
    </row>
    <row r="166" spans="1:9" x14ac:dyDescent="0.3">
      <c r="A166" s="4" t="s">
        <v>19</v>
      </c>
      <c r="B166" s="5">
        <v>45474</v>
      </c>
      <c r="C166" s="4">
        <v>31</v>
      </c>
      <c r="D166" s="4">
        <v>15</v>
      </c>
      <c r="E166" s="4">
        <v>347.38</v>
      </c>
      <c r="F166" s="4">
        <v>10</v>
      </c>
      <c r="G166" s="6">
        <v>0.66666666666666663</v>
      </c>
      <c r="H166" s="4">
        <v>1101.06</v>
      </c>
      <c r="I166" s="6">
        <v>6.0100000000000001E-2</v>
      </c>
    </row>
    <row r="167" spans="1:9" x14ac:dyDescent="0.3">
      <c r="A167" s="4" t="s">
        <v>20</v>
      </c>
      <c r="B167" s="5">
        <v>45474</v>
      </c>
      <c r="C167" s="4">
        <v>77</v>
      </c>
      <c r="D167" s="4">
        <v>16</v>
      </c>
      <c r="E167" s="4">
        <v>335.59</v>
      </c>
      <c r="F167" s="4">
        <v>7</v>
      </c>
      <c r="G167" s="6">
        <v>0.4375</v>
      </c>
      <c r="H167" s="4">
        <v>1087.4100000000001</v>
      </c>
      <c r="I167" s="6">
        <v>3.6900000000000002E-2</v>
      </c>
    </row>
    <row r="168" spans="1:9" x14ac:dyDescent="0.3">
      <c r="A168" s="4" t="s">
        <v>21</v>
      </c>
      <c r="B168" s="5">
        <v>45474</v>
      </c>
      <c r="C168" s="4">
        <v>17</v>
      </c>
      <c r="D168" s="4">
        <v>8</v>
      </c>
      <c r="E168" s="4">
        <v>208.21</v>
      </c>
      <c r="F168" s="4">
        <v>4</v>
      </c>
      <c r="G168" s="6">
        <v>0.5</v>
      </c>
      <c r="H168" s="4">
        <v>828.73</v>
      </c>
      <c r="I168" s="6">
        <v>7.4200000000000002E-2</v>
      </c>
    </row>
    <row r="169" spans="1:9" x14ac:dyDescent="0.3">
      <c r="A169" s="4" t="s">
        <v>22</v>
      </c>
      <c r="B169" s="5">
        <v>45474</v>
      </c>
      <c r="C169" s="4">
        <v>32</v>
      </c>
      <c r="D169" s="4">
        <v>6</v>
      </c>
      <c r="E169" s="4">
        <v>553.58000000000004</v>
      </c>
      <c r="F169" s="4">
        <v>3</v>
      </c>
      <c r="G169" s="6">
        <v>0.5</v>
      </c>
      <c r="H169" s="4">
        <v>3939.56</v>
      </c>
      <c r="I169" s="6">
        <v>3.78E-2</v>
      </c>
    </row>
    <row r="170" spans="1:9" x14ac:dyDescent="0.3">
      <c r="A170" s="4" t="s">
        <v>23</v>
      </c>
      <c r="B170" s="5">
        <v>45474</v>
      </c>
      <c r="C170" s="4">
        <v>72</v>
      </c>
      <c r="D170" s="4">
        <v>21</v>
      </c>
      <c r="E170" s="4">
        <v>604.57000000000005</v>
      </c>
      <c r="F170" s="4">
        <v>2</v>
      </c>
      <c r="G170" s="6">
        <v>9.5238095238095233E-2</v>
      </c>
      <c r="H170" s="4">
        <v>327.82</v>
      </c>
      <c r="I170" s="6">
        <v>3.6699999999999997E-2</v>
      </c>
    </row>
    <row r="171" spans="1:9" x14ac:dyDescent="0.3">
      <c r="A171" s="4" t="s">
        <v>24</v>
      </c>
      <c r="B171" s="5">
        <v>45474</v>
      </c>
      <c r="C171" s="4">
        <v>34</v>
      </c>
      <c r="D171" s="4">
        <v>7</v>
      </c>
      <c r="E171" s="4">
        <v>199.39</v>
      </c>
      <c r="F171" s="4">
        <v>1</v>
      </c>
      <c r="G171" s="6">
        <v>0.14285714285714285</v>
      </c>
      <c r="H171" s="4">
        <v>3767.74</v>
      </c>
      <c r="I171" s="6">
        <v>3.85E-2</v>
      </c>
    </row>
    <row r="172" spans="1:9" x14ac:dyDescent="0.3">
      <c r="A172" s="4" t="s">
        <v>25</v>
      </c>
      <c r="B172" s="5">
        <v>45474</v>
      </c>
      <c r="C172" s="4">
        <v>71</v>
      </c>
      <c r="D172" s="4">
        <v>9</v>
      </c>
      <c r="E172" s="4">
        <v>220.4</v>
      </c>
      <c r="F172" s="4">
        <v>2</v>
      </c>
      <c r="G172" s="6">
        <v>0.22222222222222221</v>
      </c>
      <c r="H172" s="4">
        <v>692.29</v>
      </c>
      <c r="I172" s="6">
        <v>2.8999999999999998E-2</v>
      </c>
    </row>
    <row r="173" spans="1:9" x14ac:dyDescent="0.3">
      <c r="A173" s="4" t="s">
        <v>26</v>
      </c>
      <c r="B173" s="5">
        <v>45474</v>
      </c>
      <c r="C173" s="4">
        <v>83</v>
      </c>
      <c r="D173" s="4">
        <v>5</v>
      </c>
      <c r="E173" s="4">
        <v>166.85</v>
      </c>
      <c r="F173" s="4">
        <v>4</v>
      </c>
      <c r="G173" s="6">
        <v>0.8</v>
      </c>
      <c r="H173" s="4">
        <v>1364.24</v>
      </c>
      <c r="I173" s="6">
        <v>8.3100000000000007E-2</v>
      </c>
    </row>
    <row r="174" spans="1:9" x14ac:dyDescent="0.3">
      <c r="A174" s="4" t="s">
        <v>27</v>
      </c>
      <c r="B174" s="5">
        <v>45474</v>
      </c>
      <c r="C174" s="4">
        <v>71</v>
      </c>
      <c r="D174" s="4">
        <v>7</v>
      </c>
      <c r="E174" s="4">
        <v>78.53</v>
      </c>
      <c r="F174" s="4">
        <v>4</v>
      </c>
      <c r="G174" s="6">
        <v>0.5714285714285714</v>
      </c>
      <c r="H174" s="4">
        <v>3652.64</v>
      </c>
      <c r="I174" s="6">
        <v>8.6999999999999994E-2</v>
      </c>
    </row>
    <row r="175" spans="1:9" x14ac:dyDescent="0.3">
      <c r="A175" s="4" t="s">
        <v>28</v>
      </c>
      <c r="B175" s="5">
        <v>45474</v>
      </c>
      <c r="C175" s="4">
        <v>24</v>
      </c>
      <c r="D175" s="4">
        <v>13</v>
      </c>
      <c r="E175" s="4">
        <v>471.72</v>
      </c>
      <c r="F175" s="4">
        <v>7</v>
      </c>
      <c r="G175" s="6">
        <v>0.53846153846153844</v>
      </c>
      <c r="H175" s="4">
        <v>3588.89</v>
      </c>
      <c r="I175" s="6">
        <v>3.5400000000000001E-2</v>
      </c>
    </row>
    <row r="176" spans="1:9" x14ac:dyDescent="0.3">
      <c r="A176" s="4" t="s">
        <v>29</v>
      </c>
      <c r="B176" s="5">
        <v>45474</v>
      </c>
      <c r="C176" s="4">
        <v>75</v>
      </c>
      <c r="D176" s="4">
        <v>17</v>
      </c>
      <c r="E176" s="4">
        <v>176.07</v>
      </c>
      <c r="F176" s="4">
        <v>5</v>
      </c>
      <c r="G176" s="6">
        <v>0.29411764705882354</v>
      </c>
      <c r="H176" s="4">
        <v>458.18</v>
      </c>
      <c r="I176" s="6">
        <v>9.9399999999999988E-2</v>
      </c>
    </row>
    <row r="177" spans="1:9" x14ac:dyDescent="0.3">
      <c r="A177" s="4" t="s">
        <v>30</v>
      </c>
      <c r="B177" s="5">
        <v>45474</v>
      </c>
      <c r="C177" s="4">
        <v>76</v>
      </c>
      <c r="D177" s="4">
        <v>11</v>
      </c>
      <c r="E177" s="4">
        <v>486.93</v>
      </c>
      <c r="F177" s="4">
        <v>0</v>
      </c>
      <c r="G177" s="6">
        <v>0</v>
      </c>
      <c r="H177" s="4">
        <v>1219.29</v>
      </c>
      <c r="I177" s="6">
        <v>1E-3</v>
      </c>
    </row>
    <row r="178" spans="1:9" x14ac:dyDescent="0.3">
      <c r="A178" s="4" t="s">
        <v>9</v>
      </c>
      <c r="B178" s="5">
        <v>45474</v>
      </c>
      <c r="C178" s="4">
        <v>20</v>
      </c>
      <c r="D178" s="4">
        <v>14</v>
      </c>
      <c r="E178" s="4">
        <v>283.66000000000003</v>
      </c>
      <c r="F178" s="4">
        <v>2</v>
      </c>
      <c r="G178" s="6">
        <v>0.14285714285714285</v>
      </c>
      <c r="H178" s="4">
        <v>1494.14</v>
      </c>
      <c r="I178" s="6">
        <v>5.7800000000000004E-2</v>
      </c>
    </row>
    <row r="179" spans="1:9" x14ac:dyDescent="0.3">
      <c r="A179" s="4" t="s">
        <v>10</v>
      </c>
      <c r="B179" s="5">
        <v>45474</v>
      </c>
      <c r="C179" s="4">
        <v>79</v>
      </c>
      <c r="D179" s="4">
        <v>6</v>
      </c>
      <c r="E179" s="4">
        <v>536.04999999999995</v>
      </c>
      <c r="F179" s="4">
        <v>1</v>
      </c>
      <c r="G179" s="6">
        <v>0.16666666666666666</v>
      </c>
      <c r="H179" s="4">
        <v>3682.29</v>
      </c>
      <c r="I179" s="6">
        <v>3.2099999999999997E-2</v>
      </c>
    </row>
    <row r="180" spans="1:9" x14ac:dyDescent="0.3">
      <c r="A180" s="4" t="s">
        <v>11</v>
      </c>
      <c r="B180" s="5">
        <v>45474</v>
      </c>
      <c r="C180" s="4">
        <v>82</v>
      </c>
      <c r="D180" s="4">
        <v>9</v>
      </c>
      <c r="E180" s="4">
        <v>171.86</v>
      </c>
      <c r="F180" s="4">
        <v>7</v>
      </c>
      <c r="G180" s="6">
        <v>0.77777777777777779</v>
      </c>
      <c r="H180" s="4">
        <v>506.88</v>
      </c>
      <c r="I180" s="6">
        <v>9.4100000000000003E-2</v>
      </c>
    </row>
    <row r="181" spans="1:9" x14ac:dyDescent="0.3">
      <c r="A181" s="4" t="s">
        <v>12</v>
      </c>
      <c r="B181" s="5">
        <v>45474</v>
      </c>
      <c r="C181" s="4">
        <v>103</v>
      </c>
      <c r="D181" s="4">
        <v>15</v>
      </c>
      <c r="E181" s="4">
        <v>359.16</v>
      </c>
      <c r="F181" s="4">
        <v>1</v>
      </c>
      <c r="G181" s="6">
        <v>6.6666666666666666E-2</v>
      </c>
      <c r="H181" s="4">
        <v>2949.94</v>
      </c>
      <c r="I181" s="6">
        <v>2.3599999999999999E-2</v>
      </c>
    </row>
    <row r="182" spans="1:9" x14ac:dyDescent="0.3">
      <c r="A182" s="4" t="s">
        <v>13</v>
      </c>
      <c r="B182" s="5">
        <v>45474</v>
      </c>
      <c r="C182" s="4">
        <v>41</v>
      </c>
      <c r="D182" s="4">
        <v>9</v>
      </c>
      <c r="E182" s="4">
        <v>569.97</v>
      </c>
      <c r="F182" s="4">
        <v>5</v>
      </c>
      <c r="G182" s="6">
        <v>0.55555555555555558</v>
      </c>
      <c r="H182" s="4">
        <v>259.86</v>
      </c>
      <c r="I182" s="6">
        <v>6.3299999999999995E-2</v>
      </c>
    </row>
    <row r="183" spans="1:9" x14ac:dyDescent="0.3">
      <c r="A183" s="4" t="s">
        <v>14</v>
      </c>
      <c r="B183" s="5">
        <v>45474</v>
      </c>
      <c r="C183" s="4">
        <v>38</v>
      </c>
      <c r="D183" s="4">
        <v>14</v>
      </c>
      <c r="E183" s="4">
        <v>359.22</v>
      </c>
      <c r="F183" s="4">
        <v>8</v>
      </c>
      <c r="G183" s="6">
        <v>0.5714285714285714</v>
      </c>
      <c r="H183" s="4">
        <v>3846.34</v>
      </c>
      <c r="I183" s="6">
        <v>8.5900000000000004E-2</v>
      </c>
    </row>
    <row r="184" spans="1:9" x14ac:dyDescent="0.3">
      <c r="A184" s="4" t="s">
        <v>15</v>
      </c>
      <c r="B184" s="5">
        <v>45505</v>
      </c>
      <c r="C184" s="4">
        <v>71</v>
      </c>
      <c r="D184" s="4">
        <v>15</v>
      </c>
      <c r="E184" s="4">
        <v>297.05</v>
      </c>
      <c r="F184" s="4">
        <v>6</v>
      </c>
      <c r="G184" s="6">
        <v>0.4</v>
      </c>
      <c r="H184" s="4">
        <v>4043.62</v>
      </c>
      <c r="I184" s="6">
        <v>2.7200000000000002E-2</v>
      </c>
    </row>
    <row r="185" spans="1:9" x14ac:dyDescent="0.3">
      <c r="A185" s="4" t="s">
        <v>16</v>
      </c>
      <c r="B185" s="5">
        <v>45505</v>
      </c>
      <c r="C185" s="4">
        <v>66</v>
      </c>
      <c r="D185" s="4">
        <v>13</v>
      </c>
      <c r="E185" s="4">
        <v>376.76</v>
      </c>
      <c r="F185" s="4">
        <v>5</v>
      </c>
      <c r="G185" s="6">
        <v>0.38461538461538464</v>
      </c>
      <c r="H185" s="4">
        <v>3819.73</v>
      </c>
      <c r="I185" s="6">
        <v>4.4900000000000002E-2</v>
      </c>
    </row>
    <row r="186" spans="1:9" x14ac:dyDescent="0.3">
      <c r="A186" s="4" t="s">
        <v>17</v>
      </c>
      <c r="B186" s="5">
        <v>45505</v>
      </c>
      <c r="C186" s="4">
        <v>53</v>
      </c>
      <c r="D186" s="4">
        <v>15</v>
      </c>
      <c r="E186" s="4">
        <v>379.29</v>
      </c>
      <c r="F186" s="4">
        <v>2</v>
      </c>
      <c r="G186" s="6">
        <v>0.13333333333333333</v>
      </c>
      <c r="H186" s="4">
        <v>3409.69</v>
      </c>
      <c r="I186" s="6">
        <v>4.41E-2</v>
      </c>
    </row>
    <row r="187" spans="1:9" x14ac:dyDescent="0.3">
      <c r="A187" s="4" t="s">
        <v>18</v>
      </c>
      <c r="B187" s="5">
        <v>45505</v>
      </c>
      <c r="C187" s="4">
        <v>18</v>
      </c>
      <c r="D187" s="4">
        <v>8</v>
      </c>
      <c r="E187" s="4">
        <v>82.91</v>
      </c>
      <c r="F187" s="4">
        <v>3</v>
      </c>
      <c r="G187" s="6">
        <v>0.375</v>
      </c>
      <c r="H187" s="4">
        <v>1387.86</v>
      </c>
      <c r="I187" s="6">
        <v>3.0099999999999998E-2</v>
      </c>
    </row>
    <row r="188" spans="1:9" x14ac:dyDescent="0.3">
      <c r="A188" s="4" t="s">
        <v>19</v>
      </c>
      <c r="B188" s="5">
        <v>45505</v>
      </c>
      <c r="C188" s="4">
        <v>72</v>
      </c>
      <c r="D188" s="4">
        <v>14</v>
      </c>
      <c r="E188" s="4">
        <v>437.47</v>
      </c>
      <c r="F188" s="4">
        <v>4</v>
      </c>
      <c r="G188" s="6">
        <v>0.2857142857142857</v>
      </c>
      <c r="H188" s="4">
        <v>958.02</v>
      </c>
      <c r="I188" s="6">
        <v>3.9100000000000003E-2</v>
      </c>
    </row>
    <row r="189" spans="1:9" x14ac:dyDescent="0.3">
      <c r="A189" s="4" t="s">
        <v>20</v>
      </c>
      <c r="B189" s="5">
        <v>45505</v>
      </c>
      <c r="C189" s="4">
        <v>64</v>
      </c>
      <c r="D189" s="4">
        <v>7</v>
      </c>
      <c r="E189" s="4">
        <v>554.20000000000005</v>
      </c>
      <c r="F189" s="4">
        <v>2</v>
      </c>
      <c r="G189" s="6">
        <v>0.2857142857142857</v>
      </c>
      <c r="H189" s="4">
        <v>3620.9</v>
      </c>
      <c r="I189" s="6">
        <v>1.23E-2</v>
      </c>
    </row>
    <row r="190" spans="1:9" x14ac:dyDescent="0.3">
      <c r="A190" s="4" t="s">
        <v>21</v>
      </c>
      <c r="B190" s="5">
        <v>45505</v>
      </c>
      <c r="C190" s="4">
        <v>76</v>
      </c>
      <c r="D190" s="4">
        <v>21</v>
      </c>
      <c r="E190" s="4">
        <v>293.93</v>
      </c>
      <c r="F190" s="4">
        <v>2</v>
      </c>
      <c r="G190" s="6">
        <v>9.5238095238095233E-2</v>
      </c>
      <c r="H190" s="4">
        <v>2531.4</v>
      </c>
      <c r="I190" s="6">
        <v>0.1012</v>
      </c>
    </row>
    <row r="191" spans="1:9" x14ac:dyDescent="0.3">
      <c r="A191" s="4" t="s">
        <v>22</v>
      </c>
      <c r="B191" s="5">
        <v>45505</v>
      </c>
      <c r="C191" s="4">
        <v>64</v>
      </c>
      <c r="D191" s="4">
        <v>9</v>
      </c>
      <c r="E191" s="4">
        <v>255.17</v>
      </c>
      <c r="F191" s="4">
        <v>6</v>
      </c>
      <c r="G191" s="6">
        <v>0.66666666666666663</v>
      </c>
      <c r="H191" s="4">
        <v>4136.6899999999996</v>
      </c>
      <c r="I191" s="6">
        <v>3.8199999999999998E-2</v>
      </c>
    </row>
    <row r="192" spans="1:9" x14ac:dyDescent="0.3">
      <c r="A192" s="4" t="s">
        <v>23</v>
      </c>
      <c r="B192" s="5">
        <v>45505</v>
      </c>
      <c r="C192" s="4">
        <v>26</v>
      </c>
      <c r="D192" s="4">
        <v>17</v>
      </c>
      <c r="E192" s="4">
        <v>391.73</v>
      </c>
      <c r="F192" s="4">
        <v>7</v>
      </c>
      <c r="G192" s="6">
        <v>0.41176470588235292</v>
      </c>
      <c r="H192" s="4">
        <v>1166.55</v>
      </c>
      <c r="I192" s="6">
        <v>6.1200000000000004E-2</v>
      </c>
    </row>
    <row r="193" spans="1:9" x14ac:dyDescent="0.3">
      <c r="A193" s="4" t="s">
        <v>24</v>
      </c>
      <c r="B193" s="5">
        <v>45505</v>
      </c>
      <c r="C193" s="4">
        <v>65</v>
      </c>
      <c r="D193" s="4">
        <v>13</v>
      </c>
      <c r="E193" s="4">
        <v>324.26</v>
      </c>
      <c r="F193" s="4">
        <v>7</v>
      </c>
      <c r="G193" s="6">
        <v>0.53846153846153844</v>
      </c>
      <c r="H193" s="4">
        <v>1044.8599999999999</v>
      </c>
      <c r="I193" s="6">
        <v>3.5200000000000002E-2</v>
      </c>
    </row>
    <row r="194" spans="1:9" x14ac:dyDescent="0.3">
      <c r="A194" s="4" t="s">
        <v>25</v>
      </c>
      <c r="B194" s="5">
        <v>45505</v>
      </c>
      <c r="C194" s="4">
        <v>22</v>
      </c>
      <c r="D194" s="4">
        <v>9</v>
      </c>
      <c r="E194" s="4">
        <v>211.28</v>
      </c>
      <c r="F194" s="4">
        <v>8</v>
      </c>
      <c r="G194" s="6">
        <v>0.88888888888888884</v>
      </c>
      <c r="H194" s="4">
        <v>772.77</v>
      </c>
      <c r="I194" s="6">
        <v>8.0600000000000005E-2</v>
      </c>
    </row>
    <row r="195" spans="1:9" x14ac:dyDescent="0.3">
      <c r="A195" s="4" t="s">
        <v>26</v>
      </c>
      <c r="B195" s="5">
        <v>45505</v>
      </c>
      <c r="C195" s="4">
        <v>30</v>
      </c>
      <c r="D195" s="4">
        <v>6</v>
      </c>
      <c r="E195" s="4">
        <v>549.26</v>
      </c>
      <c r="F195" s="4">
        <v>2</v>
      </c>
      <c r="G195" s="6">
        <v>0.33333333333333331</v>
      </c>
      <c r="H195" s="4">
        <v>3868.36</v>
      </c>
      <c r="I195" s="6">
        <v>4.2800000000000005E-2</v>
      </c>
    </row>
    <row r="196" spans="1:9" x14ac:dyDescent="0.3">
      <c r="A196" s="4" t="s">
        <v>27</v>
      </c>
      <c r="B196" s="5">
        <v>45505</v>
      </c>
      <c r="C196" s="4">
        <v>83</v>
      </c>
      <c r="D196" s="4">
        <v>15</v>
      </c>
      <c r="E196" s="4">
        <v>601.05999999999995</v>
      </c>
      <c r="F196" s="4">
        <v>3</v>
      </c>
      <c r="G196" s="6">
        <v>0.2</v>
      </c>
      <c r="H196" s="4">
        <v>350.62</v>
      </c>
      <c r="I196" s="6">
        <v>3.6600000000000001E-2</v>
      </c>
    </row>
    <row r="197" spans="1:9" x14ac:dyDescent="0.3">
      <c r="A197" s="4" t="s">
        <v>28</v>
      </c>
      <c r="B197" s="5">
        <v>45505</v>
      </c>
      <c r="C197" s="4">
        <v>35</v>
      </c>
      <c r="D197" s="4">
        <v>6</v>
      </c>
      <c r="E197" s="4">
        <v>192.19</v>
      </c>
      <c r="F197" s="4">
        <v>1</v>
      </c>
      <c r="G197" s="6">
        <v>0.16666666666666666</v>
      </c>
      <c r="H197" s="4">
        <v>3963.32</v>
      </c>
      <c r="I197" s="6">
        <v>3.9800000000000002E-2</v>
      </c>
    </row>
    <row r="198" spans="1:9" x14ac:dyDescent="0.3">
      <c r="A198" s="4" t="s">
        <v>29</v>
      </c>
      <c r="B198" s="5">
        <v>45505</v>
      </c>
      <c r="C198" s="4">
        <v>73</v>
      </c>
      <c r="D198" s="4">
        <v>8</v>
      </c>
      <c r="E198" s="4">
        <v>191.76</v>
      </c>
      <c r="F198" s="4">
        <v>3</v>
      </c>
      <c r="G198" s="6">
        <v>0.375</v>
      </c>
      <c r="H198" s="4">
        <v>675.97</v>
      </c>
      <c r="I198" s="6">
        <v>3.0200000000000001E-2</v>
      </c>
    </row>
    <row r="199" spans="1:9" x14ac:dyDescent="0.3">
      <c r="A199" s="4" t="s">
        <v>30</v>
      </c>
      <c r="B199" s="5">
        <v>45505</v>
      </c>
      <c r="C199" s="4">
        <v>104</v>
      </c>
      <c r="D199" s="4">
        <v>4</v>
      </c>
      <c r="E199" s="4">
        <v>169.75</v>
      </c>
      <c r="F199" s="4">
        <v>3</v>
      </c>
      <c r="G199" s="6">
        <v>0.75</v>
      </c>
      <c r="H199" s="4">
        <v>1255.83</v>
      </c>
      <c r="I199" s="6">
        <v>7.7600000000000002E-2</v>
      </c>
    </row>
    <row r="200" spans="1:9" x14ac:dyDescent="0.3">
      <c r="A200" s="4" t="s">
        <v>9</v>
      </c>
      <c r="B200" s="5">
        <v>45505</v>
      </c>
      <c r="C200" s="4">
        <v>71</v>
      </c>
      <c r="D200" s="4">
        <v>6</v>
      </c>
      <c r="E200" s="4">
        <v>87.5</v>
      </c>
      <c r="F200" s="4">
        <v>3</v>
      </c>
      <c r="G200" s="6">
        <v>0.5</v>
      </c>
      <c r="H200" s="4">
        <v>3666.64</v>
      </c>
      <c r="I200" s="6">
        <v>9.1300000000000006E-2</v>
      </c>
    </row>
    <row r="201" spans="1:9" x14ac:dyDescent="0.3">
      <c r="A201" s="4" t="s">
        <v>10</v>
      </c>
      <c r="B201" s="5">
        <v>45505</v>
      </c>
      <c r="C201" s="4">
        <v>22</v>
      </c>
      <c r="D201" s="4">
        <v>14</v>
      </c>
      <c r="E201" s="4">
        <v>477.3</v>
      </c>
      <c r="F201" s="4">
        <v>6</v>
      </c>
      <c r="G201" s="6">
        <v>0.42857142857142855</v>
      </c>
      <c r="H201" s="4">
        <v>3790.05</v>
      </c>
      <c r="I201" s="6">
        <v>3.32E-2</v>
      </c>
    </row>
    <row r="202" spans="1:9" x14ac:dyDescent="0.3">
      <c r="A202" s="4" t="s">
        <v>11</v>
      </c>
      <c r="B202" s="5">
        <v>45505</v>
      </c>
      <c r="C202" s="4">
        <v>85</v>
      </c>
      <c r="D202" s="4">
        <v>17</v>
      </c>
      <c r="E202" s="4">
        <v>187.72</v>
      </c>
      <c r="F202" s="4">
        <v>5</v>
      </c>
      <c r="G202" s="6">
        <v>0.29411764705882354</v>
      </c>
      <c r="H202" s="4">
        <v>443.22</v>
      </c>
      <c r="I202" s="6">
        <v>0.1016</v>
      </c>
    </row>
    <row r="203" spans="1:9" x14ac:dyDescent="0.3">
      <c r="A203" s="4" t="s">
        <v>12</v>
      </c>
      <c r="B203" s="5">
        <v>45505</v>
      </c>
      <c r="C203" s="4">
        <v>80</v>
      </c>
      <c r="D203" s="4">
        <v>13</v>
      </c>
      <c r="E203" s="4">
        <v>504.59</v>
      </c>
      <c r="F203" s="4">
        <v>0</v>
      </c>
      <c r="G203" s="6">
        <v>0</v>
      </c>
      <c r="H203" s="4">
        <v>1265.47</v>
      </c>
      <c r="I203" s="6">
        <v>1E-3</v>
      </c>
    </row>
    <row r="204" spans="1:9" x14ac:dyDescent="0.3">
      <c r="A204" s="4" t="s">
        <v>13</v>
      </c>
      <c r="B204" s="5">
        <v>45505</v>
      </c>
      <c r="C204" s="4">
        <v>18</v>
      </c>
      <c r="D204" s="4">
        <v>12</v>
      </c>
      <c r="E204" s="4">
        <v>262.26</v>
      </c>
      <c r="F204" s="4">
        <v>1</v>
      </c>
      <c r="G204" s="6">
        <v>8.3333333333333329E-2</v>
      </c>
      <c r="H204" s="4">
        <v>1573.7</v>
      </c>
      <c r="I204" s="6">
        <v>5.1299999999999998E-2</v>
      </c>
    </row>
    <row r="205" spans="1:9" x14ac:dyDescent="0.3">
      <c r="A205" s="4" t="s">
        <v>14</v>
      </c>
      <c r="B205" s="5">
        <v>45505</v>
      </c>
      <c r="C205" s="4">
        <v>106</v>
      </c>
      <c r="D205" s="4">
        <v>6</v>
      </c>
      <c r="E205" s="4">
        <v>572.16</v>
      </c>
      <c r="F205" s="4">
        <v>2</v>
      </c>
      <c r="G205" s="6">
        <v>0.33333333333333331</v>
      </c>
      <c r="H205" s="4">
        <v>3398.37</v>
      </c>
      <c r="I205" s="6">
        <v>2.87E-2</v>
      </c>
    </row>
    <row r="206" spans="1:9" x14ac:dyDescent="0.3">
      <c r="A206" s="4" t="s">
        <v>15</v>
      </c>
      <c r="B206" s="5">
        <v>45505</v>
      </c>
      <c r="C206" s="4">
        <v>71</v>
      </c>
      <c r="D206" s="4">
        <v>9</v>
      </c>
      <c r="E206" s="4">
        <v>172.96</v>
      </c>
      <c r="F206" s="4">
        <v>6</v>
      </c>
      <c r="G206" s="6">
        <v>0.66666666666666663</v>
      </c>
      <c r="H206" s="4">
        <v>464.49</v>
      </c>
      <c r="I206" s="6">
        <v>8.2699999999999996E-2</v>
      </c>
    </row>
    <row r="207" spans="1:9" x14ac:dyDescent="0.3">
      <c r="A207" s="4" t="s">
        <v>16</v>
      </c>
      <c r="B207" s="5">
        <v>45505</v>
      </c>
      <c r="C207" s="4">
        <v>115</v>
      </c>
      <c r="D207" s="4">
        <v>17</v>
      </c>
      <c r="E207" s="4">
        <v>422.48</v>
      </c>
      <c r="F207" s="4">
        <v>0</v>
      </c>
      <c r="G207" s="6">
        <v>0</v>
      </c>
      <c r="H207" s="4">
        <v>2681.51</v>
      </c>
      <c r="I207" s="6">
        <v>2.5000000000000001E-2</v>
      </c>
    </row>
    <row r="208" spans="1:9" x14ac:dyDescent="0.3">
      <c r="A208" s="4" t="s">
        <v>17</v>
      </c>
      <c r="B208" s="5">
        <v>45505</v>
      </c>
      <c r="C208" s="4">
        <v>34</v>
      </c>
      <c r="D208" s="4">
        <v>10</v>
      </c>
      <c r="E208" s="4">
        <v>565.11</v>
      </c>
      <c r="F208" s="4">
        <v>5</v>
      </c>
      <c r="G208" s="6">
        <v>0.5</v>
      </c>
      <c r="H208" s="4">
        <v>222.62</v>
      </c>
      <c r="I208" s="6">
        <v>7.1800000000000003E-2</v>
      </c>
    </row>
    <row r="209" spans="1:9" x14ac:dyDescent="0.3">
      <c r="A209" s="4" t="s">
        <v>18</v>
      </c>
      <c r="B209" s="5">
        <v>45505</v>
      </c>
      <c r="C209" s="4">
        <v>40</v>
      </c>
      <c r="D209" s="4">
        <v>17</v>
      </c>
      <c r="E209" s="4">
        <v>355.83</v>
      </c>
      <c r="F209" s="4">
        <v>6</v>
      </c>
      <c r="G209" s="6">
        <v>0.35294117647058826</v>
      </c>
      <c r="H209" s="4">
        <v>4155.8599999999997</v>
      </c>
      <c r="I209" s="6">
        <v>8.8000000000000009E-2</v>
      </c>
    </row>
    <row r="210" spans="1:9" x14ac:dyDescent="0.3">
      <c r="A210" s="4" t="s">
        <v>19</v>
      </c>
      <c r="B210" s="5">
        <v>45536</v>
      </c>
      <c r="C210" s="4">
        <v>51</v>
      </c>
      <c r="D210" s="4">
        <v>15</v>
      </c>
      <c r="E210" s="4">
        <v>349.71</v>
      </c>
      <c r="F210" s="4">
        <v>8</v>
      </c>
      <c r="G210" s="6">
        <v>0.53333333333333333</v>
      </c>
      <c r="H210" s="4">
        <v>4017.54</v>
      </c>
      <c r="I210" s="6">
        <v>2.92E-2</v>
      </c>
    </row>
    <row r="211" spans="1:9" x14ac:dyDescent="0.3">
      <c r="A211" s="4" t="s">
        <v>20</v>
      </c>
      <c r="B211" s="5">
        <v>45536</v>
      </c>
      <c r="C211" s="4">
        <v>79</v>
      </c>
      <c r="D211" s="4">
        <v>9</v>
      </c>
      <c r="E211" s="4">
        <v>358.67</v>
      </c>
      <c r="F211" s="4">
        <v>5</v>
      </c>
      <c r="G211" s="6">
        <v>0.55555555555555558</v>
      </c>
      <c r="H211" s="4">
        <v>3658.64</v>
      </c>
      <c r="I211" s="6">
        <v>3.7499999999999999E-2</v>
      </c>
    </row>
    <row r="212" spans="1:9" x14ac:dyDescent="0.3">
      <c r="A212" s="4" t="s">
        <v>21</v>
      </c>
      <c r="B212" s="5">
        <v>45536</v>
      </c>
      <c r="C212" s="4">
        <v>57</v>
      </c>
      <c r="D212" s="4">
        <v>18</v>
      </c>
      <c r="E212" s="4">
        <v>403.41</v>
      </c>
      <c r="F212" s="4">
        <v>3</v>
      </c>
      <c r="G212" s="6">
        <v>0.16666666666666666</v>
      </c>
      <c r="H212" s="4">
        <v>3767.63</v>
      </c>
      <c r="I212" s="6">
        <v>4.24E-2</v>
      </c>
    </row>
    <row r="213" spans="1:9" x14ac:dyDescent="0.3">
      <c r="A213" s="4" t="s">
        <v>22</v>
      </c>
      <c r="B213" s="5">
        <v>45536</v>
      </c>
      <c r="C213" s="4">
        <v>24</v>
      </c>
      <c r="D213" s="4">
        <v>7</v>
      </c>
      <c r="E213" s="4">
        <v>79.62</v>
      </c>
      <c r="F213" s="4">
        <v>4</v>
      </c>
      <c r="G213" s="6">
        <v>0.5714285714285714</v>
      </c>
      <c r="H213" s="4">
        <v>1650.69</v>
      </c>
      <c r="I213" s="6">
        <v>3.0600000000000002E-2</v>
      </c>
    </row>
    <row r="214" spans="1:9" x14ac:dyDescent="0.3">
      <c r="A214" s="4" t="s">
        <v>23</v>
      </c>
      <c r="B214" s="5">
        <v>45536</v>
      </c>
      <c r="C214" s="4">
        <v>77</v>
      </c>
      <c r="D214" s="4">
        <v>11</v>
      </c>
      <c r="E214" s="4">
        <v>487.47</v>
      </c>
      <c r="F214" s="4">
        <v>4</v>
      </c>
      <c r="G214" s="6">
        <v>0.36363636363636365</v>
      </c>
      <c r="H214" s="4">
        <v>990.89</v>
      </c>
      <c r="I214" s="6">
        <v>4.3299999999999998E-2</v>
      </c>
    </row>
    <row r="215" spans="1:9" x14ac:dyDescent="0.3">
      <c r="A215" s="4" t="s">
        <v>24</v>
      </c>
      <c r="B215" s="5">
        <v>45536</v>
      </c>
      <c r="C215" s="4">
        <v>69</v>
      </c>
      <c r="D215" s="4">
        <v>7</v>
      </c>
      <c r="E215" s="4">
        <v>549.77</v>
      </c>
      <c r="F215" s="4">
        <v>2</v>
      </c>
      <c r="G215" s="6">
        <v>0.2857142857142857</v>
      </c>
      <c r="H215" s="4">
        <v>3916.58</v>
      </c>
      <c r="I215" s="6">
        <v>1.2E-2</v>
      </c>
    </row>
    <row r="216" spans="1:9" x14ac:dyDescent="0.3">
      <c r="A216" s="4" t="s">
        <v>25</v>
      </c>
      <c r="B216" s="5">
        <v>45536</v>
      </c>
      <c r="C216" s="4">
        <v>74</v>
      </c>
      <c r="D216" s="4">
        <v>18</v>
      </c>
      <c r="E216" s="4">
        <v>306.89999999999998</v>
      </c>
      <c r="F216" s="4">
        <v>3</v>
      </c>
      <c r="G216" s="6">
        <v>0.16666666666666666</v>
      </c>
      <c r="H216" s="4">
        <v>2254.16</v>
      </c>
      <c r="I216" s="6">
        <v>9.64E-2</v>
      </c>
    </row>
    <row r="217" spans="1:9" x14ac:dyDescent="0.3">
      <c r="A217" s="4" t="s">
        <v>26</v>
      </c>
      <c r="B217" s="5">
        <v>45536</v>
      </c>
      <c r="C217" s="4">
        <v>57</v>
      </c>
      <c r="D217" s="4">
        <v>7</v>
      </c>
      <c r="E217" s="4">
        <v>262.27999999999997</v>
      </c>
      <c r="F217" s="4">
        <v>7</v>
      </c>
      <c r="G217" s="6">
        <v>1</v>
      </c>
      <c r="H217" s="4">
        <v>3929.11</v>
      </c>
      <c r="I217" s="6">
        <v>4.4299999999999999E-2</v>
      </c>
    </row>
    <row r="218" spans="1:9" x14ac:dyDescent="0.3">
      <c r="A218" s="4" t="s">
        <v>27</v>
      </c>
      <c r="B218" s="5">
        <v>45536</v>
      </c>
      <c r="C218" s="4">
        <v>26</v>
      </c>
      <c r="D218" s="4">
        <v>21</v>
      </c>
      <c r="E218" s="4">
        <v>359.51</v>
      </c>
      <c r="F218" s="4">
        <v>9</v>
      </c>
      <c r="G218" s="6">
        <v>0.42857142857142855</v>
      </c>
      <c r="H218" s="4">
        <v>1187.3699999999999</v>
      </c>
      <c r="I218" s="6">
        <v>5.33E-2</v>
      </c>
    </row>
    <row r="219" spans="1:9" x14ac:dyDescent="0.3">
      <c r="A219" s="4" t="s">
        <v>28</v>
      </c>
      <c r="B219" s="5">
        <v>45536</v>
      </c>
      <c r="C219" s="4">
        <v>76</v>
      </c>
      <c r="D219" s="4">
        <v>18</v>
      </c>
      <c r="E219" s="4">
        <v>339.1</v>
      </c>
      <c r="F219" s="4">
        <v>8</v>
      </c>
      <c r="G219" s="6">
        <v>0.44444444444444442</v>
      </c>
      <c r="H219" s="4">
        <v>924.79</v>
      </c>
      <c r="I219" s="6">
        <v>3.6000000000000004E-2</v>
      </c>
    </row>
    <row r="220" spans="1:9" x14ac:dyDescent="0.3">
      <c r="A220" s="4" t="s">
        <v>29</v>
      </c>
      <c r="B220" s="5">
        <v>45536</v>
      </c>
      <c r="C220" s="4">
        <v>22</v>
      </c>
      <c r="D220" s="4">
        <v>7</v>
      </c>
      <c r="E220" s="4">
        <v>182.47</v>
      </c>
      <c r="F220" s="4">
        <v>7</v>
      </c>
      <c r="G220" s="6">
        <v>1</v>
      </c>
      <c r="H220" s="4">
        <v>779.86</v>
      </c>
      <c r="I220" s="6">
        <v>7.2700000000000001E-2</v>
      </c>
    </row>
    <row r="221" spans="1:9" x14ac:dyDescent="0.3">
      <c r="A221" s="4" t="s">
        <v>30</v>
      </c>
      <c r="B221" s="5">
        <v>45536</v>
      </c>
      <c r="C221" s="4">
        <v>38</v>
      </c>
      <c r="D221" s="4">
        <v>6</v>
      </c>
      <c r="E221" s="4">
        <v>553.89</v>
      </c>
      <c r="F221" s="4">
        <v>6</v>
      </c>
      <c r="G221" s="6">
        <v>1</v>
      </c>
      <c r="H221" s="4">
        <v>4013.79</v>
      </c>
      <c r="I221" s="6">
        <v>4.3200000000000002E-2</v>
      </c>
    </row>
    <row r="222" spans="1:9" x14ac:dyDescent="0.3">
      <c r="A222" s="4" t="s">
        <v>9</v>
      </c>
      <c r="B222" s="5">
        <v>45536</v>
      </c>
      <c r="C222" s="4">
        <v>87</v>
      </c>
      <c r="D222" s="4">
        <v>21</v>
      </c>
      <c r="E222" s="4">
        <v>633.13</v>
      </c>
      <c r="F222" s="4">
        <v>2</v>
      </c>
      <c r="G222" s="6">
        <v>9.5238095238095233E-2</v>
      </c>
      <c r="H222" s="4">
        <v>336.22</v>
      </c>
      <c r="I222" s="6">
        <v>3.4500000000000003E-2</v>
      </c>
    </row>
    <row r="223" spans="1:9" x14ac:dyDescent="0.3">
      <c r="A223" s="4" t="s">
        <v>10</v>
      </c>
      <c r="B223" s="5">
        <v>45536</v>
      </c>
      <c r="C223" s="4">
        <v>37</v>
      </c>
      <c r="D223" s="4">
        <v>8</v>
      </c>
      <c r="E223" s="4">
        <v>215.09</v>
      </c>
      <c r="F223" s="4">
        <v>2</v>
      </c>
      <c r="G223" s="6">
        <v>0.25</v>
      </c>
      <c r="H223" s="4">
        <v>3424.83</v>
      </c>
      <c r="I223" s="6">
        <v>4.07E-2</v>
      </c>
    </row>
    <row r="224" spans="1:9" x14ac:dyDescent="0.3">
      <c r="A224" s="4" t="s">
        <v>11</v>
      </c>
      <c r="B224" s="5">
        <v>45536</v>
      </c>
      <c r="C224" s="4">
        <v>71</v>
      </c>
      <c r="D224" s="4">
        <v>8</v>
      </c>
      <c r="E224" s="4">
        <v>199.19</v>
      </c>
      <c r="F224" s="4">
        <v>2</v>
      </c>
      <c r="G224" s="6">
        <v>0.25</v>
      </c>
      <c r="H224" s="4">
        <v>635.24</v>
      </c>
      <c r="I224" s="6">
        <v>2.9500000000000002E-2</v>
      </c>
    </row>
    <row r="225" spans="1:9" x14ac:dyDescent="0.3">
      <c r="A225" s="4" t="s">
        <v>12</v>
      </c>
      <c r="B225" s="5">
        <v>45536</v>
      </c>
      <c r="C225" s="4">
        <v>81</v>
      </c>
      <c r="D225" s="4">
        <v>5</v>
      </c>
      <c r="E225" s="4">
        <v>153.5</v>
      </c>
      <c r="F225" s="4">
        <v>2</v>
      </c>
      <c r="G225" s="6">
        <v>0.4</v>
      </c>
      <c r="H225" s="4">
        <v>1307.47</v>
      </c>
      <c r="I225" s="6">
        <v>7.3300000000000004E-2</v>
      </c>
    </row>
    <row r="226" spans="1:9" x14ac:dyDescent="0.3">
      <c r="A226" s="4" t="s">
        <v>13</v>
      </c>
      <c r="B226" s="5">
        <v>45536</v>
      </c>
      <c r="C226" s="4">
        <v>93</v>
      </c>
      <c r="D226" s="4">
        <v>5</v>
      </c>
      <c r="E226" s="4">
        <v>77.12</v>
      </c>
      <c r="F226" s="4">
        <v>2</v>
      </c>
      <c r="G226" s="6">
        <v>0.4</v>
      </c>
      <c r="H226" s="4">
        <v>3483.91</v>
      </c>
      <c r="I226" s="6">
        <v>9.9000000000000005E-2</v>
      </c>
    </row>
    <row r="227" spans="1:9" x14ac:dyDescent="0.3">
      <c r="A227" s="4" t="s">
        <v>14</v>
      </c>
      <c r="B227" s="5">
        <v>45536</v>
      </c>
      <c r="C227" s="4">
        <v>21</v>
      </c>
      <c r="D227" s="4">
        <v>17</v>
      </c>
      <c r="E227" s="4">
        <v>533.41999999999996</v>
      </c>
      <c r="F227" s="4">
        <v>7</v>
      </c>
      <c r="G227" s="6">
        <v>0.41176470588235292</v>
      </c>
      <c r="H227" s="4">
        <v>3895.32</v>
      </c>
      <c r="I227" s="6">
        <v>3.4000000000000002E-2</v>
      </c>
    </row>
    <row r="228" spans="1:9" x14ac:dyDescent="0.3">
      <c r="A228" s="4" t="s">
        <v>15</v>
      </c>
      <c r="B228" s="5">
        <v>45536</v>
      </c>
      <c r="C228" s="4">
        <v>86</v>
      </c>
      <c r="D228" s="4">
        <v>17</v>
      </c>
      <c r="E228" s="4">
        <v>160.88999999999999</v>
      </c>
      <c r="F228" s="4">
        <v>4</v>
      </c>
      <c r="G228" s="6">
        <v>0.23529411764705882</v>
      </c>
      <c r="H228" s="4">
        <v>418.33</v>
      </c>
      <c r="I228" s="6">
        <v>8.8100000000000012E-2</v>
      </c>
    </row>
    <row r="229" spans="1:9" x14ac:dyDescent="0.3">
      <c r="A229" s="4" t="s">
        <v>16</v>
      </c>
      <c r="B229" s="5">
        <v>45536</v>
      </c>
      <c r="C229" s="4">
        <v>72</v>
      </c>
      <c r="D229" s="4">
        <v>11</v>
      </c>
      <c r="E229" s="4">
        <v>459.86</v>
      </c>
      <c r="F229" s="4">
        <v>0</v>
      </c>
      <c r="G229" s="6">
        <v>0</v>
      </c>
      <c r="H229" s="4">
        <v>1269.5999999999999</v>
      </c>
      <c r="I229" s="6">
        <v>1E-3</v>
      </c>
    </row>
    <row r="230" spans="1:9" x14ac:dyDescent="0.3">
      <c r="A230" s="4" t="s">
        <v>17</v>
      </c>
      <c r="B230" s="5">
        <v>45536</v>
      </c>
      <c r="C230" s="4">
        <v>18</v>
      </c>
      <c r="D230" s="4">
        <v>13</v>
      </c>
      <c r="E230" s="4">
        <v>290.14</v>
      </c>
      <c r="F230" s="4">
        <v>2</v>
      </c>
      <c r="G230" s="6">
        <v>0.15384615384615385</v>
      </c>
      <c r="H230" s="4">
        <v>1444.65</v>
      </c>
      <c r="I230" s="6">
        <v>5.4699999999999999E-2</v>
      </c>
    </row>
    <row r="231" spans="1:9" x14ac:dyDescent="0.3">
      <c r="A231" s="4" t="s">
        <v>18</v>
      </c>
      <c r="B231" s="5">
        <v>45536</v>
      </c>
      <c r="C231" s="4">
        <v>105</v>
      </c>
      <c r="D231" s="4">
        <v>7</v>
      </c>
      <c r="E231" s="4">
        <v>587.83000000000004</v>
      </c>
      <c r="F231" s="4">
        <v>1</v>
      </c>
      <c r="G231" s="6">
        <v>0.14285714285714285</v>
      </c>
      <c r="H231" s="4">
        <v>3601.93</v>
      </c>
      <c r="I231" s="6">
        <v>3.2199999999999999E-2</v>
      </c>
    </row>
    <row r="232" spans="1:9" x14ac:dyDescent="0.3">
      <c r="A232" s="4" t="s">
        <v>19</v>
      </c>
      <c r="B232" s="5">
        <v>45536</v>
      </c>
      <c r="C232" s="4">
        <v>75</v>
      </c>
      <c r="D232" s="4">
        <v>8</v>
      </c>
      <c r="E232" s="4">
        <v>177.88</v>
      </c>
      <c r="F232" s="4">
        <v>7</v>
      </c>
      <c r="G232" s="6">
        <v>0.875</v>
      </c>
      <c r="H232" s="4">
        <v>507.1</v>
      </c>
      <c r="I232" s="6">
        <v>9.5199999999999993E-2</v>
      </c>
    </row>
    <row r="233" spans="1:9" x14ac:dyDescent="0.3">
      <c r="A233" s="4" t="s">
        <v>20</v>
      </c>
      <c r="B233" s="5">
        <v>45536</v>
      </c>
      <c r="C233" s="4">
        <v>98</v>
      </c>
      <c r="D233" s="4">
        <v>12</v>
      </c>
      <c r="E233" s="4">
        <v>406.95</v>
      </c>
      <c r="F233" s="4">
        <v>0</v>
      </c>
      <c r="G233" s="6">
        <v>0</v>
      </c>
      <c r="H233" s="4">
        <v>2978.09</v>
      </c>
      <c r="I233" s="6">
        <v>2.3700000000000002E-2</v>
      </c>
    </row>
    <row r="234" spans="1:9" x14ac:dyDescent="0.3">
      <c r="A234" s="4" t="s">
        <v>21</v>
      </c>
      <c r="B234" s="5">
        <v>45536</v>
      </c>
      <c r="C234" s="4">
        <v>33</v>
      </c>
      <c r="D234" s="4">
        <v>13</v>
      </c>
      <c r="E234" s="4">
        <v>517.1</v>
      </c>
      <c r="F234" s="4">
        <v>4</v>
      </c>
      <c r="G234" s="6">
        <v>0.30769230769230771</v>
      </c>
      <c r="H234" s="4">
        <v>250.08</v>
      </c>
      <c r="I234" s="6">
        <v>6.5299999999999997E-2</v>
      </c>
    </row>
    <row r="235" spans="1:9" x14ac:dyDescent="0.3">
      <c r="A235" s="4" t="s">
        <v>22</v>
      </c>
      <c r="B235" s="5">
        <v>45536</v>
      </c>
      <c r="C235" s="4">
        <v>35</v>
      </c>
      <c r="D235" s="4">
        <v>18</v>
      </c>
      <c r="E235" s="4">
        <v>348.92</v>
      </c>
      <c r="F235" s="4">
        <v>7</v>
      </c>
      <c r="G235" s="6">
        <v>0.3888888888888889</v>
      </c>
      <c r="H235" s="4">
        <v>4381.3900000000003</v>
      </c>
      <c r="I235" s="6">
        <v>8.8599999999999998E-2</v>
      </c>
    </row>
    <row r="236" spans="1:9" x14ac:dyDescent="0.3">
      <c r="A236" s="4" t="s">
        <v>23</v>
      </c>
      <c r="B236" s="5">
        <v>45566</v>
      </c>
      <c r="C236" s="4">
        <v>74</v>
      </c>
      <c r="D236" s="4">
        <v>16</v>
      </c>
      <c r="E236" s="4">
        <v>308.51</v>
      </c>
      <c r="F236" s="4">
        <v>7</v>
      </c>
      <c r="G236" s="6">
        <v>0.4375</v>
      </c>
      <c r="H236" s="4">
        <v>4267.5</v>
      </c>
      <c r="I236" s="6">
        <v>2.9399999999999999E-2</v>
      </c>
    </row>
    <row r="237" spans="1:9" x14ac:dyDescent="0.3">
      <c r="A237" s="4" t="s">
        <v>24</v>
      </c>
      <c r="B237" s="5">
        <v>45566</v>
      </c>
      <c r="C237" s="4">
        <v>72</v>
      </c>
      <c r="D237" s="4">
        <v>10</v>
      </c>
      <c r="E237" s="4">
        <v>362.58</v>
      </c>
      <c r="F237" s="4">
        <v>5</v>
      </c>
      <c r="G237" s="6">
        <v>0.5</v>
      </c>
      <c r="H237" s="4">
        <v>3679.65</v>
      </c>
      <c r="I237" s="6">
        <v>3.8599999999999995E-2</v>
      </c>
    </row>
    <row r="238" spans="1:9" x14ac:dyDescent="0.3">
      <c r="A238" s="4" t="s">
        <v>25</v>
      </c>
      <c r="B238" s="5">
        <v>45566</v>
      </c>
      <c r="C238" s="4">
        <v>58</v>
      </c>
      <c r="D238" s="4">
        <v>13</v>
      </c>
      <c r="E238" s="4">
        <v>368.06</v>
      </c>
      <c r="F238" s="4">
        <v>2</v>
      </c>
      <c r="G238" s="6">
        <v>0.15384615384615385</v>
      </c>
      <c r="H238" s="4">
        <v>3626.22</v>
      </c>
      <c r="I238" s="6">
        <v>4.1399999999999999E-2</v>
      </c>
    </row>
    <row r="239" spans="1:9" x14ac:dyDescent="0.3">
      <c r="A239" s="4" t="s">
        <v>26</v>
      </c>
      <c r="B239" s="5">
        <v>45566</v>
      </c>
      <c r="C239" s="4">
        <v>22</v>
      </c>
      <c r="D239" s="4">
        <v>7</v>
      </c>
      <c r="E239" s="4">
        <v>74.680000000000007</v>
      </c>
      <c r="F239" s="4">
        <v>4</v>
      </c>
      <c r="G239" s="6">
        <v>0.5714285714285714</v>
      </c>
      <c r="H239" s="4">
        <v>1543.72</v>
      </c>
      <c r="I239" s="6">
        <v>2.75E-2</v>
      </c>
    </row>
    <row r="240" spans="1:9" x14ac:dyDescent="0.3">
      <c r="A240" s="4" t="s">
        <v>27</v>
      </c>
      <c r="B240" s="5">
        <v>45566</v>
      </c>
      <c r="C240" s="4">
        <v>74</v>
      </c>
      <c r="D240" s="4">
        <v>15</v>
      </c>
      <c r="E240" s="4">
        <v>460.2</v>
      </c>
      <c r="F240" s="4">
        <v>4</v>
      </c>
      <c r="G240" s="6">
        <v>0.26666666666666666</v>
      </c>
      <c r="H240" s="4">
        <v>980.1</v>
      </c>
      <c r="I240" s="6">
        <v>3.7900000000000003E-2</v>
      </c>
    </row>
    <row r="241" spans="1:9" x14ac:dyDescent="0.3">
      <c r="A241" s="4" t="s">
        <v>28</v>
      </c>
      <c r="B241" s="5">
        <v>45566</v>
      </c>
      <c r="C241" s="4">
        <v>62</v>
      </c>
      <c r="D241" s="4">
        <v>8</v>
      </c>
      <c r="E241" s="4">
        <v>540.79999999999995</v>
      </c>
      <c r="F241" s="4">
        <v>3</v>
      </c>
      <c r="G241" s="6">
        <v>0.375</v>
      </c>
      <c r="H241" s="4">
        <v>3928.71</v>
      </c>
      <c r="I241" s="6">
        <v>1.09E-2</v>
      </c>
    </row>
    <row r="242" spans="1:9" x14ac:dyDescent="0.3">
      <c r="A242" s="4" t="s">
        <v>29</v>
      </c>
      <c r="B242" s="5">
        <v>45566</v>
      </c>
      <c r="C242" s="4">
        <v>70</v>
      </c>
      <c r="D242" s="4">
        <v>21</v>
      </c>
      <c r="E242" s="4">
        <v>319.62</v>
      </c>
      <c r="F242" s="4">
        <v>3</v>
      </c>
      <c r="G242" s="6">
        <v>0.14285714285714285</v>
      </c>
      <c r="H242" s="4">
        <v>2486.2199999999998</v>
      </c>
      <c r="I242" s="6">
        <v>0.1036</v>
      </c>
    </row>
    <row r="243" spans="1:9" x14ac:dyDescent="0.3">
      <c r="A243" s="4" t="s">
        <v>30</v>
      </c>
      <c r="B243" s="5">
        <v>45566</v>
      </c>
      <c r="C243" s="4">
        <v>51</v>
      </c>
      <c r="D243" s="4">
        <v>7</v>
      </c>
      <c r="E243" s="4">
        <v>248.37</v>
      </c>
      <c r="F243" s="4">
        <v>7</v>
      </c>
      <c r="G243" s="6">
        <v>1</v>
      </c>
      <c r="H243" s="4">
        <v>3946.23</v>
      </c>
      <c r="I243" s="6">
        <v>4.2699999999999995E-2</v>
      </c>
    </row>
    <row r="244" spans="1:9" x14ac:dyDescent="0.3">
      <c r="A244" s="4" t="s">
        <v>9</v>
      </c>
      <c r="B244" s="5">
        <v>45566</v>
      </c>
      <c r="C244" s="4">
        <v>32</v>
      </c>
      <c r="D244" s="4">
        <v>16</v>
      </c>
      <c r="E244" s="4">
        <v>393.04</v>
      </c>
      <c r="F244" s="4">
        <v>7</v>
      </c>
      <c r="G244" s="6">
        <v>0.4375</v>
      </c>
      <c r="H244" s="4">
        <v>1286.18</v>
      </c>
      <c r="I244" s="6">
        <v>5.6399999999999999E-2</v>
      </c>
    </row>
    <row r="245" spans="1:9" x14ac:dyDescent="0.3">
      <c r="A245" s="4" t="s">
        <v>10</v>
      </c>
      <c r="B245" s="5">
        <v>45566</v>
      </c>
      <c r="C245" s="4">
        <v>71</v>
      </c>
      <c r="D245" s="4">
        <v>16</v>
      </c>
      <c r="E245" s="4">
        <v>323.56</v>
      </c>
      <c r="F245" s="4">
        <v>9</v>
      </c>
      <c r="G245" s="6">
        <v>0.5625</v>
      </c>
      <c r="H245" s="4">
        <v>957.05</v>
      </c>
      <c r="I245" s="6">
        <v>3.1099999999999999E-2</v>
      </c>
    </row>
    <row r="246" spans="1:9" x14ac:dyDescent="0.3">
      <c r="A246" s="4" t="s">
        <v>11</v>
      </c>
      <c r="B246" s="5">
        <v>45566</v>
      </c>
      <c r="C246" s="4">
        <v>17</v>
      </c>
      <c r="D246" s="4">
        <v>7</v>
      </c>
      <c r="E246" s="4">
        <v>205.3</v>
      </c>
      <c r="F246" s="4">
        <v>4</v>
      </c>
      <c r="G246" s="6">
        <v>0.5714285714285714</v>
      </c>
      <c r="H246" s="4">
        <v>762.2</v>
      </c>
      <c r="I246" s="6">
        <v>7.2300000000000003E-2</v>
      </c>
    </row>
    <row r="247" spans="1:9" x14ac:dyDescent="0.3">
      <c r="A247" s="4" t="s">
        <v>12</v>
      </c>
      <c r="B247" s="5">
        <v>45566</v>
      </c>
      <c r="C247" s="4">
        <v>35</v>
      </c>
      <c r="D247" s="4">
        <v>6</v>
      </c>
      <c r="E247" s="4">
        <v>544.78</v>
      </c>
      <c r="F247" s="4">
        <v>5</v>
      </c>
      <c r="G247" s="6">
        <v>0.83333333333333337</v>
      </c>
      <c r="H247" s="4">
        <v>3420.99</v>
      </c>
      <c r="I247" s="6">
        <v>4.0500000000000001E-2</v>
      </c>
    </row>
    <row r="248" spans="1:9" x14ac:dyDescent="0.3">
      <c r="A248" s="4" t="s">
        <v>13</v>
      </c>
      <c r="B248" s="5">
        <v>45566</v>
      </c>
      <c r="C248" s="4">
        <v>73</v>
      </c>
      <c r="D248" s="4">
        <v>17</v>
      </c>
      <c r="E248" s="4">
        <v>557.29999999999995</v>
      </c>
      <c r="F248" s="4">
        <v>3</v>
      </c>
      <c r="G248" s="6">
        <v>0.17647058823529413</v>
      </c>
      <c r="H248" s="4">
        <v>376.66</v>
      </c>
      <c r="I248" s="6">
        <v>3.4700000000000002E-2</v>
      </c>
    </row>
    <row r="249" spans="1:9" x14ac:dyDescent="0.3">
      <c r="A249" s="4" t="s">
        <v>14</v>
      </c>
      <c r="B249" s="5">
        <v>45566</v>
      </c>
      <c r="C249" s="4">
        <v>27</v>
      </c>
      <c r="D249" s="4">
        <v>6</v>
      </c>
      <c r="E249" s="4">
        <v>202.37</v>
      </c>
      <c r="F249" s="4">
        <v>1</v>
      </c>
      <c r="G249" s="6">
        <v>0.16666666666666666</v>
      </c>
      <c r="H249" s="4">
        <v>3781.81</v>
      </c>
      <c r="I249" s="6">
        <v>4.3099999999999999E-2</v>
      </c>
    </row>
    <row r="250" spans="1:9" x14ac:dyDescent="0.3">
      <c r="A250" s="4" t="s">
        <v>15</v>
      </c>
      <c r="B250" s="5">
        <v>45566</v>
      </c>
      <c r="C250" s="4">
        <v>49</v>
      </c>
      <c r="D250" s="4">
        <v>7</v>
      </c>
      <c r="E250" s="4">
        <v>204.14</v>
      </c>
      <c r="F250" s="4">
        <v>3</v>
      </c>
      <c r="G250" s="6">
        <v>0.42857142857142855</v>
      </c>
      <c r="H250" s="4">
        <v>636.65</v>
      </c>
      <c r="I250" s="6">
        <v>2.9500000000000002E-2</v>
      </c>
    </row>
    <row r="251" spans="1:9" x14ac:dyDescent="0.3">
      <c r="A251" s="4" t="s">
        <v>16</v>
      </c>
      <c r="B251" s="5">
        <v>45566</v>
      </c>
      <c r="C251" s="4">
        <v>106</v>
      </c>
      <c r="D251" s="4">
        <v>5</v>
      </c>
      <c r="E251" s="4">
        <v>163.38</v>
      </c>
      <c r="F251" s="4">
        <v>1</v>
      </c>
      <c r="G251" s="6">
        <v>0.2</v>
      </c>
      <c r="H251" s="4">
        <v>1148.1400000000001</v>
      </c>
      <c r="I251" s="6">
        <v>7.8799999999999995E-2</v>
      </c>
    </row>
    <row r="252" spans="1:9" x14ac:dyDescent="0.3">
      <c r="A252" s="4" t="s">
        <v>17</v>
      </c>
      <c r="B252" s="5">
        <v>45566</v>
      </c>
      <c r="C252" s="4">
        <v>102</v>
      </c>
      <c r="D252" s="4">
        <v>5</v>
      </c>
      <c r="E252" s="4">
        <v>86.37</v>
      </c>
      <c r="F252" s="4">
        <v>5</v>
      </c>
      <c r="G252" s="6">
        <v>1</v>
      </c>
      <c r="H252" s="4">
        <v>3851.19</v>
      </c>
      <c r="I252" s="6">
        <v>8.3800000000000013E-2</v>
      </c>
    </row>
    <row r="253" spans="1:9" x14ac:dyDescent="0.3">
      <c r="A253" s="4" t="s">
        <v>18</v>
      </c>
      <c r="B253" s="5">
        <v>45566</v>
      </c>
      <c r="C253" s="4">
        <v>21</v>
      </c>
      <c r="D253" s="4">
        <v>14</v>
      </c>
      <c r="E253" s="4">
        <v>537.36</v>
      </c>
      <c r="F253" s="4">
        <v>7</v>
      </c>
      <c r="G253" s="6">
        <v>0.5</v>
      </c>
      <c r="H253" s="4">
        <v>3767.78</v>
      </c>
      <c r="I253" s="6">
        <v>3.44E-2</v>
      </c>
    </row>
    <row r="254" spans="1:9" x14ac:dyDescent="0.3">
      <c r="A254" s="4" t="s">
        <v>19</v>
      </c>
      <c r="B254" s="5">
        <v>45566</v>
      </c>
      <c r="C254" s="4">
        <v>104</v>
      </c>
      <c r="D254" s="4">
        <v>20</v>
      </c>
      <c r="E254" s="4">
        <v>181.9</v>
      </c>
      <c r="F254" s="4">
        <v>4</v>
      </c>
      <c r="G254" s="6">
        <v>0.2</v>
      </c>
      <c r="H254" s="4">
        <v>400.92</v>
      </c>
      <c r="I254" s="6">
        <v>0.10009999999999999</v>
      </c>
    </row>
    <row r="255" spans="1:9" x14ac:dyDescent="0.3">
      <c r="A255" s="4" t="s">
        <v>20</v>
      </c>
      <c r="B255" s="5">
        <v>45566</v>
      </c>
      <c r="C255" s="4">
        <v>64</v>
      </c>
      <c r="D255" s="4">
        <v>15</v>
      </c>
      <c r="E255" s="4">
        <v>514.38</v>
      </c>
      <c r="F255" s="4">
        <v>0</v>
      </c>
      <c r="G255" s="6">
        <v>0</v>
      </c>
      <c r="H255" s="4">
        <v>1220.5899999999999</v>
      </c>
      <c r="I255" s="6">
        <v>1E-3</v>
      </c>
    </row>
    <row r="256" spans="1:9" x14ac:dyDescent="0.3">
      <c r="A256" s="4" t="s">
        <v>21</v>
      </c>
      <c r="B256" s="5">
        <v>45566</v>
      </c>
      <c r="C256" s="4">
        <v>21</v>
      </c>
      <c r="D256" s="4">
        <v>15</v>
      </c>
      <c r="E256" s="4">
        <v>309.75</v>
      </c>
      <c r="F256" s="4">
        <v>2</v>
      </c>
      <c r="G256" s="6">
        <v>0.13333333333333333</v>
      </c>
      <c r="H256" s="4">
        <v>1649.09</v>
      </c>
      <c r="I256" s="6">
        <v>5.0999999999999997E-2</v>
      </c>
    </row>
    <row r="257" spans="1:9" x14ac:dyDescent="0.3">
      <c r="A257" s="4" t="s">
        <v>22</v>
      </c>
      <c r="B257" s="5">
        <v>45566</v>
      </c>
      <c r="C257" s="4">
        <v>108</v>
      </c>
      <c r="D257" s="4">
        <v>6</v>
      </c>
      <c r="E257" s="4">
        <v>515.27</v>
      </c>
      <c r="F257" s="4">
        <v>2</v>
      </c>
      <c r="G257" s="6">
        <v>0.33333333333333331</v>
      </c>
      <c r="H257" s="4">
        <v>3183.87</v>
      </c>
      <c r="I257" s="6">
        <v>3.04E-2</v>
      </c>
    </row>
    <row r="258" spans="1:9" x14ac:dyDescent="0.3">
      <c r="A258" s="4" t="s">
        <v>23</v>
      </c>
      <c r="B258" s="5">
        <v>45566</v>
      </c>
      <c r="C258" s="4">
        <v>63</v>
      </c>
      <c r="D258" s="4">
        <v>10</v>
      </c>
      <c r="E258" s="4">
        <v>194.21</v>
      </c>
      <c r="F258" s="4">
        <v>7</v>
      </c>
      <c r="G258" s="6">
        <v>0.7</v>
      </c>
      <c r="H258" s="4">
        <v>508.84</v>
      </c>
      <c r="I258" s="6">
        <v>9.3900000000000011E-2</v>
      </c>
    </row>
    <row r="259" spans="1:9" x14ac:dyDescent="0.3">
      <c r="A259" s="4" t="s">
        <v>24</v>
      </c>
      <c r="B259" s="5">
        <v>45566</v>
      </c>
      <c r="C259" s="4">
        <v>85</v>
      </c>
      <c r="D259" s="4">
        <v>15</v>
      </c>
      <c r="E259" s="4">
        <v>400.65</v>
      </c>
      <c r="F259" s="4">
        <v>0</v>
      </c>
      <c r="G259" s="6">
        <v>0</v>
      </c>
      <c r="H259" s="4">
        <v>2890.62</v>
      </c>
      <c r="I259" s="6">
        <v>2.4700000000000003E-2</v>
      </c>
    </row>
    <row r="260" spans="1:9" x14ac:dyDescent="0.3">
      <c r="A260" s="4" t="s">
        <v>25</v>
      </c>
      <c r="B260" s="5">
        <v>45566</v>
      </c>
      <c r="C260" s="4">
        <v>36</v>
      </c>
      <c r="D260" s="4">
        <v>10</v>
      </c>
      <c r="E260" s="4">
        <v>535.44000000000005</v>
      </c>
      <c r="F260" s="4">
        <v>4</v>
      </c>
      <c r="G260" s="6">
        <v>0.4</v>
      </c>
      <c r="H260" s="4">
        <v>241.26</v>
      </c>
      <c r="I260" s="6">
        <v>6.3E-2</v>
      </c>
    </row>
    <row r="261" spans="1:9" x14ac:dyDescent="0.3">
      <c r="A261" s="4" t="s">
        <v>26</v>
      </c>
      <c r="B261" s="5">
        <v>45566</v>
      </c>
      <c r="C261" s="4">
        <v>34</v>
      </c>
      <c r="D261" s="4">
        <v>12</v>
      </c>
      <c r="E261" s="4">
        <v>356.4</v>
      </c>
      <c r="F261" s="4">
        <v>8</v>
      </c>
      <c r="G261" s="6">
        <v>0.66666666666666663</v>
      </c>
      <c r="H261" s="4">
        <v>4111.76</v>
      </c>
      <c r="I261" s="6">
        <v>8.4700000000000011E-2</v>
      </c>
    </row>
    <row r="262" spans="1:9" x14ac:dyDescent="0.3">
      <c r="A262" s="4" t="s">
        <v>27</v>
      </c>
      <c r="B262" s="5">
        <v>45597</v>
      </c>
      <c r="C262" s="4">
        <v>67</v>
      </c>
      <c r="D262" s="4">
        <v>12</v>
      </c>
      <c r="E262" s="4">
        <v>352.6</v>
      </c>
      <c r="F262" s="4">
        <v>6</v>
      </c>
      <c r="G262" s="6">
        <v>0.5</v>
      </c>
      <c r="H262" s="4">
        <v>4402.41</v>
      </c>
      <c r="I262" s="6">
        <v>2.8999999999999998E-2</v>
      </c>
    </row>
    <row r="263" spans="1:9" x14ac:dyDescent="0.3">
      <c r="A263" s="4" t="s">
        <v>28</v>
      </c>
      <c r="B263" s="5">
        <v>45597</v>
      </c>
      <c r="C263" s="4">
        <v>76</v>
      </c>
      <c r="D263" s="4">
        <v>14</v>
      </c>
      <c r="E263" s="4">
        <v>351.42</v>
      </c>
      <c r="F263" s="4">
        <v>4</v>
      </c>
      <c r="G263" s="6">
        <v>0.2857142857142857</v>
      </c>
      <c r="H263" s="4">
        <v>3917.99</v>
      </c>
      <c r="I263" s="6">
        <v>4.2999999999999997E-2</v>
      </c>
    </row>
    <row r="264" spans="1:9" x14ac:dyDescent="0.3">
      <c r="A264" s="4" t="s">
        <v>29</v>
      </c>
      <c r="B264" s="5">
        <v>45597</v>
      </c>
      <c r="C264" s="4">
        <v>53</v>
      </c>
      <c r="D264" s="4">
        <v>17</v>
      </c>
      <c r="E264" s="4">
        <v>404.22</v>
      </c>
      <c r="F264" s="4">
        <v>2</v>
      </c>
      <c r="G264" s="6">
        <v>0.11764705882352941</v>
      </c>
      <c r="H264" s="4">
        <v>3669.4</v>
      </c>
      <c r="I264" s="6">
        <v>4.4500000000000005E-2</v>
      </c>
    </row>
    <row r="265" spans="1:9" x14ac:dyDescent="0.3">
      <c r="A265" s="4" t="s">
        <v>30</v>
      </c>
      <c r="B265" s="5">
        <v>45597</v>
      </c>
      <c r="C265" s="4">
        <v>22</v>
      </c>
      <c r="D265" s="4">
        <v>6</v>
      </c>
      <c r="E265" s="4">
        <v>80.02</v>
      </c>
      <c r="F265" s="4">
        <v>3</v>
      </c>
      <c r="G265" s="6">
        <v>0.5</v>
      </c>
      <c r="H265" s="4">
        <v>1476.69</v>
      </c>
      <c r="I265" s="6">
        <v>2.9300000000000003E-2</v>
      </c>
    </row>
    <row r="266" spans="1:9" x14ac:dyDescent="0.3">
      <c r="A266" s="4" t="s">
        <v>9</v>
      </c>
      <c r="B266" s="5">
        <v>45597</v>
      </c>
      <c r="C266" s="4">
        <v>77</v>
      </c>
      <c r="D266" s="4">
        <v>16</v>
      </c>
      <c r="E266" s="4">
        <v>502.41</v>
      </c>
      <c r="F266" s="4">
        <v>5</v>
      </c>
      <c r="G266" s="6">
        <v>0.3125</v>
      </c>
      <c r="H266" s="4">
        <v>1093.75</v>
      </c>
      <c r="I266" s="6">
        <v>3.8399999999999997E-2</v>
      </c>
    </row>
    <row r="267" spans="1:9" x14ac:dyDescent="0.3">
      <c r="A267" s="4" t="s">
        <v>10</v>
      </c>
      <c r="B267" s="5">
        <v>45597</v>
      </c>
      <c r="C267" s="4">
        <v>52</v>
      </c>
      <c r="D267" s="4">
        <v>6</v>
      </c>
      <c r="E267" s="4">
        <v>492.23</v>
      </c>
      <c r="F267" s="4">
        <v>2</v>
      </c>
      <c r="G267" s="6">
        <v>0.33333333333333331</v>
      </c>
      <c r="H267" s="4">
        <v>3775.84</v>
      </c>
      <c r="I267" s="6">
        <v>1.1000000000000001E-2</v>
      </c>
    </row>
    <row r="268" spans="1:9" x14ac:dyDescent="0.3">
      <c r="A268" s="4" t="s">
        <v>11</v>
      </c>
      <c r="B268" s="5">
        <v>45597</v>
      </c>
      <c r="C268" s="4">
        <v>74</v>
      </c>
      <c r="D268" s="4">
        <v>17</v>
      </c>
      <c r="E268" s="4">
        <v>284.91000000000003</v>
      </c>
      <c r="F268" s="4">
        <v>3</v>
      </c>
      <c r="G268" s="6">
        <v>0.17647058823529413</v>
      </c>
      <c r="H268" s="4">
        <v>2481.64</v>
      </c>
      <c r="I268" s="6">
        <v>9.0500000000000011E-2</v>
      </c>
    </row>
    <row r="269" spans="1:9" x14ac:dyDescent="0.3">
      <c r="A269" s="4" t="s">
        <v>12</v>
      </c>
      <c r="B269" s="5">
        <v>45597</v>
      </c>
      <c r="C269" s="4">
        <v>50</v>
      </c>
      <c r="D269" s="4">
        <v>9</v>
      </c>
      <c r="E269" s="4">
        <v>237.95</v>
      </c>
      <c r="F269" s="4">
        <v>5</v>
      </c>
      <c r="G269" s="6">
        <v>0.55555555555555558</v>
      </c>
      <c r="H269" s="4">
        <v>3982.36</v>
      </c>
      <c r="I269" s="6">
        <v>4.4299999999999999E-2</v>
      </c>
    </row>
    <row r="270" spans="1:9" x14ac:dyDescent="0.3">
      <c r="A270" s="4" t="s">
        <v>13</v>
      </c>
      <c r="B270" s="5">
        <v>45597</v>
      </c>
      <c r="C270" s="4">
        <v>30</v>
      </c>
      <c r="D270" s="4">
        <v>21</v>
      </c>
      <c r="E270" s="4">
        <v>372.34</v>
      </c>
      <c r="F270" s="4">
        <v>7</v>
      </c>
      <c r="G270" s="6">
        <v>0.33333333333333331</v>
      </c>
      <c r="H270" s="4">
        <v>1172.04</v>
      </c>
      <c r="I270" s="6">
        <v>5.4800000000000001E-2</v>
      </c>
    </row>
    <row r="271" spans="1:9" x14ac:dyDescent="0.3">
      <c r="A271" s="4" t="s">
        <v>14</v>
      </c>
      <c r="B271" s="5">
        <v>45597</v>
      </c>
      <c r="C271" s="4">
        <v>74</v>
      </c>
      <c r="D271" s="4">
        <v>13</v>
      </c>
      <c r="E271" s="4">
        <v>324.77999999999997</v>
      </c>
      <c r="F271" s="4">
        <v>7</v>
      </c>
      <c r="G271" s="6">
        <v>0.53846153846153844</v>
      </c>
      <c r="H271" s="4">
        <v>995.6</v>
      </c>
      <c r="I271" s="6">
        <v>3.0699999999999998E-2</v>
      </c>
    </row>
    <row r="272" spans="1:9" x14ac:dyDescent="0.3">
      <c r="A272" s="4" t="s">
        <v>15</v>
      </c>
      <c r="B272" s="5">
        <v>45597</v>
      </c>
      <c r="C272" s="4">
        <v>23</v>
      </c>
      <c r="D272" s="4">
        <v>7</v>
      </c>
      <c r="E272" s="4">
        <v>190.12</v>
      </c>
      <c r="F272" s="4">
        <v>4</v>
      </c>
      <c r="G272" s="6">
        <v>0.5714285714285714</v>
      </c>
      <c r="H272" s="4">
        <v>788.65</v>
      </c>
      <c r="I272" s="6">
        <v>7.2000000000000008E-2</v>
      </c>
    </row>
    <row r="273" spans="1:9" x14ac:dyDescent="0.3">
      <c r="A273" s="4" t="s">
        <v>16</v>
      </c>
      <c r="B273" s="5">
        <v>45597</v>
      </c>
      <c r="C273" s="4">
        <v>32</v>
      </c>
      <c r="D273" s="4">
        <v>7</v>
      </c>
      <c r="E273" s="4">
        <v>563.41999999999996</v>
      </c>
      <c r="F273" s="4">
        <v>6</v>
      </c>
      <c r="G273" s="6">
        <v>0.8571428571428571</v>
      </c>
      <c r="H273" s="4">
        <v>3543.71</v>
      </c>
      <c r="I273" s="6">
        <v>4.3799999999999999E-2</v>
      </c>
    </row>
    <row r="274" spans="1:9" x14ac:dyDescent="0.3">
      <c r="A274" s="4" t="s">
        <v>17</v>
      </c>
      <c r="B274" s="5">
        <v>45597</v>
      </c>
      <c r="C274" s="4">
        <v>59</v>
      </c>
      <c r="D274" s="4">
        <v>21</v>
      </c>
      <c r="E274" s="4">
        <v>633.37</v>
      </c>
      <c r="F274" s="4">
        <v>2</v>
      </c>
      <c r="G274" s="6">
        <v>9.5238095238095233E-2</v>
      </c>
      <c r="H274" s="4">
        <v>358.29</v>
      </c>
      <c r="I274" s="6">
        <v>3.27E-2</v>
      </c>
    </row>
    <row r="275" spans="1:9" x14ac:dyDescent="0.3">
      <c r="A275" s="4" t="s">
        <v>18</v>
      </c>
      <c r="B275" s="5">
        <v>45597</v>
      </c>
      <c r="C275" s="4">
        <v>30</v>
      </c>
      <c r="D275" s="4">
        <v>6</v>
      </c>
      <c r="E275" s="4">
        <v>209.84</v>
      </c>
      <c r="F275" s="4">
        <v>1</v>
      </c>
      <c r="G275" s="6">
        <v>0.16666666666666666</v>
      </c>
      <c r="H275" s="4">
        <v>3534.1</v>
      </c>
      <c r="I275" s="6">
        <v>4.2000000000000003E-2</v>
      </c>
    </row>
    <row r="276" spans="1:9" x14ac:dyDescent="0.3">
      <c r="A276" s="4" t="s">
        <v>19</v>
      </c>
      <c r="B276" s="5">
        <v>45597</v>
      </c>
      <c r="C276" s="4">
        <v>65</v>
      </c>
      <c r="D276" s="4">
        <v>9</v>
      </c>
      <c r="E276" s="4">
        <v>220.46</v>
      </c>
      <c r="F276" s="4">
        <v>3</v>
      </c>
      <c r="G276" s="6">
        <v>0.33333333333333331</v>
      </c>
      <c r="H276" s="4">
        <v>707.75</v>
      </c>
      <c r="I276" s="6">
        <v>2.76E-2</v>
      </c>
    </row>
    <row r="277" spans="1:9" x14ac:dyDescent="0.3">
      <c r="A277" s="4" t="s">
        <v>20</v>
      </c>
      <c r="B277" s="5">
        <v>45597</v>
      </c>
      <c r="C277" s="4">
        <v>100</v>
      </c>
      <c r="D277" s="4">
        <v>6</v>
      </c>
      <c r="E277" s="4">
        <v>153.34</v>
      </c>
      <c r="F277" s="4">
        <v>3</v>
      </c>
      <c r="G277" s="6">
        <v>0.5</v>
      </c>
      <c r="H277" s="4">
        <v>1248.54</v>
      </c>
      <c r="I277" s="6">
        <v>7.9000000000000001E-2</v>
      </c>
    </row>
    <row r="278" spans="1:9" x14ac:dyDescent="0.3">
      <c r="A278" s="4" t="s">
        <v>21</v>
      </c>
      <c r="B278" s="5">
        <v>45597</v>
      </c>
      <c r="C278" s="4">
        <v>81</v>
      </c>
      <c r="D278" s="4">
        <v>7</v>
      </c>
      <c r="E278" s="4">
        <v>79.62</v>
      </c>
      <c r="F278" s="4">
        <v>7</v>
      </c>
      <c r="G278" s="6">
        <v>1</v>
      </c>
      <c r="H278" s="4">
        <v>3892.76</v>
      </c>
      <c r="I278" s="6">
        <v>9.74E-2</v>
      </c>
    </row>
    <row r="279" spans="1:9" x14ac:dyDescent="0.3">
      <c r="A279" s="4" t="s">
        <v>22</v>
      </c>
      <c r="B279" s="5">
        <v>45597</v>
      </c>
      <c r="C279" s="4">
        <v>26</v>
      </c>
      <c r="D279" s="4">
        <v>17</v>
      </c>
      <c r="E279" s="4">
        <v>504.54</v>
      </c>
      <c r="F279" s="4">
        <v>8</v>
      </c>
      <c r="G279" s="6">
        <v>0.47058823529411764</v>
      </c>
      <c r="H279" s="4">
        <v>3359.77</v>
      </c>
      <c r="I279" s="6">
        <v>3.2000000000000001E-2</v>
      </c>
    </row>
    <row r="280" spans="1:9" x14ac:dyDescent="0.3">
      <c r="A280" s="4" t="s">
        <v>23</v>
      </c>
      <c r="B280" s="5">
        <v>45597</v>
      </c>
      <c r="C280" s="4">
        <v>96</v>
      </c>
      <c r="D280" s="4">
        <v>16</v>
      </c>
      <c r="E280" s="4">
        <v>161.69</v>
      </c>
      <c r="F280" s="4">
        <v>5</v>
      </c>
      <c r="G280" s="6">
        <v>0.3125</v>
      </c>
      <c r="H280" s="4">
        <v>392.05</v>
      </c>
      <c r="I280" s="6">
        <v>9.5700000000000007E-2</v>
      </c>
    </row>
    <row r="281" spans="1:9" x14ac:dyDescent="0.3">
      <c r="A281" s="4" t="s">
        <v>24</v>
      </c>
      <c r="B281" s="5">
        <v>45597</v>
      </c>
      <c r="C281" s="4">
        <v>72</v>
      </c>
      <c r="D281" s="4">
        <v>12</v>
      </c>
      <c r="E281" s="4">
        <v>474.28</v>
      </c>
      <c r="F281" s="4">
        <v>1</v>
      </c>
      <c r="G281" s="6">
        <v>8.3333333333333329E-2</v>
      </c>
      <c r="H281" s="4">
        <v>1097.5999999999999</v>
      </c>
      <c r="I281" s="6">
        <v>1E-3</v>
      </c>
    </row>
    <row r="282" spans="1:9" x14ac:dyDescent="0.3">
      <c r="A282" s="4" t="s">
        <v>25</v>
      </c>
      <c r="B282" s="5">
        <v>45597</v>
      </c>
      <c r="C282" s="4">
        <v>18</v>
      </c>
      <c r="D282" s="4">
        <v>15</v>
      </c>
      <c r="E282" s="4">
        <v>268.94</v>
      </c>
      <c r="F282" s="4">
        <v>1</v>
      </c>
      <c r="G282" s="6">
        <v>6.6666666666666666E-2</v>
      </c>
      <c r="H282" s="4">
        <v>1469.71</v>
      </c>
      <c r="I282" s="6">
        <v>5.0900000000000001E-2</v>
      </c>
    </row>
    <row r="283" spans="1:9" x14ac:dyDescent="0.3">
      <c r="A283" s="4" t="s">
        <v>26</v>
      </c>
      <c r="B283" s="5">
        <v>45597</v>
      </c>
      <c r="C283" s="4">
        <v>87</v>
      </c>
      <c r="D283" s="4">
        <v>5</v>
      </c>
      <c r="E283" s="4">
        <v>601.28</v>
      </c>
      <c r="F283" s="4">
        <v>2</v>
      </c>
      <c r="G283" s="6">
        <v>0.4</v>
      </c>
      <c r="H283" s="4">
        <v>3491.19</v>
      </c>
      <c r="I283" s="6">
        <v>2.9700000000000001E-2</v>
      </c>
    </row>
    <row r="284" spans="1:9" x14ac:dyDescent="0.3">
      <c r="A284" s="4" t="s">
        <v>27</v>
      </c>
      <c r="B284" s="5">
        <v>45597</v>
      </c>
      <c r="C284" s="4">
        <v>73</v>
      </c>
      <c r="D284" s="4">
        <v>8</v>
      </c>
      <c r="E284" s="4">
        <v>182.48</v>
      </c>
      <c r="F284" s="4">
        <v>8</v>
      </c>
      <c r="G284" s="6">
        <v>1</v>
      </c>
      <c r="H284" s="4">
        <v>548.46</v>
      </c>
      <c r="I284" s="6">
        <v>8.8200000000000001E-2</v>
      </c>
    </row>
    <row r="285" spans="1:9" x14ac:dyDescent="0.3">
      <c r="A285" s="4" t="s">
        <v>28</v>
      </c>
      <c r="B285" s="5">
        <v>45597</v>
      </c>
      <c r="C285" s="4">
        <v>97</v>
      </c>
      <c r="D285" s="4">
        <v>14</v>
      </c>
      <c r="E285" s="4">
        <v>368.16</v>
      </c>
      <c r="F285" s="4">
        <v>0</v>
      </c>
      <c r="G285" s="6">
        <v>0</v>
      </c>
      <c r="H285" s="4">
        <v>3020.19</v>
      </c>
      <c r="I285" s="6">
        <v>2.5099999999999997E-2</v>
      </c>
    </row>
    <row r="286" spans="1:9" x14ac:dyDescent="0.3">
      <c r="A286" s="4" t="s">
        <v>29</v>
      </c>
      <c r="B286" s="5">
        <v>45597</v>
      </c>
      <c r="C286" s="4">
        <v>28</v>
      </c>
      <c r="D286" s="4">
        <v>12</v>
      </c>
      <c r="E286" s="4">
        <v>565.51</v>
      </c>
      <c r="F286" s="4">
        <v>4</v>
      </c>
      <c r="G286" s="6">
        <v>0.33333333333333331</v>
      </c>
      <c r="H286" s="4">
        <v>231.16</v>
      </c>
      <c r="I286" s="6">
        <v>6.2699999999999992E-2</v>
      </c>
    </row>
    <row r="287" spans="1:9" x14ac:dyDescent="0.3">
      <c r="A287" s="4" t="s">
        <v>30</v>
      </c>
      <c r="B287" s="5">
        <v>45597</v>
      </c>
      <c r="C287" s="4">
        <v>41</v>
      </c>
      <c r="D287" s="4">
        <v>13</v>
      </c>
      <c r="E287" s="4">
        <v>370.44</v>
      </c>
      <c r="F287" s="4">
        <v>9</v>
      </c>
      <c r="G287" s="6">
        <v>0.69230769230769229</v>
      </c>
      <c r="H287" s="4">
        <v>4484.96</v>
      </c>
      <c r="I287" s="6">
        <v>8.5199999999999998E-2</v>
      </c>
    </row>
    <row r="288" spans="1:9" x14ac:dyDescent="0.3">
      <c r="A288" s="4" t="s">
        <v>9</v>
      </c>
      <c r="B288" s="5">
        <v>45627</v>
      </c>
      <c r="C288" s="4">
        <v>61</v>
      </c>
      <c r="D288" s="4">
        <v>13</v>
      </c>
      <c r="E288" s="4">
        <v>356.61</v>
      </c>
      <c r="F288" s="4">
        <v>7</v>
      </c>
      <c r="G288" s="6">
        <f t="shared" ref="G288:G313" si="0">F288/D288</f>
        <v>0.53846153846153844</v>
      </c>
      <c r="H288" s="4">
        <v>4099.6400000000003</v>
      </c>
      <c r="I288" s="6">
        <v>2.9600000000000001E-2</v>
      </c>
    </row>
    <row r="289" spans="1:9" x14ac:dyDescent="0.3">
      <c r="A289" s="4" t="s">
        <v>10</v>
      </c>
      <c r="B289" s="5">
        <v>45627</v>
      </c>
      <c r="C289" s="4">
        <v>80</v>
      </c>
      <c r="D289" s="4">
        <v>13</v>
      </c>
      <c r="E289" s="4">
        <v>369.46</v>
      </c>
      <c r="F289" s="4">
        <v>4</v>
      </c>
      <c r="G289" s="6">
        <f t="shared" si="0"/>
        <v>0.30769230769230771</v>
      </c>
      <c r="H289" s="4">
        <v>3996.04</v>
      </c>
      <c r="I289" s="6">
        <v>3.7499999999999999E-2</v>
      </c>
    </row>
    <row r="290" spans="1:9" x14ac:dyDescent="0.3">
      <c r="A290" s="4" t="s">
        <v>11</v>
      </c>
      <c r="B290" s="5">
        <v>45627</v>
      </c>
      <c r="C290" s="4">
        <v>51</v>
      </c>
      <c r="D290" s="4">
        <v>14</v>
      </c>
      <c r="E290" s="4">
        <v>419.93</v>
      </c>
      <c r="F290" s="4">
        <v>2</v>
      </c>
      <c r="G290" s="6">
        <f t="shared" si="0"/>
        <v>0.14285714285714285</v>
      </c>
      <c r="H290" s="4">
        <v>3543.6</v>
      </c>
      <c r="I290" s="6">
        <v>4.6300000000000001E-2</v>
      </c>
    </row>
    <row r="291" spans="1:9" x14ac:dyDescent="0.3">
      <c r="A291" s="4" t="s">
        <v>12</v>
      </c>
      <c r="B291" s="5">
        <v>45627</v>
      </c>
      <c r="C291" s="4">
        <v>20</v>
      </c>
      <c r="D291" s="4">
        <v>5</v>
      </c>
      <c r="E291" s="4">
        <v>71.41</v>
      </c>
      <c r="F291" s="4">
        <v>3</v>
      </c>
      <c r="G291" s="6">
        <f t="shared" si="0"/>
        <v>0.6</v>
      </c>
      <c r="H291" s="4">
        <v>1527.27</v>
      </c>
      <c r="I291" s="6">
        <v>2.7000000000000003E-2</v>
      </c>
    </row>
    <row r="292" spans="1:9" x14ac:dyDescent="0.3">
      <c r="A292" s="4" t="s">
        <v>13</v>
      </c>
      <c r="B292" s="5">
        <v>45627</v>
      </c>
      <c r="C292" s="4">
        <v>101</v>
      </c>
      <c r="D292" s="4">
        <v>14</v>
      </c>
      <c r="E292" s="4">
        <v>503.93</v>
      </c>
      <c r="F292" s="4">
        <v>5</v>
      </c>
      <c r="G292" s="6">
        <f t="shared" si="0"/>
        <v>0.35714285714285715</v>
      </c>
      <c r="H292" s="4">
        <v>1116.6099999999999</v>
      </c>
      <c r="I292" s="6">
        <v>3.7000000000000005E-2</v>
      </c>
    </row>
    <row r="293" spans="1:9" x14ac:dyDescent="0.3">
      <c r="A293" s="4" t="s">
        <v>14</v>
      </c>
      <c r="B293" s="5">
        <v>45627</v>
      </c>
      <c r="C293" s="4">
        <v>70</v>
      </c>
      <c r="D293" s="4">
        <v>6</v>
      </c>
      <c r="E293" s="4">
        <v>488.97</v>
      </c>
      <c r="F293" s="4">
        <v>3</v>
      </c>
      <c r="G293" s="6">
        <f t="shared" si="0"/>
        <v>0.5</v>
      </c>
      <c r="H293" s="4">
        <v>3767.09</v>
      </c>
      <c r="I293" s="6">
        <v>1.0800000000000001E-2</v>
      </c>
    </row>
    <row r="294" spans="1:9" x14ac:dyDescent="0.3">
      <c r="A294" s="4" t="s">
        <v>15</v>
      </c>
      <c r="B294" s="5">
        <v>45627</v>
      </c>
      <c r="C294" s="4">
        <v>84</v>
      </c>
      <c r="D294" s="4">
        <v>19</v>
      </c>
      <c r="E294" s="4">
        <v>301.2</v>
      </c>
      <c r="F294" s="4">
        <v>2</v>
      </c>
      <c r="G294" s="6">
        <f t="shared" si="0"/>
        <v>0.10526315789473684</v>
      </c>
      <c r="H294" s="4">
        <v>2608.4699999999998</v>
      </c>
      <c r="I294" s="6">
        <v>0.1032</v>
      </c>
    </row>
    <row r="295" spans="1:9" x14ac:dyDescent="0.3">
      <c r="A295" s="4" t="s">
        <v>16</v>
      </c>
      <c r="B295" s="5">
        <v>45627</v>
      </c>
      <c r="C295" s="4">
        <v>50</v>
      </c>
      <c r="D295" s="4">
        <v>6</v>
      </c>
      <c r="E295" s="4">
        <v>219.19</v>
      </c>
      <c r="F295" s="4">
        <v>4</v>
      </c>
      <c r="G295" s="6">
        <f t="shared" si="0"/>
        <v>0.66666666666666663</v>
      </c>
      <c r="H295" s="4">
        <v>3836.95</v>
      </c>
      <c r="I295" s="6">
        <v>3.8699999999999998E-2</v>
      </c>
    </row>
    <row r="296" spans="1:9" x14ac:dyDescent="0.3">
      <c r="A296" s="4" t="s">
        <v>17</v>
      </c>
      <c r="B296" s="5">
        <v>45627</v>
      </c>
      <c r="C296" s="4">
        <v>28</v>
      </c>
      <c r="D296" s="4">
        <v>19</v>
      </c>
      <c r="E296" s="4">
        <v>352.06</v>
      </c>
      <c r="F296" s="4">
        <v>9</v>
      </c>
      <c r="G296" s="6">
        <f t="shared" si="0"/>
        <v>0.47368421052631576</v>
      </c>
      <c r="H296" s="4">
        <v>1107.51</v>
      </c>
      <c r="I296" s="6">
        <v>5.5E-2</v>
      </c>
    </row>
    <row r="297" spans="1:9" x14ac:dyDescent="0.3">
      <c r="A297" s="4" t="s">
        <v>18</v>
      </c>
      <c r="B297" s="5">
        <v>45627</v>
      </c>
      <c r="C297" s="4">
        <v>69</v>
      </c>
      <c r="D297" s="4">
        <v>16</v>
      </c>
      <c r="E297" s="4">
        <v>337.7</v>
      </c>
      <c r="F297" s="4">
        <v>9</v>
      </c>
      <c r="G297" s="6">
        <f t="shared" si="0"/>
        <v>0.5625</v>
      </c>
      <c r="H297" s="4">
        <v>947.47</v>
      </c>
      <c r="I297" s="6">
        <v>3.56E-2</v>
      </c>
    </row>
    <row r="298" spans="1:9" x14ac:dyDescent="0.3">
      <c r="A298" s="4" t="s">
        <v>19</v>
      </c>
      <c r="B298" s="5">
        <v>45627</v>
      </c>
      <c r="C298" s="4">
        <v>18</v>
      </c>
      <c r="D298" s="4">
        <v>6</v>
      </c>
      <c r="E298" s="4">
        <v>212.39</v>
      </c>
      <c r="F298" s="4">
        <v>3</v>
      </c>
      <c r="G298" s="6">
        <f t="shared" si="0"/>
        <v>0.5</v>
      </c>
      <c r="H298" s="4">
        <v>730.81</v>
      </c>
      <c r="I298" s="6">
        <v>8.6699999999999999E-2</v>
      </c>
    </row>
    <row r="299" spans="1:9" x14ac:dyDescent="0.3">
      <c r="A299" s="4" t="s">
        <v>20</v>
      </c>
      <c r="B299" s="5">
        <v>45627</v>
      </c>
      <c r="C299" s="4">
        <v>40</v>
      </c>
      <c r="D299" s="4">
        <v>7</v>
      </c>
      <c r="E299" s="4">
        <v>486.93</v>
      </c>
      <c r="F299" s="4">
        <v>7</v>
      </c>
      <c r="G299" s="6">
        <f t="shared" si="0"/>
        <v>1</v>
      </c>
      <c r="H299" s="4">
        <v>3643.63</v>
      </c>
      <c r="I299" s="6">
        <v>4.0199999999999993E-2</v>
      </c>
    </row>
    <row r="300" spans="1:9" x14ac:dyDescent="0.3">
      <c r="A300" s="4" t="s">
        <v>21</v>
      </c>
      <c r="B300" s="5">
        <v>45627</v>
      </c>
      <c r="C300" s="4">
        <v>77</v>
      </c>
      <c r="D300" s="4">
        <v>16</v>
      </c>
      <c r="E300" s="4">
        <v>539.26</v>
      </c>
      <c r="F300" s="4">
        <v>3</v>
      </c>
      <c r="G300" s="6">
        <f t="shared" si="0"/>
        <v>0.1875</v>
      </c>
      <c r="H300" s="4">
        <v>379.83</v>
      </c>
      <c r="I300" s="6">
        <v>3.7999999999999999E-2</v>
      </c>
    </row>
    <row r="301" spans="1:9" x14ac:dyDescent="0.3">
      <c r="A301" s="4" t="s">
        <v>22</v>
      </c>
      <c r="B301" s="5">
        <v>45627</v>
      </c>
      <c r="C301" s="4">
        <v>31</v>
      </c>
      <c r="D301" s="4">
        <v>6</v>
      </c>
      <c r="E301" s="4">
        <v>191.66</v>
      </c>
      <c r="F301" s="4">
        <v>2</v>
      </c>
      <c r="G301" s="6">
        <f t="shared" si="0"/>
        <v>0.33333333333333331</v>
      </c>
      <c r="H301" s="4">
        <v>3753.06</v>
      </c>
      <c r="I301" s="6">
        <v>3.8300000000000001E-2</v>
      </c>
    </row>
    <row r="302" spans="1:9" x14ac:dyDescent="0.3">
      <c r="A302" s="4" t="s">
        <v>23</v>
      </c>
      <c r="B302" s="5">
        <v>45627</v>
      </c>
      <c r="C302" s="4">
        <v>57</v>
      </c>
      <c r="D302" s="4">
        <v>7</v>
      </c>
      <c r="E302" s="4">
        <v>190.08</v>
      </c>
      <c r="F302" s="4">
        <v>2</v>
      </c>
      <c r="G302" s="6">
        <f t="shared" si="0"/>
        <v>0.2857142857142857</v>
      </c>
      <c r="H302" s="4">
        <v>649.97</v>
      </c>
      <c r="I302" s="6">
        <v>2.8799999999999999E-2</v>
      </c>
    </row>
    <row r="303" spans="1:9" x14ac:dyDescent="0.3">
      <c r="A303" s="4" t="s">
        <v>24</v>
      </c>
      <c r="B303" s="5">
        <v>45627</v>
      </c>
      <c r="C303" s="4">
        <v>88</v>
      </c>
      <c r="D303" s="4">
        <v>5</v>
      </c>
      <c r="E303" s="4">
        <v>168.89</v>
      </c>
      <c r="F303" s="4">
        <v>3</v>
      </c>
      <c r="G303" s="6">
        <f t="shared" si="0"/>
        <v>0.6</v>
      </c>
      <c r="H303" s="4">
        <v>1153.93</v>
      </c>
      <c r="I303" s="6">
        <v>8.2500000000000004E-2</v>
      </c>
    </row>
    <row r="304" spans="1:9" x14ac:dyDescent="0.3">
      <c r="A304" s="4" t="s">
        <v>25</v>
      </c>
      <c r="B304" s="5">
        <v>45627</v>
      </c>
      <c r="C304" s="4">
        <v>74</v>
      </c>
      <c r="D304" s="4">
        <v>6</v>
      </c>
      <c r="E304" s="4">
        <v>87.83</v>
      </c>
      <c r="F304" s="4">
        <v>6</v>
      </c>
      <c r="G304" s="6">
        <f t="shared" si="0"/>
        <v>1</v>
      </c>
      <c r="H304" s="4">
        <v>3741.27</v>
      </c>
      <c r="I304" s="6">
        <v>9.9700000000000011E-2</v>
      </c>
    </row>
    <row r="305" spans="1:9" x14ac:dyDescent="0.3">
      <c r="A305" s="4" t="s">
        <v>26</v>
      </c>
      <c r="B305" s="5">
        <v>45627</v>
      </c>
      <c r="C305" s="4">
        <v>26</v>
      </c>
      <c r="D305" s="4">
        <v>13</v>
      </c>
      <c r="E305" s="4">
        <v>543.15</v>
      </c>
      <c r="F305" s="4">
        <v>6</v>
      </c>
      <c r="G305" s="6">
        <f t="shared" si="0"/>
        <v>0.46153846153846156</v>
      </c>
      <c r="H305" s="4">
        <v>3793.56</v>
      </c>
      <c r="I305" s="6">
        <v>3.56E-2</v>
      </c>
    </row>
    <row r="306" spans="1:9" x14ac:dyDescent="0.3">
      <c r="A306" s="4" t="s">
        <v>27</v>
      </c>
      <c r="B306" s="5">
        <v>45627</v>
      </c>
      <c r="C306" s="4">
        <v>99</v>
      </c>
      <c r="D306" s="4">
        <v>15</v>
      </c>
      <c r="E306" s="4">
        <v>181.12</v>
      </c>
      <c r="F306" s="4">
        <v>5</v>
      </c>
      <c r="G306" s="6">
        <f t="shared" si="0"/>
        <v>0.33333333333333331</v>
      </c>
      <c r="H306" s="4">
        <v>454.09</v>
      </c>
      <c r="I306" s="6">
        <v>9.3599999999999989E-2</v>
      </c>
    </row>
    <row r="307" spans="1:9" x14ac:dyDescent="0.3">
      <c r="A307" s="4" t="s">
        <v>28</v>
      </c>
      <c r="B307" s="5">
        <v>45627</v>
      </c>
      <c r="C307" s="4">
        <v>74</v>
      </c>
      <c r="D307" s="4">
        <v>14</v>
      </c>
      <c r="E307" s="4">
        <v>508.85</v>
      </c>
      <c r="F307" s="4">
        <v>1</v>
      </c>
      <c r="G307" s="6">
        <f t="shared" si="0"/>
        <v>7.1428571428571425E-2</v>
      </c>
      <c r="H307" s="4">
        <v>1182.6300000000001</v>
      </c>
      <c r="I307" s="6">
        <v>8.9999999999999998E-4</v>
      </c>
    </row>
    <row r="308" spans="1:9" x14ac:dyDescent="0.3">
      <c r="A308" s="4" t="s">
        <v>24</v>
      </c>
      <c r="B308" s="5">
        <v>45627</v>
      </c>
      <c r="C308" s="4">
        <v>21</v>
      </c>
      <c r="D308" s="4">
        <v>17</v>
      </c>
      <c r="E308" s="4">
        <v>297.83999999999997</v>
      </c>
      <c r="F308" s="4">
        <v>1</v>
      </c>
      <c r="G308" s="6">
        <f t="shared" si="0"/>
        <v>5.8823529411764705E-2</v>
      </c>
      <c r="H308" s="4">
        <v>1553.7</v>
      </c>
      <c r="I308" s="6">
        <v>5.0700000000000002E-2</v>
      </c>
    </row>
    <row r="309" spans="1:9" x14ac:dyDescent="0.3">
      <c r="A309" s="4" t="s">
        <v>25</v>
      </c>
      <c r="B309" s="5">
        <v>45627</v>
      </c>
      <c r="C309" s="4">
        <v>94</v>
      </c>
      <c r="D309" s="4">
        <v>6</v>
      </c>
      <c r="E309" s="4">
        <v>537.26</v>
      </c>
      <c r="F309" s="4">
        <v>1</v>
      </c>
      <c r="G309" s="6">
        <f t="shared" si="0"/>
        <v>0.16666666666666666</v>
      </c>
      <c r="H309" s="4">
        <v>3665.55</v>
      </c>
      <c r="I309" s="6">
        <v>3.0800000000000001E-2</v>
      </c>
    </row>
    <row r="310" spans="1:9" x14ac:dyDescent="0.3">
      <c r="A310" s="4" t="s">
        <v>26</v>
      </c>
      <c r="B310" s="5">
        <v>45627</v>
      </c>
      <c r="C310" s="4">
        <v>83</v>
      </c>
      <c r="D310" s="4">
        <v>9</v>
      </c>
      <c r="E310" s="4">
        <v>188.49</v>
      </c>
      <c r="F310" s="4">
        <v>7</v>
      </c>
      <c r="G310" s="6">
        <f t="shared" si="0"/>
        <v>0.77777777777777779</v>
      </c>
      <c r="H310" s="4">
        <v>545.09</v>
      </c>
      <c r="I310" s="6">
        <v>8.5600000000000009E-2</v>
      </c>
    </row>
    <row r="311" spans="1:9" x14ac:dyDescent="0.3">
      <c r="A311" s="4" t="s">
        <v>27</v>
      </c>
      <c r="B311" s="5">
        <v>45627</v>
      </c>
      <c r="C311" s="4">
        <v>84</v>
      </c>
      <c r="D311" s="4">
        <v>14</v>
      </c>
      <c r="E311" s="4">
        <v>370.36</v>
      </c>
      <c r="F311" s="4">
        <v>0</v>
      </c>
      <c r="G311" s="6">
        <f t="shared" si="0"/>
        <v>0</v>
      </c>
      <c r="H311" s="4">
        <v>2605.02</v>
      </c>
      <c r="I311" s="6">
        <v>2.5499999999999998E-2</v>
      </c>
    </row>
    <row r="312" spans="1:9" x14ac:dyDescent="0.3">
      <c r="A312" s="4" t="s">
        <v>28</v>
      </c>
      <c r="B312" s="5">
        <v>45627</v>
      </c>
      <c r="C312" s="4">
        <v>32</v>
      </c>
      <c r="D312" s="4">
        <v>10</v>
      </c>
      <c r="E312" s="4">
        <v>500.83</v>
      </c>
      <c r="F312" s="4">
        <v>4</v>
      </c>
      <c r="G312" s="6">
        <f t="shared" si="0"/>
        <v>0.4</v>
      </c>
      <c r="H312" s="4">
        <v>239.13</v>
      </c>
      <c r="I312" s="6">
        <v>6.1900000000000004E-2</v>
      </c>
    </row>
    <row r="313" spans="1:9" x14ac:dyDescent="0.3">
      <c r="A313" s="4" t="s">
        <v>27</v>
      </c>
      <c r="B313" s="5">
        <v>45627</v>
      </c>
      <c r="C313" s="4">
        <v>39</v>
      </c>
      <c r="D313" s="4">
        <v>15</v>
      </c>
      <c r="E313" s="4">
        <v>319.08999999999997</v>
      </c>
      <c r="F313" s="4">
        <v>7</v>
      </c>
      <c r="G313" s="6">
        <f t="shared" si="0"/>
        <v>0.46666666666666667</v>
      </c>
      <c r="H313" s="4">
        <v>4573.5</v>
      </c>
      <c r="I313" s="6">
        <v>8.0399999999999985E-2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8D299-7194-417A-B31B-65C11615A827}">
  <dimension ref="A1:AG33"/>
  <sheetViews>
    <sheetView showGridLines="0" tabSelected="1" zoomScale="80" zoomScaleNormal="80" workbookViewId="0">
      <selection activeCell="L36" sqref="L36"/>
    </sheetView>
  </sheetViews>
  <sheetFormatPr defaultRowHeight="14.4" x14ac:dyDescent="0.3"/>
  <cols>
    <col min="1" max="3" width="8.88671875" style="7"/>
    <col min="4" max="4" width="11.109375" style="7" bestFit="1" customWidth="1"/>
    <col min="5" max="5" width="16.88671875" style="7" bestFit="1" customWidth="1"/>
    <col min="6" max="6" width="20.33203125" style="7" bestFit="1" customWidth="1"/>
    <col min="7" max="7" width="11.88671875" style="7" customWidth="1"/>
    <col min="8" max="8" width="14.21875" style="7" customWidth="1"/>
    <col min="9" max="11" width="8.88671875" style="7"/>
    <col min="12" max="12" width="18.77734375" style="7" customWidth="1"/>
    <col min="13" max="18" width="8.88671875" style="7"/>
    <col min="19" max="19" width="19.88671875" style="7" bestFit="1" customWidth="1"/>
    <col min="20" max="16384" width="8.88671875" style="7"/>
  </cols>
  <sheetData>
    <row r="1" spans="1:33" x14ac:dyDescent="0.3">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row>
    <row r="2" spans="1:33" x14ac:dyDescent="0.3">
      <c r="A2" s="8"/>
      <c r="B2" s="14" t="s">
        <v>31</v>
      </c>
      <c r="C2" s="14"/>
      <c r="D2" s="14"/>
      <c r="E2" s="14"/>
      <c r="F2" s="14"/>
      <c r="G2" s="8"/>
      <c r="H2" s="8"/>
      <c r="I2" s="8"/>
      <c r="J2" s="8"/>
      <c r="K2" s="8"/>
      <c r="L2" s="8"/>
      <c r="M2" s="8"/>
      <c r="N2" s="8"/>
      <c r="O2" s="8"/>
      <c r="P2" s="8"/>
      <c r="Q2" s="8"/>
      <c r="R2" s="8"/>
      <c r="S2" s="8"/>
      <c r="T2" s="8"/>
      <c r="U2" s="8"/>
      <c r="V2" s="8"/>
      <c r="W2" s="8"/>
      <c r="X2" s="8"/>
      <c r="Y2" s="8"/>
      <c r="Z2" s="8"/>
      <c r="AA2" s="8"/>
      <c r="AB2" s="8"/>
      <c r="AC2" s="8"/>
      <c r="AD2" s="8"/>
      <c r="AE2" s="8"/>
      <c r="AF2" s="8"/>
      <c r="AG2" s="8"/>
    </row>
    <row r="3" spans="1:33" x14ac:dyDescent="0.3">
      <c r="A3" s="8"/>
      <c r="B3" s="14"/>
      <c r="C3" s="14"/>
      <c r="D3" s="14"/>
      <c r="E3" s="14"/>
      <c r="F3" s="14"/>
      <c r="G3" s="8"/>
      <c r="H3" s="8"/>
      <c r="I3" s="8"/>
      <c r="J3" s="8"/>
      <c r="K3" s="8"/>
      <c r="L3" s="8"/>
      <c r="M3" s="8"/>
      <c r="N3" s="8"/>
      <c r="O3" s="8"/>
      <c r="P3" s="8"/>
      <c r="Q3" s="8"/>
      <c r="R3" s="8"/>
      <c r="S3" s="8"/>
      <c r="T3" s="8"/>
      <c r="U3" s="8"/>
      <c r="V3" s="8"/>
      <c r="W3" s="8"/>
      <c r="X3" s="8"/>
      <c r="Y3" s="8"/>
      <c r="Z3" s="8"/>
      <c r="AA3" s="8"/>
      <c r="AB3" s="8"/>
      <c r="AC3" s="8"/>
      <c r="AD3" s="8"/>
      <c r="AE3" s="8"/>
      <c r="AF3" s="8"/>
      <c r="AG3" s="8"/>
    </row>
    <row r="4" spans="1:33" x14ac:dyDescent="0.3">
      <c r="A4" s="8"/>
      <c r="B4" s="16"/>
      <c r="C4" s="17" t="s">
        <v>32</v>
      </c>
      <c r="D4" s="15"/>
      <c r="E4" s="15"/>
      <c r="F4" s="8"/>
      <c r="G4" s="8"/>
      <c r="H4" s="8"/>
      <c r="I4" s="8"/>
      <c r="J4" s="8"/>
      <c r="K4" s="8"/>
      <c r="L4" s="8"/>
      <c r="M4" s="8"/>
      <c r="N4" s="8"/>
      <c r="O4" s="8"/>
      <c r="P4" s="8"/>
      <c r="Q4" s="8"/>
      <c r="R4" s="8"/>
      <c r="S4" s="8"/>
      <c r="T4" s="8"/>
      <c r="U4" s="8"/>
      <c r="V4" s="8"/>
      <c r="W4" s="8"/>
      <c r="X4" s="8"/>
      <c r="Y4" s="8"/>
      <c r="Z4" s="8"/>
      <c r="AA4" s="8"/>
      <c r="AB4" s="8"/>
      <c r="AC4" s="8"/>
      <c r="AD4" s="8"/>
      <c r="AE4" s="8"/>
      <c r="AF4" s="8"/>
      <c r="AG4" s="8"/>
    </row>
    <row r="5" spans="1:33"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row>
    <row r="6" spans="1:33"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row>
    <row r="7" spans="1:33"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row>
    <row r="8" spans="1:33" x14ac:dyDescent="0.3">
      <c r="D8" s="19" t="s">
        <v>58</v>
      </c>
      <c r="E8" s="19"/>
      <c r="F8" s="19"/>
      <c r="G8" s="19"/>
      <c r="H8" s="19"/>
    </row>
    <row r="9" spans="1:33" x14ac:dyDescent="0.3">
      <c r="D9" s="19"/>
      <c r="E9" s="19"/>
      <c r="F9" s="19"/>
      <c r="G9" s="19"/>
      <c r="H9" s="19"/>
    </row>
    <row r="10" spans="1:33" x14ac:dyDescent="0.3">
      <c r="D10" s="10" t="s">
        <v>0</v>
      </c>
      <c r="E10" t="s">
        <v>40</v>
      </c>
      <c r="F10" t="s">
        <v>41</v>
      </c>
      <c r="G10" t="s">
        <v>42</v>
      </c>
      <c r="H10" t="s">
        <v>43</v>
      </c>
    </row>
    <row r="11" spans="1:33" x14ac:dyDescent="0.3">
      <c r="D11" t="s">
        <v>26</v>
      </c>
      <c r="E11" s="9">
        <v>857</v>
      </c>
      <c r="F11" s="9">
        <v>150</v>
      </c>
      <c r="G11" s="9">
        <v>64</v>
      </c>
      <c r="H11" s="13">
        <v>42534.310000000005</v>
      </c>
    </row>
    <row r="12" spans="1:33" x14ac:dyDescent="0.3">
      <c r="D12" t="s">
        <v>22</v>
      </c>
      <c r="E12" s="9">
        <v>814</v>
      </c>
      <c r="F12" s="9">
        <v>150</v>
      </c>
      <c r="G12" s="9">
        <v>53</v>
      </c>
      <c r="H12" s="13">
        <v>42495.85</v>
      </c>
    </row>
    <row r="13" spans="1:33" x14ac:dyDescent="0.3">
      <c r="D13" t="s">
        <v>20</v>
      </c>
      <c r="E13" s="9">
        <v>812</v>
      </c>
      <c r="F13" s="9">
        <v>135</v>
      </c>
      <c r="G13" s="9">
        <v>57</v>
      </c>
      <c r="H13" s="13">
        <v>42409.3</v>
      </c>
    </row>
    <row r="14" spans="1:33" x14ac:dyDescent="0.3">
      <c r="D14" t="s">
        <v>24</v>
      </c>
      <c r="E14" s="9">
        <v>877</v>
      </c>
      <c r="F14" s="9">
        <v>148</v>
      </c>
      <c r="G14" s="9">
        <v>54</v>
      </c>
      <c r="H14" s="13">
        <v>42110.140000000007</v>
      </c>
    </row>
    <row r="15" spans="1:33" x14ac:dyDescent="0.3">
      <c r="D15" t="s">
        <v>14</v>
      </c>
      <c r="E15" s="9">
        <v>840</v>
      </c>
      <c r="F15" s="9">
        <v>135</v>
      </c>
      <c r="G15" s="9">
        <v>58</v>
      </c>
      <c r="H15" s="13">
        <v>41670.399999999994</v>
      </c>
    </row>
    <row r="16" spans="1:33" x14ac:dyDescent="0.3">
      <c r="D16" t="s">
        <v>10</v>
      </c>
      <c r="E16" s="9">
        <v>804</v>
      </c>
      <c r="F16" s="9">
        <v>143</v>
      </c>
      <c r="G16" s="9">
        <v>59</v>
      </c>
      <c r="H16" s="13">
        <v>41491.620000000003</v>
      </c>
    </row>
    <row r="17" spans="4:8" x14ac:dyDescent="0.3">
      <c r="D17" t="s">
        <v>16</v>
      </c>
      <c r="E17" s="9">
        <v>843</v>
      </c>
      <c r="F17" s="9">
        <v>141</v>
      </c>
      <c r="G17" s="9">
        <v>52</v>
      </c>
      <c r="H17" s="13">
        <v>40695.129999999997</v>
      </c>
    </row>
    <row r="18" spans="4:8" x14ac:dyDescent="0.3">
      <c r="D18" t="s">
        <v>28</v>
      </c>
      <c r="E18" s="9">
        <v>857</v>
      </c>
      <c r="F18" s="9">
        <v>156</v>
      </c>
      <c r="G18" s="9">
        <v>56</v>
      </c>
      <c r="H18" s="13">
        <v>40316.069999999992</v>
      </c>
    </row>
    <row r="19" spans="4:8" x14ac:dyDescent="0.3">
      <c r="D19" t="s">
        <v>12</v>
      </c>
      <c r="E19" s="9">
        <v>747</v>
      </c>
      <c r="F19" s="9">
        <v>138</v>
      </c>
      <c r="G19" s="9">
        <v>50</v>
      </c>
      <c r="H19" s="13">
        <v>39529.800000000003</v>
      </c>
    </row>
    <row r="20" spans="4:8" x14ac:dyDescent="0.3">
      <c r="D20" t="s">
        <v>30</v>
      </c>
      <c r="E20" s="9">
        <v>778</v>
      </c>
      <c r="F20" s="9">
        <v>120</v>
      </c>
      <c r="G20" s="9">
        <v>54</v>
      </c>
      <c r="H20" s="13">
        <v>39042.780000000006</v>
      </c>
    </row>
    <row r="21" spans="4:8" x14ac:dyDescent="0.3">
      <c r="D21" t="s">
        <v>18</v>
      </c>
      <c r="E21" s="9">
        <v>856</v>
      </c>
      <c r="F21" s="9">
        <v>143</v>
      </c>
      <c r="G21" s="9">
        <v>58</v>
      </c>
      <c r="H21" s="13">
        <v>38503.360000000001</v>
      </c>
    </row>
    <row r="22" spans="4:8" x14ac:dyDescent="0.3">
      <c r="D22" t="s">
        <v>27</v>
      </c>
      <c r="E22" s="9">
        <v>969</v>
      </c>
      <c r="F22" s="9">
        <v>222</v>
      </c>
      <c r="G22" s="9">
        <v>71</v>
      </c>
      <c r="H22" s="13">
        <v>28011.190000000002</v>
      </c>
    </row>
    <row r="23" spans="4:8" x14ac:dyDescent="0.3">
      <c r="D23" t="s">
        <v>25</v>
      </c>
      <c r="E23" s="9">
        <v>935</v>
      </c>
      <c r="F23" s="9">
        <v>190</v>
      </c>
      <c r="G23" s="9">
        <v>66</v>
      </c>
      <c r="H23" s="13">
        <v>27026.089999999997</v>
      </c>
    </row>
    <row r="24" spans="4:8" x14ac:dyDescent="0.3">
      <c r="D24" t="s">
        <v>11</v>
      </c>
      <c r="E24" s="9">
        <v>837</v>
      </c>
      <c r="F24" s="9">
        <v>187</v>
      </c>
      <c r="G24" s="9">
        <v>59</v>
      </c>
      <c r="H24" s="13">
        <v>24989.760000000002</v>
      </c>
    </row>
    <row r="25" spans="4:8" x14ac:dyDescent="0.3">
      <c r="D25" t="s">
        <v>9</v>
      </c>
      <c r="E25" s="9">
        <v>794</v>
      </c>
      <c r="F25" s="9">
        <v>181</v>
      </c>
      <c r="G25" s="9">
        <v>64</v>
      </c>
      <c r="H25" s="13">
        <v>24740.31</v>
      </c>
    </row>
    <row r="26" spans="4:8" x14ac:dyDescent="0.3">
      <c r="D26" t="s">
        <v>15</v>
      </c>
      <c r="E26" s="9">
        <v>831</v>
      </c>
      <c r="F26" s="9">
        <v>186</v>
      </c>
      <c r="G26" s="9">
        <v>58</v>
      </c>
      <c r="H26" s="13">
        <v>23405.740000000005</v>
      </c>
    </row>
    <row r="27" spans="4:8" x14ac:dyDescent="0.3">
      <c r="D27" t="s">
        <v>23</v>
      </c>
      <c r="E27" s="9">
        <v>813</v>
      </c>
      <c r="F27" s="9">
        <v>176</v>
      </c>
      <c r="G27" s="9">
        <v>58</v>
      </c>
      <c r="H27" s="13">
        <v>21682.489999999998</v>
      </c>
    </row>
    <row r="28" spans="4:8" x14ac:dyDescent="0.3">
      <c r="D28" t="s">
        <v>13</v>
      </c>
      <c r="E28" s="9">
        <v>876</v>
      </c>
      <c r="F28" s="9">
        <v>178</v>
      </c>
      <c r="G28" s="9">
        <v>61</v>
      </c>
      <c r="H28" s="13">
        <v>21536.13</v>
      </c>
    </row>
    <row r="29" spans="4:8" x14ac:dyDescent="0.3">
      <c r="D29" t="s">
        <v>19</v>
      </c>
      <c r="E29" s="9">
        <v>797</v>
      </c>
      <c r="F29" s="9">
        <v>181</v>
      </c>
      <c r="G29" s="9">
        <v>66</v>
      </c>
      <c r="H29" s="13">
        <v>21315.94</v>
      </c>
    </row>
    <row r="30" spans="4:8" x14ac:dyDescent="0.3">
      <c r="D30" t="s">
        <v>21</v>
      </c>
      <c r="E30" s="9">
        <v>838</v>
      </c>
      <c r="F30" s="9">
        <v>194</v>
      </c>
      <c r="G30" s="9">
        <v>60</v>
      </c>
      <c r="H30" s="13">
        <v>21157.25</v>
      </c>
    </row>
    <row r="31" spans="4:8" x14ac:dyDescent="0.3">
      <c r="D31" t="s">
        <v>17</v>
      </c>
      <c r="E31" s="9">
        <v>788</v>
      </c>
      <c r="F31" s="9">
        <v>191</v>
      </c>
      <c r="G31" s="9">
        <v>67</v>
      </c>
      <c r="H31" s="13">
        <v>21148.3</v>
      </c>
    </row>
    <row r="32" spans="4:8" x14ac:dyDescent="0.3">
      <c r="D32" t="s">
        <v>29</v>
      </c>
      <c r="E32" s="9">
        <v>737</v>
      </c>
      <c r="F32" s="9">
        <v>174</v>
      </c>
      <c r="G32" s="9">
        <v>64</v>
      </c>
      <c r="H32" s="13">
        <v>20382.93</v>
      </c>
    </row>
    <row r="33" spans="4:8" x14ac:dyDescent="0.3">
      <c r="D33" t="s">
        <v>37</v>
      </c>
      <c r="E33" s="9">
        <v>18300</v>
      </c>
      <c r="F33" s="9">
        <v>3619</v>
      </c>
      <c r="G33" s="9">
        <v>1309</v>
      </c>
      <c r="H33" s="13">
        <v>706194.89</v>
      </c>
    </row>
  </sheetData>
  <mergeCells count="2">
    <mergeCell ref="B2:F3"/>
    <mergeCell ref="D8:H9"/>
  </mergeCells>
  <conditionalFormatting sqref="D10:G10 D28:D32">
    <cfRule type="dataBar" priority="10">
      <dataBar>
        <cfvo type="min"/>
        <cfvo type="max"/>
        <color theme="6" tint="0.79998168889431442"/>
      </dataBar>
      <extLst>
        <ext xmlns:x14="http://schemas.microsoft.com/office/spreadsheetml/2009/9/main" uri="{B025F937-C7B1-47D3-B67F-A62EFF666E3E}">
          <x14:id>{BBFCA61F-ECBE-4318-860F-3F04492DED76}</x14:id>
        </ext>
      </extLst>
    </cfRule>
  </conditionalFormatting>
  <conditionalFormatting sqref="D10:H10 D11:D32">
    <cfRule type="dataBar" priority="9">
      <dataBar>
        <cfvo type="min"/>
        <cfvo type="max"/>
        <color rgb="FF638EC6"/>
      </dataBar>
      <extLst>
        <ext xmlns:x14="http://schemas.microsoft.com/office/spreadsheetml/2009/9/main" uri="{B025F937-C7B1-47D3-B67F-A62EFF666E3E}">
          <x14:id>{BD7E49CC-7473-40CF-9E8D-AC32E5B91386}</x14:id>
        </ext>
      </extLst>
    </cfRule>
  </conditionalFormatting>
  <conditionalFormatting pivot="1" sqref="G11:G32">
    <cfRule type="dataBar" priority="8">
      <dataBar>
        <cfvo type="min"/>
        <cfvo type="max"/>
        <color rgb="FF638EC6"/>
      </dataBar>
      <extLst>
        <ext xmlns:x14="http://schemas.microsoft.com/office/spreadsheetml/2009/9/main" uri="{B025F937-C7B1-47D3-B67F-A62EFF666E3E}">
          <x14:id>{097D9DF9-C486-40E7-ABD5-5178CCA2CE2A}</x14:id>
        </ext>
      </extLst>
    </cfRule>
  </conditionalFormatting>
  <conditionalFormatting pivot="1" sqref="H11:H31">
    <cfRule type="dataBar" priority="7">
      <dataBar>
        <cfvo type="min"/>
        <cfvo type="max"/>
        <color rgb="FF63C384"/>
      </dataBar>
      <extLst>
        <ext xmlns:x14="http://schemas.microsoft.com/office/spreadsheetml/2009/9/main" uri="{B025F937-C7B1-47D3-B67F-A62EFF666E3E}">
          <x14:id>{BB47F6EC-F7F6-4607-990F-20D348330BFE}</x14:id>
        </ext>
      </extLst>
    </cfRule>
  </conditionalFormatting>
  <conditionalFormatting pivot="1" sqref="F11:F32">
    <cfRule type="dataBar" priority="6">
      <dataBar>
        <cfvo type="min"/>
        <cfvo type="max"/>
        <color rgb="FFFFB628"/>
      </dataBar>
      <extLst>
        <ext xmlns:x14="http://schemas.microsoft.com/office/spreadsheetml/2009/9/main" uri="{B025F937-C7B1-47D3-B67F-A62EFF666E3E}">
          <x14:id>{FCD7F7CB-DC6D-4653-9573-4809FD58DCA4}</x14:id>
        </ext>
      </extLst>
    </cfRule>
  </conditionalFormatting>
  <conditionalFormatting pivot="1" sqref="E11:E32">
    <cfRule type="dataBar" priority="5">
      <dataBar>
        <cfvo type="min"/>
        <cfvo type="max"/>
        <color rgb="FF008AEF"/>
      </dataBar>
      <extLst>
        <ext xmlns:x14="http://schemas.microsoft.com/office/spreadsheetml/2009/9/main" uri="{B025F937-C7B1-47D3-B67F-A62EFF666E3E}">
          <x14:id>{B3A35B43-BEE0-4C17-8961-EAA6F906AB44}</x14:id>
        </ext>
      </extLst>
    </cfRule>
  </conditionalFormatting>
  <conditionalFormatting pivot="1" sqref="E11:E32">
    <cfRule type="dataBar" priority="4">
      <dataBar>
        <cfvo type="min"/>
        <cfvo type="max"/>
        <color theme="3" tint="0.89999084444715716"/>
      </dataBar>
      <extLst>
        <ext xmlns:x14="http://schemas.microsoft.com/office/spreadsheetml/2009/9/main" uri="{B025F937-C7B1-47D3-B67F-A62EFF666E3E}">
          <x14:id>{9AA75021-2EE7-4FE5-A131-C3A01FCCAFE0}</x14:id>
        </ext>
      </extLst>
    </cfRule>
  </conditionalFormatting>
  <conditionalFormatting pivot="1" sqref="E11:E32">
    <cfRule type="dataBar" priority="3">
      <dataBar>
        <cfvo type="min"/>
        <cfvo type="max"/>
        <color theme="3" tint="0.749992370372631"/>
      </dataBar>
      <extLst>
        <ext xmlns:x14="http://schemas.microsoft.com/office/spreadsheetml/2009/9/main" uri="{B025F937-C7B1-47D3-B67F-A62EFF666E3E}">
          <x14:id>{D4AF933E-2704-441D-812A-F5260B5568A2}</x14:id>
        </ext>
      </extLst>
    </cfRule>
  </conditionalFormatting>
  <conditionalFormatting pivot="1" sqref="E11:E32">
    <cfRule type="dataBar" priority="2">
      <dataBar>
        <cfvo type="min"/>
        <cfvo type="max"/>
        <color theme="4" tint="0.79998168889431442"/>
      </dataBar>
      <extLst>
        <ext xmlns:x14="http://schemas.microsoft.com/office/spreadsheetml/2009/9/main" uri="{B025F937-C7B1-47D3-B67F-A62EFF666E3E}">
          <x14:id>{3CBB6149-2273-42D7-9BA8-1E8D4200450D}</x14:id>
        </ext>
      </extLst>
    </cfRule>
  </conditionalFormatting>
  <conditionalFormatting pivot="1" sqref="E11:E32">
    <cfRule type="dataBar" priority="1">
      <dataBar>
        <cfvo type="min"/>
        <cfvo type="max"/>
        <color theme="4" tint="0.59999389629810485"/>
      </dataBar>
      <extLst>
        <ext xmlns:x14="http://schemas.microsoft.com/office/spreadsheetml/2009/9/main" uri="{B025F937-C7B1-47D3-B67F-A62EFF666E3E}">
          <x14:id>{143FF8DD-BACD-4F54-A847-E871838A0BED}</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BBFCA61F-ECBE-4318-860F-3F04492DED76}">
            <x14:dataBar minLength="0" maxLength="100" gradient="0">
              <x14:cfvo type="autoMin"/>
              <x14:cfvo type="autoMax"/>
              <x14:negativeFillColor rgb="FFFF0000"/>
              <x14:axisColor rgb="FF000000"/>
            </x14:dataBar>
          </x14:cfRule>
          <xm:sqref>D10:G10 D28:D32</xm:sqref>
        </x14:conditionalFormatting>
        <x14:conditionalFormatting xmlns:xm="http://schemas.microsoft.com/office/excel/2006/main">
          <x14:cfRule type="dataBar" id="{BD7E49CC-7473-40CF-9E8D-AC32E5B91386}">
            <x14:dataBar minLength="0" maxLength="100" border="1" negativeBarBorderColorSameAsPositive="0">
              <x14:cfvo type="autoMin"/>
              <x14:cfvo type="autoMax"/>
              <x14:borderColor rgb="FF638EC6"/>
              <x14:negativeFillColor rgb="FFFF0000"/>
              <x14:negativeBorderColor rgb="FFFF0000"/>
              <x14:axisColor rgb="FF000000"/>
            </x14:dataBar>
          </x14:cfRule>
          <xm:sqref>D10:H10 D11:D32</xm:sqref>
        </x14:conditionalFormatting>
        <x14:conditionalFormatting xmlns:xm="http://schemas.microsoft.com/office/excel/2006/main" pivot="1">
          <x14:cfRule type="dataBar" id="{097D9DF9-C486-40E7-ABD5-5178CCA2CE2A}">
            <x14:dataBar minLength="0" maxLength="100" border="1" negativeBarBorderColorSameAsPositive="0">
              <x14:cfvo type="autoMin"/>
              <x14:cfvo type="autoMax"/>
              <x14:borderColor rgb="FF638EC6"/>
              <x14:negativeFillColor rgb="FFFF0000"/>
              <x14:negativeBorderColor rgb="FFFF0000"/>
              <x14:axisColor rgb="FF000000"/>
            </x14:dataBar>
          </x14:cfRule>
          <xm:sqref>G11:G32</xm:sqref>
        </x14:conditionalFormatting>
        <x14:conditionalFormatting xmlns:xm="http://schemas.microsoft.com/office/excel/2006/main" pivot="1">
          <x14:cfRule type="dataBar" id="{BB47F6EC-F7F6-4607-990F-20D348330BFE}">
            <x14:dataBar minLength="0" maxLength="100" border="1" negativeBarBorderColorSameAsPositive="0">
              <x14:cfvo type="autoMin"/>
              <x14:cfvo type="autoMax"/>
              <x14:borderColor rgb="FF63C384"/>
              <x14:negativeFillColor rgb="FFFF0000"/>
              <x14:negativeBorderColor rgb="FFFF0000"/>
              <x14:axisColor rgb="FF000000"/>
            </x14:dataBar>
          </x14:cfRule>
          <xm:sqref>H11:H31</xm:sqref>
        </x14:conditionalFormatting>
        <x14:conditionalFormatting xmlns:xm="http://schemas.microsoft.com/office/excel/2006/main" pivot="1">
          <x14:cfRule type="dataBar" id="{FCD7F7CB-DC6D-4653-9573-4809FD58DCA4}">
            <x14:dataBar minLength="0" maxLength="100" border="1" negativeBarBorderColorSameAsPositive="0">
              <x14:cfvo type="autoMin"/>
              <x14:cfvo type="autoMax"/>
              <x14:borderColor rgb="FFFFB628"/>
              <x14:negativeFillColor rgb="FFFF0000"/>
              <x14:negativeBorderColor rgb="FFFF0000"/>
              <x14:axisColor rgb="FF000000"/>
            </x14:dataBar>
          </x14:cfRule>
          <xm:sqref>F11:F32</xm:sqref>
        </x14:conditionalFormatting>
        <x14:conditionalFormatting xmlns:xm="http://schemas.microsoft.com/office/excel/2006/main" pivot="1">
          <x14:cfRule type="dataBar" id="{B3A35B43-BEE0-4C17-8961-EAA6F906AB44}">
            <x14:dataBar minLength="0" maxLength="100" border="1" negativeBarBorderColorSameAsPositive="0">
              <x14:cfvo type="autoMin"/>
              <x14:cfvo type="autoMax"/>
              <x14:borderColor rgb="FF008AEF"/>
              <x14:negativeFillColor rgb="FFFF0000"/>
              <x14:negativeBorderColor rgb="FFFF0000"/>
              <x14:axisColor rgb="FF000000"/>
            </x14:dataBar>
          </x14:cfRule>
          <xm:sqref>E11:E32</xm:sqref>
        </x14:conditionalFormatting>
        <x14:conditionalFormatting xmlns:xm="http://schemas.microsoft.com/office/excel/2006/main" pivot="1">
          <x14:cfRule type="dataBar" id="{9AA75021-2EE7-4FE5-A131-C3A01FCCAFE0}">
            <x14:dataBar minLength="0" maxLength="100" gradient="0">
              <x14:cfvo type="autoMin"/>
              <x14:cfvo type="autoMax"/>
              <x14:negativeFillColor rgb="FFFF0000"/>
              <x14:axisColor rgb="FF000000"/>
            </x14:dataBar>
          </x14:cfRule>
          <xm:sqref>E11:E32</xm:sqref>
        </x14:conditionalFormatting>
        <x14:conditionalFormatting xmlns:xm="http://schemas.microsoft.com/office/excel/2006/main" pivot="1">
          <x14:cfRule type="dataBar" id="{D4AF933E-2704-441D-812A-F5260B5568A2}">
            <x14:dataBar minLength="0" maxLength="100" gradient="0">
              <x14:cfvo type="autoMin"/>
              <x14:cfvo type="autoMax"/>
              <x14:negativeFillColor rgb="FFFF0000"/>
              <x14:axisColor rgb="FF000000"/>
            </x14:dataBar>
          </x14:cfRule>
          <xm:sqref>E11:E32</xm:sqref>
        </x14:conditionalFormatting>
        <x14:conditionalFormatting xmlns:xm="http://schemas.microsoft.com/office/excel/2006/main" pivot="1">
          <x14:cfRule type="dataBar" id="{3CBB6149-2273-42D7-9BA8-1E8D4200450D}">
            <x14:dataBar minLength="0" maxLength="100">
              <x14:cfvo type="autoMin"/>
              <x14:cfvo type="autoMax"/>
              <x14:negativeFillColor rgb="FFFF0000"/>
              <x14:axisColor rgb="FF000000"/>
            </x14:dataBar>
          </x14:cfRule>
          <xm:sqref>E11:E32</xm:sqref>
        </x14:conditionalFormatting>
        <x14:conditionalFormatting xmlns:xm="http://schemas.microsoft.com/office/excel/2006/main" pivot="1">
          <x14:cfRule type="dataBar" id="{143FF8DD-BACD-4F54-A847-E871838A0BED}">
            <x14:dataBar minLength="0" maxLength="100">
              <x14:cfvo type="autoMin"/>
              <x14:cfvo type="autoMax"/>
              <x14:negativeFillColor rgb="FFFF0000"/>
              <x14:axisColor rgb="FF000000"/>
            </x14:dataBar>
          </x14:cfRule>
          <xm:sqref>E11:E32</xm:sqref>
        </x14:conditionalFormatting>
      </x14:conditionalFormatting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75B0-2A56-43F6-BA1D-D5F68CB3E9B0}">
  <dimension ref="A1:J42"/>
  <sheetViews>
    <sheetView workbookViewId="0">
      <selection activeCell="F9" sqref="F9"/>
    </sheetView>
  </sheetViews>
  <sheetFormatPr defaultRowHeight="14.4" x14ac:dyDescent="0.3"/>
  <cols>
    <col min="1" max="1" width="12.44140625" bestFit="1" customWidth="1"/>
    <col min="2" max="2" width="18" bestFit="1" customWidth="1"/>
    <col min="3" max="3" width="19" bestFit="1" customWidth="1"/>
    <col min="4" max="4" width="18.6640625" bestFit="1" customWidth="1"/>
    <col min="5" max="5" width="12.44140625" bestFit="1" customWidth="1"/>
    <col min="6" max="6" width="18.6640625" bestFit="1" customWidth="1"/>
    <col min="9" max="9" width="12.44140625" bestFit="1" customWidth="1"/>
    <col min="10" max="10" width="21.5546875" bestFit="1" customWidth="1"/>
  </cols>
  <sheetData>
    <row r="1" spans="1:10" x14ac:dyDescent="0.3">
      <c r="A1" s="10" t="s">
        <v>38</v>
      </c>
    </row>
    <row r="2" spans="1:10" x14ac:dyDescent="0.3">
      <c r="A2" s="11" t="s">
        <v>34</v>
      </c>
      <c r="B2" s="12">
        <v>3619</v>
      </c>
    </row>
    <row r="3" spans="1:10" x14ac:dyDescent="0.3">
      <c r="A3" s="11" t="s">
        <v>35</v>
      </c>
      <c r="B3" s="9">
        <v>1309</v>
      </c>
    </row>
    <row r="4" spans="1:10" x14ac:dyDescent="0.3">
      <c r="A4" s="11" t="s">
        <v>33</v>
      </c>
      <c r="B4" s="9">
        <v>18300</v>
      </c>
    </row>
    <row r="5" spans="1:10" x14ac:dyDescent="0.3">
      <c r="A5" s="11" t="s">
        <v>39</v>
      </c>
      <c r="B5" s="13">
        <v>706194.88999999966</v>
      </c>
    </row>
    <row r="9" spans="1:10" x14ac:dyDescent="0.3">
      <c r="A9" s="10" t="s">
        <v>36</v>
      </c>
      <c r="B9" t="s">
        <v>35</v>
      </c>
      <c r="C9" t="s">
        <v>34</v>
      </c>
      <c r="E9" s="10" t="s">
        <v>36</v>
      </c>
      <c r="F9" t="s">
        <v>39</v>
      </c>
      <c r="I9" s="10" t="s">
        <v>36</v>
      </c>
      <c r="J9" t="s">
        <v>56</v>
      </c>
    </row>
    <row r="10" spans="1:10" x14ac:dyDescent="0.3">
      <c r="A10" s="11" t="s">
        <v>44</v>
      </c>
      <c r="B10" s="9">
        <v>115</v>
      </c>
      <c r="C10" s="9">
        <v>301</v>
      </c>
      <c r="E10" s="11" t="s">
        <v>44</v>
      </c>
      <c r="F10" s="13">
        <v>57863.17</v>
      </c>
      <c r="I10" s="11" t="s">
        <v>44</v>
      </c>
      <c r="J10" s="13">
        <v>2225.5065384615382</v>
      </c>
    </row>
    <row r="11" spans="1:10" x14ac:dyDescent="0.3">
      <c r="A11" s="11" t="s">
        <v>45</v>
      </c>
      <c r="B11" s="9">
        <v>118</v>
      </c>
      <c r="C11" s="9">
        <v>311</v>
      </c>
      <c r="E11" s="11" t="s">
        <v>45</v>
      </c>
      <c r="F11" s="13">
        <v>59230.42</v>
      </c>
      <c r="I11" s="11" t="s">
        <v>45</v>
      </c>
      <c r="J11" s="13">
        <v>2278.0930769230768</v>
      </c>
    </row>
    <row r="12" spans="1:10" x14ac:dyDescent="0.3">
      <c r="A12" s="11" t="s">
        <v>46</v>
      </c>
      <c r="B12" s="9">
        <v>112</v>
      </c>
      <c r="C12" s="9">
        <v>300</v>
      </c>
      <c r="E12" s="11" t="s">
        <v>46</v>
      </c>
      <c r="F12" s="13">
        <v>60127</v>
      </c>
      <c r="I12" s="11" t="s">
        <v>46</v>
      </c>
      <c r="J12" s="13">
        <v>2312.5769230769229</v>
      </c>
    </row>
    <row r="13" spans="1:10" x14ac:dyDescent="0.3">
      <c r="A13" s="11" t="s">
        <v>47</v>
      </c>
      <c r="B13" s="9">
        <v>113</v>
      </c>
      <c r="C13" s="9">
        <v>298</v>
      </c>
      <c r="E13" s="11" t="s">
        <v>47</v>
      </c>
      <c r="F13" s="13">
        <v>58604.41</v>
      </c>
      <c r="I13" s="11" t="s">
        <v>47</v>
      </c>
      <c r="J13" s="13">
        <v>2254.0157692307694</v>
      </c>
    </row>
    <row r="14" spans="1:10" x14ac:dyDescent="0.3">
      <c r="A14" s="11" t="s">
        <v>48</v>
      </c>
      <c r="B14" s="9">
        <v>110</v>
      </c>
      <c r="C14" s="9">
        <v>307</v>
      </c>
      <c r="E14" s="11" t="s">
        <v>48</v>
      </c>
      <c r="F14" s="13">
        <v>58564.01999999999</v>
      </c>
      <c r="I14" s="11" t="s">
        <v>48</v>
      </c>
      <c r="J14" s="13">
        <v>2252.4623076923071</v>
      </c>
    </row>
    <row r="15" spans="1:10" x14ac:dyDescent="0.3">
      <c r="A15" s="11" t="s">
        <v>49</v>
      </c>
      <c r="B15" s="9">
        <v>110</v>
      </c>
      <c r="C15" s="9">
        <v>305</v>
      </c>
      <c r="E15" s="11" t="s">
        <v>49</v>
      </c>
      <c r="F15" s="13">
        <v>58260.729999999996</v>
      </c>
      <c r="I15" s="11" t="s">
        <v>49</v>
      </c>
      <c r="J15" s="13">
        <v>2240.7973076923076</v>
      </c>
    </row>
    <row r="16" spans="1:10" x14ac:dyDescent="0.3">
      <c r="A16" s="11" t="s">
        <v>50</v>
      </c>
      <c r="B16" s="9">
        <v>104</v>
      </c>
      <c r="C16" s="9">
        <v>293</v>
      </c>
      <c r="E16" s="11" t="s">
        <v>50</v>
      </c>
      <c r="F16" s="13">
        <v>58845.83</v>
      </c>
      <c r="I16" s="11" t="s">
        <v>50</v>
      </c>
      <c r="J16" s="13">
        <v>2263.3011538461537</v>
      </c>
    </row>
    <row r="17" spans="1:10" x14ac:dyDescent="0.3">
      <c r="A17" s="11" t="s">
        <v>51</v>
      </c>
      <c r="B17" s="9">
        <v>98</v>
      </c>
      <c r="C17" s="9">
        <v>301</v>
      </c>
      <c r="E17" s="11" t="s">
        <v>51</v>
      </c>
      <c r="F17" s="13">
        <v>58668.120000000017</v>
      </c>
      <c r="I17" s="11" t="s">
        <v>51</v>
      </c>
      <c r="J17" s="13">
        <v>2256.4661538461546</v>
      </c>
    </row>
    <row r="18" spans="1:10" x14ac:dyDescent="0.3">
      <c r="A18" s="11" t="s">
        <v>52</v>
      </c>
      <c r="B18" s="9">
        <v>108</v>
      </c>
      <c r="C18" s="9">
        <v>307</v>
      </c>
      <c r="E18" s="11" t="s">
        <v>52</v>
      </c>
      <c r="F18" s="13">
        <v>59025.210000000006</v>
      </c>
      <c r="I18" s="11" t="s">
        <v>52</v>
      </c>
      <c r="J18" s="13">
        <v>2270.2003846153848</v>
      </c>
    </row>
    <row r="19" spans="1:10" x14ac:dyDescent="0.3">
      <c r="A19" s="11" t="s">
        <v>53</v>
      </c>
      <c r="B19" s="9">
        <v>107</v>
      </c>
      <c r="C19" s="9">
        <v>299</v>
      </c>
      <c r="E19" s="11" t="s">
        <v>53</v>
      </c>
      <c r="F19" s="13">
        <v>58653.95</v>
      </c>
      <c r="I19" s="11" t="s">
        <v>53</v>
      </c>
      <c r="J19" s="13">
        <v>2255.9211538461536</v>
      </c>
    </row>
    <row r="20" spans="1:10" x14ac:dyDescent="0.3">
      <c r="A20" s="11" t="s">
        <v>54</v>
      </c>
      <c r="B20" s="9">
        <v>108</v>
      </c>
      <c r="C20" s="9">
        <v>306</v>
      </c>
      <c r="E20" s="11" t="s">
        <v>54</v>
      </c>
      <c r="F20" s="13">
        <v>59136.610000000008</v>
      </c>
      <c r="I20" s="11" t="s">
        <v>54</v>
      </c>
      <c r="J20" s="13">
        <v>2274.4850000000001</v>
      </c>
    </row>
    <row r="21" spans="1:10" x14ac:dyDescent="0.3">
      <c r="A21" s="11" t="s">
        <v>55</v>
      </c>
      <c r="B21" s="9">
        <v>106</v>
      </c>
      <c r="C21" s="9">
        <v>291</v>
      </c>
      <c r="E21" s="11" t="s">
        <v>55</v>
      </c>
      <c r="F21" s="13">
        <v>59215.419999999984</v>
      </c>
      <c r="I21" s="11" t="s">
        <v>55</v>
      </c>
      <c r="J21" s="13">
        <v>2277.5161538461534</v>
      </c>
    </row>
    <row r="22" spans="1:10" x14ac:dyDescent="0.3">
      <c r="A22" s="11" t="s">
        <v>37</v>
      </c>
      <c r="B22" s="9">
        <v>1309</v>
      </c>
      <c r="C22" s="9">
        <v>3619</v>
      </c>
      <c r="E22" s="11" t="s">
        <v>37</v>
      </c>
      <c r="F22" s="13">
        <v>706194.8899999999</v>
      </c>
      <c r="I22" s="11" t="s">
        <v>37</v>
      </c>
      <c r="J22" s="13">
        <v>2263.4451602564091</v>
      </c>
    </row>
    <row r="29" spans="1:10" x14ac:dyDescent="0.3">
      <c r="E29" s="10" t="s">
        <v>36</v>
      </c>
      <c r="F29" t="s">
        <v>57</v>
      </c>
    </row>
    <row r="30" spans="1:10" x14ac:dyDescent="0.3">
      <c r="E30" s="11" t="s">
        <v>44</v>
      </c>
      <c r="F30" s="18">
        <v>4.9788461538461531E-2</v>
      </c>
    </row>
    <row r="31" spans="1:10" x14ac:dyDescent="0.3">
      <c r="E31" s="11" t="s">
        <v>45</v>
      </c>
      <c r="F31" s="18">
        <v>5.0319230769230769E-2</v>
      </c>
    </row>
    <row r="32" spans="1:10" x14ac:dyDescent="0.3">
      <c r="E32" s="11" t="s">
        <v>46</v>
      </c>
      <c r="F32" s="18">
        <v>4.9880769230769229E-2</v>
      </c>
    </row>
    <row r="33" spans="5:6" x14ac:dyDescent="0.3">
      <c r="E33" s="11" t="s">
        <v>47</v>
      </c>
      <c r="F33" s="18">
        <v>4.9753846153846155E-2</v>
      </c>
    </row>
    <row r="34" spans="5:6" x14ac:dyDescent="0.3">
      <c r="E34" s="11" t="s">
        <v>48</v>
      </c>
      <c r="F34" s="18">
        <v>5.0103846153846145E-2</v>
      </c>
    </row>
    <row r="35" spans="5:6" x14ac:dyDescent="0.3">
      <c r="E35" s="11" t="s">
        <v>49</v>
      </c>
      <c r="F35" s="18">
        <v>4.9250000000000009E-2</v>
      </c>
    </row>
    <row r="36" spans="5:6" x14ac:dyDescent="0.3">
      <c r="E36" s="11" t="s">
        <v>50</v>
      </c>
      <c r="F36" s="18">
        <v>4.990384615384616E-2</v>
      </c>
    </row>
    <row r="37" spans="5:6" x14ac:dyDescent="0.3">
      <c r="E37" s="11" t="s">
        <v>51</v>
      </c>
      <c r="F37" s="18">
        <v>5.0603846153846159E-2</v>
      </c>
    </row>
    <row r="38" spans="5:6" x14ac:dyDescent="0.3">
      <c r="E38" s="11" t="s">
        <v>52</v>
      </c>
      <c r="F38" s="18">
        <v>5.0026923076923066E-2</v>
      </c>
    </row>
    <row r="39" spans="5:6" x14ac:dyDescent="0.3">
      <c r="E39" s="11" t="s">
        <v>53</v>
      </c>
      <c r="F39" s="18">
        <v>4.9438461538461535E-2</v>
      </c>
    </row>
    <row r="40" spans="5:6" x14ac:dyDescent="0.3">
      <c r="E40" s="11" t="s">
        <v>54</v>
      </c>
      <c r="F40" s="18">
        <v>4.9250000000000002E-2</v>
      </c>
    </row>
    <row r="41" spans="5:6" x14ac:dyDescent="0.3">
      <c r="E41" s="11" t="s">
        <v>55</v>
      </c>
      <c r="F41" s="18">
        <v>4.9996153846153864E-2</v>
      </c>
    </row>
    <row r="42" spans="5:6" x14ac:dyDescent="0.3">
      <c r="E42" s="11" t="s">
        <v>37</v>
      </c>
      <c r="F42" s="18">
        <v>4.9859615384615363E-2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Datasheet</vt:lpstr>
      <vt:lpstr>Dashboard</vt:lpstr>
      <vt:lpstr>provite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tahid kazi</dc:creator>
  <cp:lastModifiedBy>tahid kazi</cp:lastModifiedBy>
  <dcterms:created xsi:type="dcterms:W3CDTF">2026-06-27T19:35:04Z</dcterms:created>
  <dcterms:modified xsi:type="dcterms:W3CDTF">2026-06-27T21:40:16Z</dcterms:modified>
</cp:coreProperties>
</file>