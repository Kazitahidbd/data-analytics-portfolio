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31088f556e2b2f/Documents/Excel project 1/"/>
    </mc:Choice>
  </mc:AlternateContent>
  <xr:revisionPtr revIDLastSave="0" documentId="8_{5EE749B9-0DB3-4D3F-AB24-DF6BA45F0A0F}" xr6:coauthVersionLast="47" xr6:coauthVersionMax="47" xr10:uidLastSave="{00000000-0000-0000-0000-000000000000}"/>
  <bookViews>
    <workbookView xWindow="-108" yWindow="-108" windowWidth="23256" windowHeight="12456" xr2:uid="{02887D23-C37A-4099-9760-F85A2C4F3F79}"/>
  </bookViews>
  <sheets>
    <sheet name="Allowance" sheetId="2" r:id="rId1"/>
    <sheet name="Hour rate calculation" sheetId="3" r:id="rId2"/>
  </sheets>
  <externalReferences>
    <externalReference r:id="rId3"/>
  </externalReferences>
  <definedNames>
    <definedName name="_xlnm._FilterDatabase" localSheetId="0" hidden="1">Allowance!$A$1:$K$1</definedName>
    <definedName name="DataBD">'[1]BD (12 Hours)'!$C$7:$L$94</definedName>
    <definedName name="DataBED">'[1]BED (12 Hours)'!$C$7:$L$206</definedName>
    <definedName name="DataGT">'[1]GT (12 Hours)'!$C$7:$L$206</definedName>
    <definedName name="DataPQ">'[1]PQ (12 Hours)'!$C$7:$L$205</definedName>
    <definedName name="DataUSFL">'[1]USFL (12 Hours)'!$C$7:$L$206</definedName>
    <definedName name="EmpBD">'[1]BD (12 Hours)'!$B$7:$B$94</definedName>
    <definedName name="EmpBED">'[1]BED (12 Hours)'!$B$7:$B$206</definedName>
    <definedName name="EmpGT">'[1]GT (12 Hours)'!$B$7:$B$206</definedName>
    <definedName name="EmpPQ">'[1]PQ (12 Hours)'!$B$7:$B$205</definedName>
    <definedName name="EmpUSFL">'[1]USFL (12 Hours)'!$B$7:$B$206</definedName>
    <definedName name="Holiday_AllowanceBD">_xlfn.LAMBDA(_xlpm.Empid,_xlfn.LET( _xlpm.Lookup,_xlfn.XLOOKUP(_xlpm.Empid,EmpBD,DataBD), _xlpm.Holiday,SUMIF(EmpBD,_xlpm.Empid,HolidayBD), _xlpm.Holiday2,SUMIF(EmpBD,_xlpm.Empid,HolidayBD2), _xlpm.Night,SUMIF(EmpPQ,_xlpm.Empid,NightPQ), _xlpm.TkHoliday,IFERROR(_xlfn.CHOOSECOLS(_xlpm.Lookup,8)/30/12*_xlpm.Holiday,""), _xlpm.TkHoliday2,IFERROR(_xlfn.CHOOSECOLS(_xlpm.Lookup,8)/30/8*_xlpm.Holiday2,""), _xlpm.TkNight,IFERROR(_xlfn.CHOOSECOLS(_xlpm.Lookup,7)/30/8*_xlpm.Night,""), _xlpm.Ttaka,ROUND(IFERROR(SUM(_xlpm.TkHoliday,_xlpm.TkHoliday2,_xlpm.TkNight),""),0), _xlfn.HSTACK(_xlpm.Lookup,_xlpm.Holiday,_xlpm.Holiday2,_xlpm.Night,_xlpm.TkHoliday,_xlpm.TkHoliday2,_xlpm.TkNight,_xlpm.Ttaka)))</definedName>
    <definedName name="Holiday_AllowanceBED">_xlfn.LAMBDA(_xlpm.Empid,_xlfn.LET( _xlpm.Lookup,_xlfn.XLOOKUP(_xlpm.Empid,EmpBED,DataBED), _xlpm.Holiday,SUMIF(EmpBED,_xlpm.Empid,HolidayBED), _xlpm.Holiday2,SUMIF(EmpBED,_xlpm.Empid,HolidayBED2), _xlpm.Night,SUMIF(EmpBED,_xlpm.Empid,NightBED), _xlpm.TkHoliday,IFERROR(_xlfn.CHOOSECOLS(_xlpm.Lookup,8)/30/12*_xlpm.Holiday,""), _xlpm.TkHoliday2,IFERROR(_xlfn.CHOOSECOLS(_xlpm.Lookup,8)/30/8*_xlpm.Holiday2,""), _xlpm.TkNight,IFERROR(_xlfn.CHOOSECOLS(_xlpm.Lookup,7)/30/8*_xlpm.Night,""), _xlpm.Ttaka,ROUND(IFERROR(SUM(_xlpm.TkHoliday,_xlpm.TkHoliday2,_xlpm.TkNight),""),0), _xlfn.HSTACK(_xlpm.Lookup,_xlpm.Holiday,_xlpm.Holiday2,_xlpm.Night,_xlpm.TkHoliday,_xlpm.TkHoliday2,_xlpm.TkNight,_xlpm.Ttaka)))</definedName>
    <definedName name="Holiday_AllowanceGT">_xlfn.LAMBDA(_xlpm.Empid,_xlfn.LET( _xlpm.Lookup,_xlfn.XLOOKUP(_xlpm.Empid,EmpGT,DataGT), _xlpm.Holiday,SUMIF(EmpGT,_xlpm.Empid,HolidayGT), _xlpm.Holiday2,SUMIF(EmpGT,_xlpm.Empid,HolidayGT2), _xlpm.Night,SUMIF(EmpGT,_xlpm.Empid,NightGT), _xlpm.TkHoliday,IFERROR(_xlfn.CHOOSECOLS(_xlpm.Lookup,8)/30/12*_xlpm.Holiday,""), _xlpm.TkHoliday2,IFERROR(_xlfn.CHOOSECOLS(_xlpm.Lookup,8)/30/8*_xlpm.Holiday2,""), _xlpm.TkNight,IFERROR(_xlfn.CHOOSECOLS(_xlpm.Lookup,7)/30/8*_xlpm.Night,""), _xlpm.Ttaka,ROUND(IFERROR(SUM(_xlpm.TkHoliday,_xlpm.TkHoliday2,_xlpm.TkNight),""),0), _xlfn.HSTACK(_xlpm.Lookup,_xlpm.Holiday,_xlpm.Holiday2,_xlpm.Night,_xlpm.TkHoliday,_xlpm.TkHoliday2,_xlpm.TkNight,_xlpm.Ttaka)))</definedName>
    <definedName name="Holiday_AllowancePQ">_xlfn.LAMBDA(_xlpm.Empid,_xlfn.LET( _xlpm.Lookup,_xlfn.XLOOKUP(_xlpm.Empid,EmpPQ,DataPQ), _xlpm.Holiday,SUMIF(EmpPQ,_xlpm.Empid,HolidayPQ), _xlpm.Holiday2,SUMIF(EmpPQ,_xlpm.Empid,HolidayPQ2), _xlpm.Night,SUMIF(EmpPQ,_xlpm.Empid,NightPQ), _xlpm.TkHoliday,IFERROR(_xlfn.CHOOSECOLS(_xlpm.Lookup,8)/30/12*_xlpm.Holiday,""), _xlpm.TkHoliday2,IFERROR(_xlfn.CHOOSECOLS(_xlpm.Lookup,8)/30/8*_xlpm.Holiday2,""), _xlpm.TkNight,IFERROR(_xlfn.CHOOSECOLS(_xlpm.Lookup,7)/30/8*_xlpm.Night,""), _xlpm.Ttaka,ROUND(IFERROR(SUM(_xlpm.TkHoliday,_xlpm.TkHoliday2,_xlpm.TkNight),""),0), _xlfn.HSTACK(_xlpm.Lookup,_xlpm.Holiday,_xlpm.Holiday2,_xlpm.Night,_xlpm.TkHoliday,_xlpm.TkHoliday2,_xlpm.TkNight,_xlpm.Ttaka)))</definedName>
    <definedName name="Holiday_AnnowanceUSFL">_xlfn.LAMBDA(_xlpm.Empid,_xlfn.LET( _xlpm.Lookup,_xlfn.XLOOKUP(_xlpm.Empid,EmpUSFL,DataUSFL), _xlpm.Holiday,SUMIF(EmpUSFL,_xlpm.Empid,HolidayUSFL), _xlpm.Holiday2,SUMIF(EmpUSFL,_xlpm.Empid,HolidayUSFL2), _xlpm.Night,SUMIF(EmpPQ,_xlpm.Empid,NightPQ), _xlpm.TkHoliday,IFERROR(_xlfn.CHOOSECOLS(_xlpm.Lookup,8)/30/12*_xlpm.Holiday,""), _xlpm.TkHoliday2,IFERROR(_xlfn.CHOOSECOLS(_xlpm.Lookup,8)/30/8*_xlpm.Holiday2,""), _xlpm.TkNight,IFERROR(_xlfn.CHOOSECOLS(_xlpm.Lookup,7)/30/8*_xlpm.Night,""), _xlpm.Ttaka,ROUND(IFERROR(SUM(_xlpm.TkHoliday,_xlpm.TkHoliday2,_xlpm.TkNight),""),0), _xlfn.HSTACK(_xlpm.Lookup,_xlpm.Holiday,_xlpm.Holiday2,_xlpm.Night,_xlpm.TkHoliday,_xlpm.TkHoliday2,_xlpm.TkNight,_xlpm.Ttaka)))</definedName>
    <definedName name="HolidayBD">'[1]BD (12 Hours)'!$M$7:$M$94</definedName>
    <definedName name="HolidayBD2">'[1]BD (12 Hours)'!$N$7:$N$94</definedName>
    <definedName name="HolidayBED">'[1]BED (12 Hours)'!$M$7:$M$206</definedName>
    <definedName name="HolidayBED2">'[1]BED (12 Hours)'!$N$7:$N$206</definedName>
    <definedName name="HolidayGT">'[1]GT (12 Hours)'!$M$7:$M$206</definedName>
    <definedName name="HolidayGT2">'[1]GT (12 Hours)'!$N$7:$N$206</definedName>
    <definedName name="HolidayPQ">'[1]PQ (12 Hours)'!$M$7:$M$205</definedName>
    <definedName name="HolidayPQ2">'[1]PQ (12 Hours)'!$N$7:$N$205</definedName>
    <definedName name="HolidayUSFL">'[1]USFL (12 Hours)'!$M$7:$M$206</definedName>
    <definedName name="HolidayUSFL2">'[1]USFL (12 Hours)'!$N$7:$N$206</definedName>
    <definedName name="NightBD">'[1]BD (12 Hours)'!$O$7:$O$94</definedName>
    <definedName name="NightBED">'[1]BED (12 Hours)'!$O$7:$O$206</definedName>
    <definedName name="NightGT">'[1]GT (12 Hours)'!$O$7:$O$206</definedName>
    <definedName name="NightPQ">'[1]PQ (12 Hours)'!$O$7:$O$205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3" l="1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5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5" i="3"/>
</calcChain>
</file>

<file path=xl/sharedStrings.xml><?xml version="1.0" encoding="utf-8"?>
<sst xmlns="http://schemas.openxmlformats.org/spreadsheetml/2006/main" count="3739" uniqueCount="762">
  <si>
    <t>Name</t>
  </si>
  <si>
    <t>SL</t>
  </si>
  <si>
    <t>Employee Name</t>
  </si>
  <si>
    <t>DeptName</t>
  </si>
  <si>
    <t>SectName</t>
  </si>
  <si>
    <t>DesigName</t>
  </si>
  <si>
    <t>JDate</t>
  </si>
  <si>
    <t>Employee Category</t>
  </si>
  <si>
    <t>Basic</t>
  </si>
  <si>
    <t>Gross</t>
  </si>
  <si>
    <t>Md. Yeasin Arafat</t>
  </si>
  <si>
    <t>Production</t>
  </si>
  <si>
    <t>Allora</t>
  </si>
  <si>
    <t>Trainee Officer</t>
  </si>
  <si>
    <t>Staff</t>
  </si>
  <si>
    <t>Md. Abdul Hoque</t>
  </si>
  <si>
    <t>Cutting Allora</t>
  </si>
  <si>
    <t>Senior Supervisor</t>
  </si>
  <si>
    <t>Nurjahan Akter</t>
  </si>
  <si>
    <t>Dynapot Allora</t>
  </si>
  <si>
    <t>General Quality Inspector</t>
  </si>
  <si>
    <t>Md. Amirul Islam</t>
  </si>
  <si>
    <t>Quality Inspector</t>
  </si>
  <si>
    <t>Md. Nazrul Islam</t>
  </si>
  <si>
    <t>Fabric Tearing</t>
  </si>
  <si>
    <t>Assistant</t>
  </si>
  <si>
    <t>Md. Kamal Hossain</t>
  </si>
  <si>
    <t>Head Fitter</t>
  </si>
  <si>
    <t>Md. Nuruzzaman Hosen</t>
  </si>
  <si>
    <t>Senior Fitter</t>
  </si>
  <si>
    <t>Md. Saddam</t>
  </si>
  <si>
    <t>Finishing Allora</t>
  </si>
  <si>
    <t>Md. Zaman Mia</t>
  </si>
  <si>
    <t>Senior Packingman</t>
  </si>
  <si>
    <t>Md. Hasibul Hasan Mamun</t>
  </si>
  <si>
    <t>Heatbond</t>
  </si>
  <si>
    <t>Md. Tarikul Islam</t>
  </si>
  <si>
    <t>Shift Engineer</t>
  </si>
  <si>
    <t>Md. Abu Bakker Siddik</t>
  </si>
  <si>
    <t>Md. Mahabur Rahaman</t>
  </si>
  <si>
    <t>Quality Allora</t>
  </si>
  <si>
    <t>Rakib Mulla</t>
  </si>
  <si>
    <t>Md.Ibrahim Hossain</t>
  </si>
  <si>
    <t>Nazrul Islam</t>
  </si>
  <si>
    <t>Md. Maidul Islam</t>
  </si>
  <si>
    <t>Geo Crush</t>
  </si>
  <si>
    <t>Worker</t>
  </si>
  <si>
    <t>Md. Shakil Mia</t>
  </si>
  <si>
    <t>Mrs. Hosne Ara Begum</t>
  </si>
  <si>
    <t>Md. Arif Hossain</t>
  </si>
  <si>
    <t>Md. Robiul Islam Raju</t>
  </si>
  <si>
    <t>Sewing Allora</t>
  </si>
  <si>
    <t>Md. Liton</t>
  </si>
  <si>
    <t>Supervisor</t>
  </si>
  <si>
    <t>Md. Ibrahim Khalil</t>
  </si>
  <si>
    <t>Laser Cutting Machine Operator</t>
  </si>
  <si>
    <t>Ismail Sardar</t>
  </si>
  <si>
    <t>Designer</t>
  </si>
  <si>
    <t>Sourab Mandal</t>
  </si>
  <si>
    <t>Utility &amp; Maintenance</t>
  </si>
  <si>
    <t>Electrical</t>
  </si>
  <si>
    <t>Junior Executive</t>
  </si>
  <si>
    <t>Mst. Monoara Akter</t>
  </si>
  <si>
    <t>Admin</t>
  </si>
  <si>
    <t>Canteen</t>
  </si>
  <si>
    <t>Assistant Cook</t>
  </si>
  <si>
    <t>Mst. Raseda Begum</t>
  </si>
  <si>
    <t>Jesmin Akter</t>
  </si>
  <si>
    <t>Md. Alom Khan</t>
  </si>
  <si>
    <t>Mrs Marufa Begum</t>
  </si>
  <si>
    <t>Md. Babul Miah</t>
  </si>
  <si>
    <t>Cook</t>
  </si>
  <si>
    <t>Md. Abu Aslam Reaz Khan</t>
  </si>
  <si>
    <t>Factory Affairs</t>
  </si>
  <si>
    <t>Deputy General Manager</t>
  </si>
  <si>
    <t>Mst. Sharmin</t>
  </si>
  <si>
    <t>Security</t>
  </si>
  <si>
    <t>Lady Checker</t>
  </si>
  <si>
    <t>Md. Selim</t>
  </si>
  <si>
    <t>Supports</t>
  </si>
  <si>
    <t>Loader</t>
  </si>
  <si>
    <t>Md. Sujon</t>
  </si>
  <si>
    <t>Md. Mukul Hossain</t>
  </si>
  <si>
    <t>Sree Bimal Bhadra</t>
  </si>
  <si>
    <t>Md Kopsar Ali</t>
  </si>
  <si>
    <t>Md. Mofidul Islam</t>
  </si>
  <si>
    <t>Vehicle Management</t>
  </si>
  <si>
    <t>Driver</t>
  </si>
  <si>
    <t>Md. Shaiful Islam</t>
  </si>
  <si>
    <t>Assistant Forklift Driver</t>
  </si>
  <si>
    <t>Md. Moniruzzaman</t>
  </si>
  <si>
    <t>Md. Abul Hashem</t>
  </si>
  <si>
    <t>Rakibul Hasan.</t>
  </si>
  <si>
    <t>Delivery</t>
  </si>
  <si>
    <t>Ali Hossain</t>
  </si>
  <si>
    <t>HR &amp; Compliance</t>
  </si>
  <si>
    <t>Administration</t>
  </si>
  <si>
    <t>Asst. Admin Officer</t>
  </si>
  <si>
    <t>Md. Kamal Hossain (Raju)</t>
  </si>
  <si>
    <t>HR</t>
  </si>
  <si>
    <t>Executive</t>
  </si>
  <si>
    <t>Md. Shofikul Islam</t>
  </si>
  <si>
    <t>IT</t>
  </si>
  <si>
    <t>Information Technology</t>
  </si>
  <si>
    <t>Rakibul Hasan</t>
  </si>
  <si>
    <t>Andritz Geo</t>
  </si>
  <si>
    <t>Md Ekram Hossain</t>
  </si>
  <si>
    <t>Trainee Shift Engineer</t>
  </si>
  <si>
    <t>Md. Masud Rana</t>
  </si>
  <si>
    <t>Md. Kamruzzaman</t>
  </si>
  <si>
    <t>Md. Sorwar Hosen</t>
  </si>
  <si>
    <t>Sr. Shift Engineer</t>
  </si>
  <si>
    <t>Md. Ziyarul Islam</t>
  </si>
  <si>
    <t>Forklifr Driver(Trainee)</t>
  </si>
  <si>
    <t>Safikul Islam</t>
  </si>
  <si>
    <t>Needle Punch</t>
  </si>
  <si>
    <t>Operator</t>
  </si>
  <si>
    <t>Md. Arman Ullah</t>
  </si>
  <si>
    <t>Md. Younus Ahmed</t>
  </si>
  <si>
    <t>Sewing Geo</t>
  </si>
  <si>
    <t>Assistant Operator</t>
  </si>
  <si>
    <t>Md. Saiful Islam</t>
  </si>
  <si>
    <t>Amin Khan</t>
  </si>
  <si>
    <t>Assistant Supervisor</t>
  </si>
  <si>
    <t>Md Sojib Hossain</t>
  </si>
  <si>
    <t>Mechanic</t>
  </si>
  <si>
    <t>Md. Imran</t>
  </si>
  <si>
    <t>Md. Deluar Hoshen Bappi</t>
  </si>
  <si>
    <t>Md. Hossen Ali</t>
  </si>
  <si>
    <t>Store</t>
  </si>
  <si>
    <t>Store Co-Ordinator(Assistant)</t>
  </si>
  <si>
    <t>Md. Jashiar Rahman</t>
  </si>
  <si>
    <t>Store Officer</t>
  </si>
  <si>
    <t>Ashikur Rahman</t>
  </si>
  <si>
    <t>Md.Al Amin Khan</t>
  </si>
  <si>
    <t>Junior Executive (Electrical)</t>
  </si>
  <si>
    <t>Md.Nazrul Islam</t>
  </si>
  <si>
    <t>Md. Islam</t>
  </si>
  <si>
    <t>Assistant Electrician</t>
  </si>
  <si>
    <t>Md. Raju</t>
  </si>
  <si>
    <t>Md. Ranju Ahamed</t>
  </si>
  <si>
    <t>Maintenance Officer</t>
  </si>
  <si>
    <t>Arijit Dutta</t>
  </si>
  <si>
    <t>Asst. Manager</t>
  </si>
  <si>
    <t>Md. Hanif Mia</t>
  </si>
  <si>
    <t>Md. Rasidul Islam</t>
  </si>
  <si>
    <t>Arif Iqbal</t>
  </si>
  <si>
    <t>Electrician</t>
  </si>
  <si>
    <t>Md. Towhidur Talukder Topu</t>
  </si>
  <si>
    <t>Simshon Chicham</t>
  </si>
  <si>
    <t>Mechanical</t>
  </si>
  <si>
    <t xml:space="preserve"> Assistant Fitter Man</t>
  </si>
  <si>
    <t>Md. Shahalom</t>
  </si>
  <si>
    <t>Arafat Islam</t>
  </si>
  <si>
    <t>Swapan</t>
  </si>
  <si>
    <t>Mechanical Fitter Man</t>
  </si>
  <si>
    <t>Md. Nazmul Haq Sumon</t>
  </si>
  <si>
    <t>Md. Rony</t>
  </si>
  <si>
    <t>Md. Sakhawat Hossain</t>
  </si>
  <si>
    <t>Accounts</t>
  </si>
  <si>
    <t>Senior Executive</t>
  </si>
  <si>
    <t>Md Suman Miah</t>
  </si>
  <si>
    <t>Assistant Manager</t>
  </si>
  <si>
    <t>Md Mamun</t>
  </si>
  <si>
    <t>Canteen Boy</t>
  </si>
  <si>
    <t>Mst. Khurshida Khatun</t>
  </si>
  <si>
    <t>Child Care</t>
  </si>
  <si>
    <t>Governess</t>
  </si>
  <si>
    <t>M.K. Anowar Hossain Minto</t>
  </si>
  <si>
    <t>General Manager</t>
  </si>
  <si>
    <t>Akhi Akter</t>
  </si>
  <si>
    <t>Medical</t>
  </si>
  <si>
    <t>Nurse</t>
  </si>
  <si>
    <t>Abel Sangma</t>
  </si>
  <si>
    <t>Security Trainee Supervisor</t>
  </si>
  <si>
    <t>Md. Monu Mia</t>
  </si>
  <si>
    <t>Security Guard</t>
  </si>
  <si>
    <t>Sujon Chisum</t>
  </si>
  <si>
    <t>Liza Akter</t>
  </si>
  <si>
    <t>Ahammed Uddin</t>
  </si>
  <si>
    <t>Security In charge</t>
  </si>
  <si>
    <t>Md Jubed Ali</t>
  </si>
  <si>
    <t>Joherul Islam</t>
  </si>
  <si>
    <t>Lift Operator</t>
  </si>
  <si>
    <t>Md. Khokon</t>
  </si>
  <si>
    <t>Md. Ataur Rahman</t>
  </si>
  <si>
    <t>Asst. Manager Operation (Bottle &amp; Logistic Support</t>
  </si>
  <si>
    <t>Md. Monir Hossain</t>
  </si>
  <si>
    <t>Delivery Executive</t>
  </si>
  <si>
    <t>Mohammad Ismail Hossain</t>
  </si>
  <si>
    <t>Md Omar Faruk</t>
  </si>
  <si>
    <t>Md. Shofiqul Islam</t>
  </si>
  <si>
    <t>Motahar Hossen</t>
  </si>
  <si>
    <t>Padding A</t>
  </si>
  <si>
    <t>In Charge</t>
  </si>
  <si>
    <t>Md. Golam Faruk</t>
  </si>
  <si>
    <t>Senior Carding Operator</t>
  </si>
  <si>
    <t>Mukter Hossain</t>
  </si>
  <si>
    <t>Asst. Production Incharge</t>
  </si>
  <si>
    <t>Md. Ikbal Hossan</t>
  </si>
  <si>
    <t>Senior Operator</t>
  </si>
  <si>
    <t>Md. Kawser Mia</t>
  </si>
  <si>
    <t>Padding Machine Operator</t>
  </si>
  <si>
    <t>Md. Nasir Uddin</t>
  </si>
  <si>
    <t>Deputy Production Incharge</t>
  </si>
  <si>
    <t>Md. Monjur Elahi</t>
  </si>
  <si>
    <t>Senior Quality Inspector</t>
  </si>
  <si>
    <t>Md. Monir Hossain Sarkar</t>
  </si>
  <si>
    <t>Md Tipu Sultan Bhuya</t>
  </si>
  <si>
    <t>Quilting Export</t>
  </si>
  <si>
    <t>Md. Delowar Hossain</t>
  </si>
  <si>
    <t>Md. Elias</t>
  </si>
  <si>
    <t>Md. Azad Babu</t>
  </si>
  <si>
    <t>Md Abu Toha</t>
  </si>
  <si>
    <t>Md. Limon Hossain</t>
  </si>
  <si>
    <t>Trainee officer</t>
  </si>
  <si>
    <t>Md Shaha Ali</t>
  </si>
  <si>
    <t>Asst. Production Officer</t>
  </si>
  <si>
    <t>Md. Siful Islam</t>
  </si>
  <si>
    <t>Ashis Kumar Howlader</t>
  </si>
  <si>
    <t>Md. Abu Taher Somrat</t>
  </si>
  <si>
    <t>Md. Rawshan Alam</t>
  </si>
  <si>
    <t>Md. Abdul Salam</t>
  </si>
  <si>
    <t>Chief Mechanic</t>
  </si>
  <si>
    <t>Md. Ruhul Amin</t>
  </si>
  <si>
    <t>Md. Wares Uddin</t>
  </si>
  <si>
    <t>Md. Safi Uddin Bhuyan Spikar</t>
  </si>
  <si>
    <t>Md. Abul Hossain</t>
  </si>
  <si>
    <t>Daniyel Tazu</t>
  </si>
  <si>
    <t>Abdullah</t>
  </si>
  <si>
    <t>Asraful Alam</t>
  </si>
  <si>
    <t>Md. Zabed Ali</t>
  </si>
  <si>
    <t>Junior Security Guard</t>
  </si>
  <si>
    <t>Md. Omor Faruk</t>
  </si>
  <si>
    <t>Rafiqul Alam Alal Uddin</t>
  </si>
  <si>
    <t>Md. Tohidul Islam</t>
  </si>
  <si>
    <t>Md. Rubel Islam</t>
  </si>
  <si>
    <t xml:space="preserve">Security Supervisor </t>
  </si>
  <si>
    <t>Md. Ripan Miah</t>
  </si>
  <si>
    <t>Md. Dalwer Hossain</t>
  </si>
  <si>
    <t>Md. Golam Robbani</t>
  </si>
  <si>
    <t>Md. Jahangir Alam</t>
  </si>
  <si>
    <t>Md. Rubel Hasan</t>
  </si>
  <si>
    <t>Assistant delivery man</t>
  </si>
  <si>
    <t>Md. Nayan Miah</t>
  </si>
  <si>
    <t>Md. Omar Faruk</t>
  </si>
  <si>
    <t>Safi</t>
  </si>
  <si>
    <t>Miraz Mia</t>
  </si>
  <si>
    <t>Md. Oli Ullah</t>
  </si>
  <si>
    <t>Md. Shamim Mia</t>
  </si>
  <si>
    <t>Al - Amin</t>
  </si>
  <si>
    <t>Peon</t>
  </si>
  <si>
    <t>Md. Harunnor Rashid Sikder</t>
  </si>
  <si>
    <t>Sample Machinist</t>
  </si>
  <si>
    <t>Md. Aiub Ali</t>
  </si>
  <si>
    <t>Md. Eliyas Howlader</t>
  </si>
  <si>
    <t>Md.Billal Hoshen</t>
  </si>
  <si>
    <t>Md. Abu Kowsir</t>
  </si>
  <si>
    <t>Asst. Driver</t>
  </si>
  <si>
    <t>Md. Nureslam</t>
  </si>
  <si>
    <t>Md. Shoriful Islam</t>
  </si>
  <si>
    <t>Md. Aminul Islam</t>
  </si>
  <si>
    <t>Md. Jahidul Islam</t>
  </si>
  <si>
    <t>Abdul Razzak Mia</t>
  </si>
  <si>
    <t>Md. Akkas Ali</t>
  </si>
  <si>
    <t>Md. Jahirul Islam</t>
  </si>
  <si>
    <t>Md. Liyakoat Ali</t>
  </si>
  <si>
    <t>Md. Nur Islam</t>
  </si>
  <si>
    <t>Md. Shahab Ali</t>
  </si>
  <si>
    <t>Md. Mahiuddin Mollah</t>
  </si>
  <si>
    <t>Md. Thahebur Rahman</t>
  </si>
  <si>
    <t>Delivery Executive (VAT)</t>
  </si>
  <si>
    <t>Md. Mijanur Rahman</t>
  </si>
  <si>
    <t>Md. Abul Kasem</t>
  </si>
  <si>
    <t>Padding B</t>
  </si>
  <si>
    <t>Md. Bablu Mia</t>
  </si>
  <si>
    <t>Asst. Production Coordinator</t>
  </si>
  <si>
    <t>Md. Abdul Aziz</t>
  </si>
  <si>
    <t>Senior Padding Machine Operator</t>
  </si>
  <si>
    <t>Md. Ratan Mia</t>
  </si>
  <si>
    <t>Md. Abul Kalam Azad</t>
  </si>
  <si>
    <t>Winder Machine Operator</t>
  </si>
  <si>
    <t>Md. Saddam Hossain</t>
  </si>
  <si>
    <t>Quilting</t>
  </si>
  <si>
    <t>Md. Taizul Islam</t>
  </si>
  <si>
    <t>Moslem Uddin</t>
  </si>
  <si>
    <t>Md. Mintu</t>
  </si>
  <si>
    <t>Mechanic Helper</t>
  </si>
  <si>
    <t>Jahidul Islam</t>
  </si>
  <si>
    <t>Bagdad Hossain</t>
  </si>
  <si>
    <t>Asst. Executive (Sales &amp; Marketing)</t>
  </si>
  <si>
    <t>Md. Shah Alam</t>
  </si>
  <si>
    <t>Asst. Service Engineer Generator</t>
  </si>
  <si>
    <t>Md. Ashik Alam</t>
  </si>
  <si>
    <t>Solaiman</t>
  </si>
  <si>
    <t>Fitterman</t>
  </si>
  <si>
    <t>Md. Parvez</t>
  </si>
  <si>
    <t>Assistant Fitter Man</t>
  </si>
  <si>
    <t>Dulal Ahmmed</t>
  </si>
  <si>
    <t>Nayem Hasaan</t>
  </si>
  <si>
    <t>Md. Abdul Karim</t>
  </si>
  <si>
    <t>Leath Man</t>
  </si>
  <si>
    <t>Redone Hossain</t>
  </si>
  <si>
    <t>Md. Babul Mia</t>
  </si>
  <si>
    <t>Md. Atiqul Islam</t>
  </si>
  <si>
    <t>Jamanullah</t>
  </si>
  <si>
    <t>Md. Rabiul Chan</t>
  </si>
  <si>
    <t>Md. Rasel Miah</t>
  </si>
  <si>
    <t>Md. Ahsan Uddin Chowdhury</t>
  </si>
  <si>
    <t>Bottle</t>
  </si>
  <si>
    <t>Executive Procurement</t>
  </si>
  <si>
    <t>Noman Ibna Rashed</t>
  </si>
  <si>
    <t>Asst. Supervisor</t>
  </si>
  <si>
    <t>Md. Shahan Shah Bappy</t>
  </si>
  <si>
    <t>Assistant Scale Operator</t>
  </si>
  <si>
    <t>Ashiqur Rahman Akash</t>
  </si>
  <si>
    <t>Md. Rifat Hossain</t>
  </si>
  <si>
    <t>Ziyaur Rahman</t>
  </si>
  <si>
    <t>Sree. Sipon Sarkar</t>
  </si>
  <si>
    <t>Mst. Rubia Begum</t>
  </si>
  <si>
    <t>House Keeping</t>
  </si>
  <si>
    <t>Cleaner</t>
  </si>
  <si>
    <t>Mst. Halima Khatun</t>
  </si>
  <si>
    <t>Mst. Shirina Khatun</t>
  </si>
  <si>
    <t>Mst. Poli</t>
  </si>
  <si>
    <t>Mst. Lutfa Khatun</t>
  </si>
  <si>
    <t>Mst. Shova Begum</t>
  </si>
  <si>
    <t>Nasrin Akter</t>
  </si>
  <si>
    <t>Mst. Tuhin Sultana</t>
  </si>
  <si>
    <t>Billal Hosan</t>
  </si>
  <si>
    <t>Junior Cutter</t>
  </si>
  <si>
    <t>Md Suruz Ali</t>
  </si>
  <si>
    <t>Assistant Cutter</t>
  </si>
  <si>
    <t>Abdus Sattar</t>
  </si>
  <si>
    <t>Mst. Firoza Begum</t>
  </si>
  <si>
    <t>Junior Operator</t>
  </si>
  <si>
    <t>Momotaz Begum</t>
  </si>
  <si>
    <t>Alpona Rani Dass</t>
  </si>
  <si>
    <t>Mst. Reba</t>
  </si>
  <si>
    <t>Amina Begume</t>
  </si>
  <si>
    <t>Rozina Akter</t>
  </si>
  <si>
    <t>Assistant Sewing Machine Operator</t>
  </si>
  <si>
    <t>Nasima Begum</t>
  </si>
  <si>
    <t>Sewing Machine Operator</t>
  </si>
  <si>
    <t>Md. Boshir Ahmed</t>
  </si>
  <si>
    <t>Md. Aminul Haqu</t>
  </si>
  <si>
    <t>Md. Sher Ali</t>
  </si>
  <si>
    <t>Md. Shopon</t>
  </si>
  <si>
    <t>Md. Bachu Mia</t>
  </si>
  <si>
    <t>Md. Shamim Hossain</t>
  </si>
  <si>
    <t>Mst. Robban Begum</t>
  </si>
  <si>
    <t>Md. Deluar Hosen</t>
  </si>
  <si>
    <t>Md. Saidul Islam</t>
  </si>
  <si>
    <t>Shahid Mia</t>
  </si>
  <si>
    <t>Md. Hafizul Islam</t>
  </si>
  <si>
    <t>Sojib Mia</t>
  </si>
  <si>
    <t>Assistant Bundle Man</t>
  </si>
  <si>
    <t>Mamun Mia</t>
  </si>
  <si>
    <t>Assistant Finishing Man</t>
  </si>
  <si>
    <t>Md. Khalilur Rahman</t>
  </si>
  <si>
    <t>Packing Man</t>
  </si>
  <si>
    <t>Md Tamim Hossen</t>
  </si>
  <si>
    <t>Md Rahmat Ullah</t>
  </si>
  <si>
    <t>Kawshar Hossain</t>
  </si>
  <si>
    <t>Nur Mohammad</t>
  </si>
  <si>
    <t>Md. Imran Hassasin</t>
  </si>
  <si>
    <t>Md. Rabbani</t>
  </si>
  <si>
    <t>Al Amin</t>
  </si>
  <si>
    <t>Md. Nazirul Islam</t>
  </si>
  <si>
    <t>Md. Anower Hossain</t>
  </si>
  <si>
    <t>Md. Alomgir Hossain</t>
  </si>
  <si>
    <t>Md. Sazzu Hossain</t>
  </si>
  <si>
    <t>Akter Hossain</t>
  </si>
  <si>
    <t>Jahidul Haque</t>
  </si>
  <si>
    <t>Md. Jaynal Abdin</t>
  </si>
  <si>
    <t>Forad Shaikh</t>
  </si>
  <si>
    <t>Md. Bulbul Ahamed</t>
  </si>
  <si>
    <t>Md. Sazzad Hossan</t>
  </si>
  <si>
    <t>Khadiza Akter Ripa</t>
  </si>
  <si>
    <t>Maksuda Begum</t>
  </si>
  <si>
    <t>Md. Monir Hassain</t>
  </si>
  <si>
    <t>Mst. Haowa Bibi</t>
  </si>
  <si>
    <t>Mahmuda Begum</t>
  </si>
  <si>
    <t>Mst.Sajeda Akter</t>
  </si>
  <si>
    <t>Mst. Morjina Begum</t>
  </si>
  <si>
    <t>Mst. Rita</t>
  </si>
  <si>
    <t>Jhorna Begum</t>
  </si>
  <si>
    <t>Shahera</t>
  </si>
  <si>
    <t>Mst. Nasima Begum</t>
  </si>
  <si>
    <t>Nazma Begum</t>
  </si>
  <si>
    <t>Mst. Reshma</t>
  </si>
  <si>
    <t>Mst. Mukta Akter</t>
  </si>
  <si>
    <t>Mst.Aklima</t>
  </si>
  <si>
    <t>Tania</t>
  </si>
  <si>
    <t>Mst. Rupa Begume</t>
  </si>
  <si>
    <t>Mst. Shahida Khatun</t>
  </si>
  <si>
    <t>Kazal Akter</t>
  </si>
  <si>
    <t>Rawsana</t>
  </si>
  <si>
    <t>Ayesha Begume</t>
  </si>
  <si>
    <t>Mst. Shiuli Banu</t>
  </si>
  <si>
    <t>Md. Safayet Hossain</t>
  </si>
  <si>
    <t>Asst. Cutter Man</t>
  </si>
  <si>
    <t>Mst. Aytunnesa</t>
  </si>
  <si>
    <t>Md.Sanuar Hossen</t>
  </si>
  <si>
    <t>Embroidery Machine Operator</t>
  </si>
  <si>
    <t>Mst. Jamila Begum</t>
  </si>
  <si>
    <t>Mst. Khadiza Khatun</t>
  </si>
  <si>
    <t>Mst. Shanty Begum</t>
  </si>
  <si>
    <t>Md. Johir Rayhan</t>
  </si>
  <si>
    <t>Sample Man</t>
  </si>
  <si>
    <t>Mst. Nazma Khatun</t>
  </si>
  <si>
    <t>Mst. Shanu Akhter</t>
  </si>
  <si>
    <t>Forida Begum</t>
  </si>
  <si>
    <t>Mst. Ratna Khatun</t>
  </si>
  <si>
    <t>Mst. Shafali Begum</t>
  </si>
  <si>
    <t>Mst. Renura Khatun</t>
  </si>
  <si>
    <t>Mst Firuza Khatun</t>
  </si>
  <si>
    <t>Mst. Sanjida Akhter</t>
  </si>
  <si>
    <t>Nasima Akhter</t>
  </si>
  <si>
    <t>Mamataj Begum</t>
  </si>
  <si>
    <t>Shathi Begum</t>
  </si>
  <si>
    <t>Mst. Morjina Akter</t>
  </si>
  <si>
    <t>Mst. Jorina Akter</t>
  </si>
  <si>
    <t>Mst. Nargis Akter</t>
  </si>
  <si>
    <t>Asma Akter</t>
  </si>
  <si>
    <t>Mst. Parvin Begum</t>
  </si>
  <si>
    <t>Sri Riday Kumar</t>
  </si>
  <si>
    <t xml:space="preserve">Sweeper </t>
  </si>
  <si>
    <t>Yasmin</t>
  </si>
  <si>
    <t>Md. Liyakat Hossain</t>
  </si>
  <si>
    <t>Khairul Islam</t>
  </si>
  <si>
    <t>Md. Golam Kibria</t>
  </si>
  <si>
    <t>Ridoy</t>
  </si>
  <si>
    <t>Md. Ashraful Islam</t>
  </si>
  <si>
    <t>Bikash Chandro</t>
  </si>
  <si>
    <t>Md. Shahin Alam</t>
  </si>
  <si>
    <t>Md. Sakib Ahmed</t>
  </si>
  <si>
    <t>Md. Mamun Mia</t>
  </si>
  <si>
    <t>Shilpy Begum</t>
  </si>
  <si>
    <t>Md. Rahidul Islam</t>
  </si>
  <si>
    <t>Assistant Winder Machine Operator</t>
  </si>
  <si>
    <t>Md.Abdul Aziz Mia</t>
  </si>
  <si>
    <t>Md. Rumel Islam</t>
  </si>
  <si>
    <t>Assistant Bale Breaker Machine Operator</t>
  </si>
  <si>
    <t>Md. Habib Mia</t>
  </si>
  <si>
    <t>Md. Jakir Hossain</t>
  </si>
  <si>
    <t>Hridoy Hassan</t>
  </si>
  <si>
    <t>General  Winder Machine Operator</t>
  </si>
  <si>
    <t>Md. Shohel Mia</t>
  </si>
  <si>
    <t>General  Bale Breaker Machine Operator</t>
  </si>
  <si>
    <t>Md. Riyazul Shekh</t>
  </si>
  <si>
    <t>Cutting Geo</t>
  </si>
  <si>
    <t>Cutter Man</t>
  </si>
  <si>
    <t>Mahmuda Akter</t>
  </si>
  <si>
    <t>Asst. Lay Women</t>
  </si>
  <si>
    <t>Mst.Nazma</t>
  </si>
  <si>
    <t>Fatema Begum</t>
  </si>
  <si>
    <t>Mst. Shimuli Akter</t>
  </si>
  <si>
    <t>Abinash</t>
  </si>
  <si>
    <t>Md. Arshad</t>
  </si>
  <si>
    <t>Md. Sheblu Mia</t>
  </si>
  <si>
    <t>Md. Masud</t>
  </si>
  <si>
    <t>Md. Mamun Chowdory</t>
  </si>
  <si>
    <t>Finishing Geo</t>
  </si>
  <si>
    <t>Assistant Bundleman</t>
  </si>
  <si>
    <t>Selim Mahmud</t>
  </si>
  <si>
    <t>Imran Hossain</t>
  </si>
  <si>
    <t>Md. Asen Ali</t>
  </si>
  <si>
    <t>Syed Saifur Rahman</t>
  </si>
  <si>
    <t>Md.Rifat Mia</t>
  </si>
  <si>
    <t>Md. Ibrahim khalil</t>
  </si>
  <si>
    <t>Md. Belayet Hossain</t>
  </si>
  <si>
    <t>Harun Ar Rashid</t>
  </si>
  <si>
    <t>Md. Shahajada Miha</t>
  </si>
  <si>
    <t>Md. Shahinsha</t>
  </si>
  <si>
    <t>Md. Sala Uddin</t>
  </si>
  <si>
    <t>Md. Sayem Hossain Milon</t>
  </si>
  <si>
    <t>Md. Kamal</t>
  </si>
  <si>
    <t>Md. Mahabubur Rahman</t>
  </si>
  <si>
    <t>Md. Habib</t>
  </si>
  <si>
    <t>Mst. Rumi Begum</t>
  </si>
  <si>
    <t>Rayhan Mia</t>
  </si>
  <si>
    <t>Sree. Dipok Sarker</t>
  </si>
  <si>
    <t>Junior Crush Machine Operator</t>
  </si>
  <si>
    <t>Babul Rabidas</t>
  </si>
  <si>
    <t>Md. Shafikul Islam</t>
  </si>
  <si>
    <t>Md. Firoz Hossain</t>
  </si>
  <si>
    <t>Md. Selim Mia</t>
  </si>
  <si>
    <t>Md. Kobir Hossain</t>
  </si>
  <si>
    <t>Muti Mia</t>
  </si>
  <si>
    <t>Md. Ranjue Mia</t>
  </si>
  <si>
    <t>Md. Hasan</t>
  </si>
  <si>
    <t>Md. Osman</t>
  </si>
  <si>
    <t>Md. Aminul Haque</t>
  </si>
  <si>
    <t>Md. Shah Jalal</t>
  </si>
  <si>
    <t>Rubel Chawdhuri</t>
  </si>
  <si>
    <t>Md. Jewel Mia</t>
  </si>
  <si>
    <t>Md. Kamrul Islam</t>
  </si>
  <si>
    <t>Abdullah Al Refayet</t>
  </si>
  <si>
    <t>Md. Maruf Hossain</t>
  </si>
  <si>
    <t>Md. Abdur Rajjak Mia</t>
  </si>
  <si>
    <t>Juyel Khan</t>
  </si>
  <si>
    <t>Iqramul Hasan Emon</t>
  </si>
  <si>
    <t>Md. Abu Hanif</t>
  </si>
  <si>
    <t>Md. Ebrahim Hossen</t>
  </si>
  <si>
    <t>Nur Mohammod Patwari</t>
  </si>
  <si>
    <t>Md. Akas Mia</t>
  </si>
  <si>
    <t>Md. Sahin Mia</t>
  </si>
  <si>
    <t>Md. Musharrof  Hoshen</t>
  </si>
  <si>
    <t>Md. Alal Hossain</t>
  </si>
  <si>
    <t>Md. Majibur Rahman</t>
  </si>
  <si>
    <t>Md. Sajib Hossen</t>
  </si>
  <si>
    <t>Md. Nur Islam Mondole</t>
  </si>
  <si>
    <t>Mst. Sumaya Begume</t>
  </si>
  <si>
    <t>Bobita Rani</t>
  </si>
  <si>
    <t>Mst. Zosna</t>
  </si>
  <si>
    <t>Mst. Sopna Rani</t>
  </si>
  <si>
    <t>Mst. Hasida Khatun</t>
  </si>
  <si>
    <t>Shakti Rani</t>
  </si>
  <si>
    <t>Mst. Rikhta Khatun</t>
  </si>
  <si>
    <t>Mst. Koli</t>
  </si>
  <si>
    <t>Mst. Dipty Begum</t>
  </si>
  <si>
    <t>Mst. Mina Akter</t>
  </si>
  <si>
    <t>Mst Rujina Akter</t>
  </si>
  <si>
    <t>Helena</t>
  </si>
  <si>
    <t>Mst. Taslima Begum</t>
  </si>
  <si>
    <t>Mst. Moyna</t>
  </si>
  <si>
    <t>Mst. Laily Begume</t>
  </si>
  <si>
    <t>Mst. Dolena</t>
  </si>
  <si>
    <t>Mst. Ruzina Khatun</t>
  </si>
  <si>
    <t>Mst. Shahida</t>
  </si>
  <si>
    <t>Salma Akter</t>
  </si>
  <si>
    <t>Mst. Arzina Khatun</t>
  </si>
  <si>
    <t>Mst. Alea Begum</t>
  </si>
  <si>
    <t>Shirin Begum</t>
  </si>
  <si>
    <t>Doli Khanom</t>
  </si>
  <si>
    <t>Mst. Akhi Begum</t>
  </si>
  <si>
    <t>Asma Begum</t>
  </si>
  <si>
    <t>Nipa Akter</t>
  </si>
  <si>
    <t>Mst. Rasida Akter</t>
  </si>
  <si>
    <t>Mst.Rehena Khatun</t>
  </si>
  <si>
    <t>Mst. Nur Jahan Begum</t>
  </si>
  <si>
    <t>Taslima</t>
  </si>
  <si>
    <t>Mst. Halima</t>
  </si>
  <si>
    <t>Majeda Begum</t>
  </si>
  <si>
    <t>Ferdousi Shahana</t>
  </si>
  <si>
    <t>Shalaha Begum</t>
  </si>
  <si>
    <t>Mst. Fazila Khatun</t>
  </si>
  <si>
    <t>Mst. Lolita Khatun</t>
  </si>
  <si>
    <t>Mst. Shefaly Khatun</t>
  </si>
  <si>
    <t>Mst. Rima Khatun</t>
  </si>
  <si>
    <t>Mst.Shirina Begum</t>
  </si>
  <si>
    <t>Mst. Suma Begum</t>
  </si>
  <si>
    <t>Shima Akter</t>
  </si>
  <si>
    <t>Rumi Akter</t>
  </si>
  <si>
    <t>Saleha Begum</t>
  </si>
  <si>
    <t>Mst. Mahela Begum</t>
  </si>
  <si>
    <t>Mst. Jannaty Begum</t>
  </si>
  <si>
    <t>Mst. Sukhitan Khatun</t>
  </si>
  <si>
    <t>Mst. Achia Begum</t>
  </si>
  <si>
    <t>Sufia</t>
  </si>
  <si>
    <t>Lay Women</t>
  </si>
  <si>
    <t>Noyon Tara</t>
  </si>
  <si>
    <t>Mst. Aysha</t>
  </si>
  <si>
    <t>Mst. Farida Begum</t>
  </si>
  <si>
    <t>Mst. Sharmin Khatun</t>
  </si>
  <si>
    <t>Mst. Sabeya Begum</t>
  </si>
  <si>
    <t>Pobitra Rani Bormon</t>
  </si>
  <si>
    <t>Folesha Begum</t>
  </si>
  <si>
    <t>Salina Akter</t>
  </si>
  <si>
    <t>Lakshi Rani</t>
  </si>
  <si>
    <t>Rosomonjury</t>
  </si>
  <si>
    <t>Kajoli Begum</t>
  </si>
  <si>
    <t>Selina Akter</t>
  </si>
  <si>
    <t>Arpana Rani</t>
  </si>
  <si>
    <t>Mst. Bilkis Begum</t>
  </si>
  <si>
    <t>Mst. Moyna Khatun</t>
  </si>
  <si>
    <t>Mst. Runa Khatun</t>
  </si>
  <si>
    <t>Mst. Salma Akter</t>
  </si>
  <si>
    <t>Kohinur Begum</t>
  </si>
  <si>
    <t>Arati Rani Dash</t>
  </si>
  <si>
    <t>Mst. Selina Begum</t>
  </si>
  <si>
    <t>Mst. Somola Khatun</t>
  </si>
  <si>
    <t>Mst.Hazera Begum</t>
  </si>
  <si>
    <t>Majaful</t>
  </si>
  <si>
    <t>Khaleda Begum</t>
  </si>
  <si>
    <t>Mst. Shiuly</t>
  </si>
  <si>
    <t>Mst. Rabeya</t>
  </si>
  <si>
    <t>Mst. Lima Akter</t>
  </si>
  <si>
    <t>Junior Sewing Machine Operator</t>
  </si>
  <si>
    <t>Md. Shohag Hossen</t>
  </si>
  <si>
    <t>Armechar Assistant</t>
  </si>
  <si>
    <t>Shirish Sudir Babu Horijon</t>
  </si>
  <si>
    <t>Sweeper</t>
  </si>
  <si>
    <t>Mst. Khaleda Akter</t>
  </si>
  <si>
    <t>Juliya Rani</t>
  </si>
  <si>
    <t>Mst. Asma Begum</t>
  </si>
  <si>
    <t>Md Monirul Islam</t>
  </si>
  <si>
    <t>Md. Milon</t>
  </si>
  <si>
    <t xml:space="preserve">Bale Breaker Machine Operator </t>
  </si>
  <si>
    <t>Md. Nur Alom</t>
  </si>
  <si>
    <t>Md. Alom</t>
  </si>
  <si>
    <t>Junior Resin Mix. Operator</t>
  </si>
  <si>
    <t>Abdul Baten</t>
  </si>
  <si>
    <t>Assistant Winder Operator</t>
  </si>
  <si>
    <t>Md. Al Amin Miya</t>
  </si>
  <si>
    <t>Md. Mucha Miya</t>
  </si>
  <si>
    <t>Md. Ershad Hossain</t>
  </si>
  <si>
    <t>A. Rasid</t>
  </si>
  <si>
    <t>Md. Hazrat Ali</t>
  </si>
  <si>
    <t>Junior bale breaker machine operator</t>
  </si>
  <si>
    <t>Md. Shohel Rana</t>
  </si>
  <si>
    <t>Md. Ibrahim</t>
  </si>
  <si>
    <t>Md Soliman Hossain</t>
  </si>
  <si>
    <t>Md. Mostafijur</t>
  </si>
  <si>
    <t>Tonay Chandra Dash</t>
  </si>
  <si>
    <t>Gulap Hosshen</t>
  </si>
  <si>
    <t>Md. Arshad Ali</t>
  </si>
  <si>
    <t>Md. Rafiqul Islam</t>
  </si>
  <si>
    <t>Md. Motiur Rahman</t>
  </si>
  <si>
    <t>Md Aslam Uddin</t>
  </si>
  <si>
    <t>Md. Aoynal Hok</t>
  </si>
  <si>
    <t>Md. Yasin Ali</t>
  </si>
  <si>
    <t>Md. Najmul Islam</t>
  </si>
  <si>
    <t>Sakil Ahmed</t>
  </si>
  <si>
    <t>Md. Rayhan</t>
  </si>
  <si>
    <t>Md. Merajul Islam</t>
  </si>
  <si>
    <t>Md. Rana Mia</t>
  </si>
  <si>
    <t>Md. Noyon Ali</t>
  </si>
  <si>
    <t>Md. Foysal Ahmad</t>
  </si>
  <si>
    <t>Md. Afjal Miah</t>
  </si>
  <si>
    <t>Mafia Begum</t>
  </si>
  <si>
    <t>Mst. Raziya Akter</t>
  </si>
  <si>
    <t>Mst. Popy Akter</t>
  </si>
  <si>
    <t>Mst. Suma Akter</t>
  </si>
  <si>
    <t>Mst. Doly Akter</t>
  </si>
  <si>
    <t>Rashida Begum</t>
  </si>
  <si>
    <t>Shilpi Akter</t>
  </si>
  <si>
    <t>Md. Farhad Hossain</t>
  </si>
  <si>
    <t>Asst. Quilting Machine Operator</t>
  </si>
  <si>
    <t>Mst. Habeja Akter</t>
  </si>
  <si>
    <t>Quilting Machine Operator</t>
  </si>
  <si>
    <t>Bepin</t>
  </si>
  <si>
    <t>Korseda Begum</t>
  </si>
  <si>
    <t>Faruk</t>
  </si>
  <si>
    <t>Mst. Arzina</t>
  </si>
  <si>
    <t>Sahanaz Parvin</t>
  </si>
  <si>
    <t>Mst. Ranu Begum</t>
  </si>
  <si>
    <t>Mst. Amena Begum</t>
  </si>
  <si>
    <t>Kiron Mala</t>
  </si>
  <si>
    <t>Jamila Begum</t>
  </si>
  <si>
    <t>Mst. Monoara Begum</t>
  </si>
  <si>
    <t>Mazeda Begume</t>
  </si>
  <si>
    <t>Md Abul Hosen</t>
  </si>
  <si>
    <t>Assistant Rolling Man</t>
  </si>
  <si>
    <t>Momtaz Begum</t>
  </si>
  <si>
    <t>Mst. Setera Begum</t>
  </si>
  <si>
    <t>Mst. Moslima</t>
  </si>
  <si>
    <t>Md. Forid Mia</t>
  </si>
  <si>
    <t>Mst. Hosne Ara</t>
  </si>
  <si>
    <t>Mst. Asma Khatun</t>
  </si>
  <si>
    <t>Mst. Rina Aktar</t>
  </si>
  <si>
    <t>Saleha Akter</t>
  </si>
  <si>
    <t>Shohan Dariya</t>
  </si>
  <si>
    <t>Mst.Morium Begum</t>
  </si>
  <si>
    <t>Mst. Mamotaj Begum</t>
  </si>
  <si>
    <t>Rahmat Ali</t>
  </si>
  <si>
    <t>Rolling Man</t>
  </si>
  <si>
    <t>Hamida Begum</t>
  </si>
  <si>
    <t>Md. Sobuj Miya</t>
  </si>
  <si>
    <t>Morjina Begum</t>
  </si>
  <si>
    <t>Julekha Begum</t>
  </si>
  <si>
    <t>Mst. Bibi Hawa</t>
  </si>
  <si>
    <t>Sree Rajon Basfor</t>
  </si>
  <si>
    <t>Gardener</t>
  </si>
  <si>
    <t>Auto Driver</t>
  </si>
  <si>
    <t>Md. Rajon Hossain</t>
  </si>
  <si>
    <t>Rabiul Islam</t>
  </si>
  <si>
    <t>Ruhul Amin</t>
  </si>
  <si>
    <t>Saddamh Hossain</t>
  </si>
  <si>
    <t>Md. Mretul Hossain</t>
  </si>
  <si>
    <t>Md. Altaf Hossain</t>
  </si>
  <si>
    <t>Md. Sohidul Islam Ripon</t>
  </si>
  <si>
    <t>Md. Shamim</t>
  </si>
  <si>
    <t>Md. Parvaj Mia.</t>
  </si>
  <si>
    <t>General Quality</t>
  </si>
  <si>
    <t>Saidul Akon</t>
  </si>
  <si>
    <t>Ashiq Mia</t>
  </si>
  <si>
    <t>Md. Alamin</t>
  </si>
  <si>
    <t>Md. Midul Islam Howlader</t>
  </si>
  <si>
    <t>Sajib Hossen</t>
  </si>
  <si>
    <t>Junior Winder Operator</t>
  </si>
  <si>
    <t>Md. Meher Ali</t>
  </si>
  <si>
    <t>Resin Mix Machine Operator</t>
  </si>
  <si>
    <t>Assistant Carding Machine Operator</t>
  </si>
  <si>
    <t>Md. Masud Ali</t>
  </si>
  <si>
    <t>Md. Babul Hossain</t>
  </si>
  <si>
    <t>Joynuddin</t>
  </si>
  <si>
    <t>Md. Anol Mia</t>
  </si>
  <si>
    <t>General Bale Breaker Machine Operator</t>
  </si>
  <si>
    <t>Bijoy</t>
  </si>
  <si>
    <t>Md. Nuruzzaman</t>
  </si>
  <si>
    <t>Arif Hossain</t>
  </si>
  <si>
    <t>Sohanur Rahman</t>
  </si>
  <si>
    <t>Md. Kausar</t>
  </si>
  <si>
    <t>Madhob Chandro Bormon</t>
  </si>
  <si>
    <t>Shilpy Akter</t>
  </si>
  <si>
    <t>Taslima Akter</t>
  </si>
  <si>
    <t>Minara</t>
  </si>
  <si>
    <t>Golapi Begum</t>
  </si>
  <si>
    <t>Parul Akter</t>
  </si>
  <si>
    <t>Md. Monirul Islam</t>
  </si>
  <si>
    <t>Assistant Rolling-man</t>
  </si>
  <si>
    <t>Md. Abu Musha</t>
  </si>
  <si>
    <t>Naznin Sultana</t>
  </si>
  <si>
    <t>Ahid Miya</t>
  </si>
  <si>
    <t>Mst. Jayeda Begum</t>
  </si>
  <si>
    <t>Mst. Roksena Begum</t>
  </si>
  <si>
    <t>Mst. Mazeda Begum</t>
  </si>
  <si>
    <t>Md. Rasel Hosan</t>
  </si>
  <si>
    <t>Md. Rubel Hossen</t>
  </si>
  <si>
    <t>Mst. Sabina Akter</t>
  </si>
  <si>
    <t>Rahana Akter</t>
  </si>
  <si>
    <t>Md. Homaun Kabir</t>
  </si>
  <si>
    <t>Md. Jony Biswas</t>
  </si>
  <si>
    <t>Md. Forhad Hosan</t>
  </si>
  <si>
    <t>Habibur Rahman</t>
  </si>
  <si>
    <t>Md. Hanefur Rahman</t>
  </si>
  <si>
    <t>Md. Kalam Mia</t>
  </si>
  <si>
    <t>Khorshed</t>
  </si>
  <si>
    <t>Md. Basir Uddin</t>
  </si>
  <si>
    <t>Md. Amir Hossain</t>
  </si>
  <si>
    <t>Md. Ripon Miah</t>
  </si>
  <si>
    <t>Md. Mijanur</t>
  </si>
  <si>
    <t>Md. Mosharof Hossain</t>
  </si>
  <si>
    <t>Bottle Cutting Man</t>
  </si>
  <si>
    <t>Md. Nurul Islam</t>
  </si>
  <si>
    <t>Anando Kumar Das</t>
  </si>
  <si>
    <t>Md. Alam Mia</t>
  </si>
  <si>
    <t>Wash machine operator</t>
  </si>
  <si>
    <t>Md. Mizanur Rahman</t>
  </si>
  <si>
    <t>Md. Hafijul Islam</t>
  </si>
  <si>
    <t>Sahed Ali</t>
  </si>
  <si>
    <t>Md. Manik</t>
  </si>
  <si>
    <t>Md. Shahin Allom Shanto</t>
  </si>
  <si>
    <t>Md. Tonmoy</t>
  </si>
  <si>
    <t>Md. Mojno Mia</t>
  </si>
  <si>
    <t>Md. Shoficul islam</t>
  </si>
  <si>
    <t>Md. Moinul Hoque</t>
  </si>
  <si>
    <t>EMP_ID</t>
  </si>
  <si>
    <t>Working Base Hour</t>
  </si>
  <si>
    <t>ID</t>
  </si>
  <si>
    <t>Actual Working hour</t>
  </si>
  <si>
    <t>Date</t>
  </si>
  <si>
    <t>Shift</t>
  </si>
  <si>
    <t>Day</t>
  </si>
  <si>
    <t>Night</t>
  </si>
  <si>
    <t>Total</t>
  </si>
  <si>
    <t>answer</t>
  </si>
  <si>
    <t>Base Houre</t>
  </si>
  <si>
    <t>Overtime Houre</t>
  </si>
  <si>
    <t>Per Houre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</si>
</sst>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Times New Roman"/>
      <family val="1"/>
    </font>
    <font>
      <sz val="8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7" fillId="0" borderId="3" applyNumberFormat="0" applyFill="0" applyAlignment="0" applyProtection="0"/>
  </cellStyleXfs>
  <cellXfs count="28">
    <xf numFmtId="0" fontId="0" fillId="0" borderId="0" xfId="0"/>
    <xf numFmtId="0" fontId="3" fillId="0" borderId="0" xfId="2"/>
    <xf numFmtId="15" fontId="3" fillId="0" borderId="0" xfId="2" applyNumberFormat="1"/>
    <xf numFmtId="164" fontId="0" fillId="0" borderId="0" xfId="3" applyNumberFormat="1" applyFont="1"/>
    <xf numFmtId="0" fontId="3" fillId="0" borderId="1" xfId="2" applyBorder="1"/>
    <xf numFmtId="15" fontId="3" fillId="0" borderId="1" xfId="2" applyNumberFormat="1" applyBorder="1"/>
    <xf numFmtId="164" fontId="0" fillId="0" borderId="1" xfId="3" applyNumberFormat="1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4" fillId="2" borderId="2" xfId="1" applyFont="1" applyBorder="1" applyAlignment="1">
      <alignment horizontal="center" vertical="center"/>
    </xf>
    <xf numFmtId="14" fontId="0" fillId="0" borderId="2" xfId="0" applyNumberFormat="1" applyBorder="1"/>
    <xf numFmtId="0" fontId="0" fillId="3" borderId="2" xfId="0" applyFill="1" applyBorder="1"/>
    <xf numFmtId="0" fontId="0" fillId="3" borderId="2" xfId="0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5" fillId="0" borderId="1" xfId="2" applyFont="1" applyBorder="1" applyAlignment="1">
      <alignment horizontal="center"/>
    </xf>
    <xf numFmtId="0" fontId="1" fillId="0" borderId="2" xfId="0" applyFont="1" applyBorder="1"/>
    <xf numFmtId="0" fontId="1" fillId="3" borderId="2" xfId="2" applyFont="1" applyFill="1" applyBorder="1" applyAlignment="1">
      <alignment horizontal="center"/>
    </xf>
    <xf numFmtId="0" fontId="1" fillId="0" borderId="2" xfId="2" applyFont="1" applyBorder="1" applyAlignment="1">
      <alignment horizontal="center"/>
    </xf>
    <xf numFmtId="0" fontId="0" fillId="4" borderId="0" xfId="0" applyFill="1"/>
    <xf numFmtId="164" fontId="0" fillId="0" borderId="0" xfId="0" applyNumberFormat="1"/>
    <xf numFmtId="43" fontId="3" fillId="0" borderId="0" xfId="2" applyNumberFormat="1"/>
    <xf numFmtId="1" fontId="1" fillId="0" borderId="2" xfId="0" applyNumberFormat="1" applyFont="1" applyBorder="1"/>
    <xf numFmtId="164" fontId="1" fillId="0" borderId="2" xfId="0" applyNumberFormat="1" applyFont="1" applyBorder="1"/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4" fillId="5" borderId="3" xfId="4" applyFont="1" applyFill="1" applyAlignment="1">
      <alignment horizontal="center" vertical="center"/>
    </xf>
  </cellXfs>
  <cellStyles count="5">
    <cellStyle name="Accent3" xfId="1" builtinId="37"/>
    <cellStyle name="Comma 3" xfId="3" xr:uid="{99A13B58-1A87-4959-94A0-5E53E749623E}"/>
    <cellStyle name="Heading 3" xfId="4" builtinId="18"/>
    <cellStyle name="Normal" xfId="0" builtinId="0"/>
    <cellStyle name="Normal 2" xfId="2" xr:uid="{9417DB77-0E38-47D2-AFD5-1E7B8CDF544B}"/>
  </cellStyles>
  <dxfs count="15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0" formatCode="dd/m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72067C27-B671-44D2-A3D3-741DAB48B86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ose\Downloads\Holiday%20%20Night%20Allowance%20Sheet_Month%20of%20May_2025.xlsx" TargetMode="External"/><Relationship Id="rId1" Type="http://schemas.openxmlformats.org/officeDocument/2006/relationships/externalLinkPath" Target="file:///C:\Users\mdtah\Downloads\Holiday%20%20Night%20Allowance%20Sheet_Month%20of%20May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owance"/>
      <sheetName val="BD (12 Hours)"/>
      <sheetName val="BD"/>
      <sheetName val="PQ (12 Hours)"/>
      <sheetName val="PQ"/>
      <sheetName val="USFL (12 Hours)"/>
      <sheetName val="USFL"/>
      <sheetName val="GT (12 Hours)"/>
      <sheetName val="GT"/>
      <sheetName val="BED (12 Hours)"/>
      <sheetName val="BED"/>
      <sheetName val="Summary "/>
      <sheetName val="Sheet"/>
    </sheetNames>
    <sheetDataSet>
      <sheetData sheetId="0"/>
      <sheetData sheetId="1">
        <row r="7">
          <cell r="B7">
            <v>3070302</v>
          </cell>
          <cell r="C7" t="str">
            <v>Sujon Chisum</v>
          </cell>
          <cell r="D7" t="str">
            <v>Admin</v>
          </cell>
          <cell r="E7" t="str">
            <v>Security</v>
          </cell>
          <cell r="F7" t="str">
            <v>Security Guard</v>
          </cell>
          <cell r="G7">
            <v>40550</v>
          </cell>
          <cell r="H7" t="str">
            <v>Staff</v>
          </cell>
          <cell r="I7">
            <v>14510</v>
          </cell>
          <cell r="J7">
            <v>24184</v>
          </cell>
          <cell r="K7">
            <v>806.13333333333333</v>
          </cell>
          <cell r="L7">
            <v>483.66666666666669</v>
          </cell>
          <cell r="M7">
            <v>12</v>
          </cell>
          <cell r="N7"/>
          <cell r="O7" t="str">
            <v>6</v>
          </cell>
        </row>
        <row r="8">
          <cell r="B8">
            <v>3070303</v>
          </cell>
          <cell r="C8" t="str">
            <v>Md. Monu Mia</v>
          </cell>
          <cell r="D8" t="str">
            <v>Admin</v>
          </cell>
          <cell r="E8" t="str">
            <v>Security</v>
          </cell>
          <cell r="F8" t="str">
            <v>Security Guard</v>
          </cell>
          <cell r="G8">
            <v>40360</v>
          </cell>
          <cell r="H8" t="str">
            <v>Staff</v>
          </cell>
          <cell r="I8">
            <v>13935</v>
          </cell>
          <cell r="J8">
            <v>23226</v>
          </cell>
          <cell r="K8">
            <v>774.2</v>
          </cell>
          <cell r="L8">
            <v>464.5</v>
          </cell>
          <cell r="M8">
            <v>12</v>
          </cell>
          <cell r="N8"/>
          <cell r="O8"/>
        </row>
        <row r="9">
          <cell r="B9">
            <v>3070304</v>
          </cell>
          <cell r="C9" t="str">
            <v>Abel Sangma</v>
          </cell>
          <cell r="D9" t="str">
            <v>Admin</v>
          </cell>
          <cell r="E9" t="str">
            <v>Security</v>
          </cell>
          <cell r="F9" t="str">
            <v>Security Trainee Supervisor</v>
          </cell>
          <cell r="G9">
            <v>41415</v>
          </cell>
          <cell r="H9" t="str">
            <v>Staff</v>
          </cell>
          <cell r="I9">
            <v>14519</v>
          </cell>
          <cell r="J9">
            <v>24198</v>
          </cell>
          <cell r="K9">
            <v>806.6</v>
          </cell>
          <cell r="L9">
            <v>483.96666666666664</v>
          </cell>
          <cell r="M9">
            <v>12</v>
          </cell>
          <cell r="N9"/>
          <cell r="O9"/>
        </row>
        <row r="10">
          <cell r="B10">
            <v>3070984</v>
          </cell>
          <cell r="C10" t="str">
            <v>Ahammed Uddin</v>
          </cell>
          <cell r="D10" t="str">
            <v>Admin</v>
          </cell>
          <cell r="E10" t="str">
            <v>Security</v>
          </cell>
          <cell r="F10" t="str">
            <v>Security In charge</v>
          </cell>
          <cell r="G10">
            <v>45301</v>
          </cell>
          <cell r="H10" t="str">
            <v>Staff</v>
          </cell>
          <cell r="I10">
            <v>14500</v>
          </cell>
          <cell r="J10">
            <v>25000</v>
          </cell>
          <cell r="K10">
            <v>833.33333333333337</v>
          </cell>
          <cell r="L10">
            <v>483.33333333333331</v>
          </cell>
          <cell r="M10">
            <v>12</v>
          </cell>
          <cell r="N10"/>
          <cell r="O10"/>
        </row>
        <row r="11">
          <cell r="B11">
            <v>3070302</v>
          </cell>
          <cell r="C11" t="str">
            <v>Sujon Chisum</v>
          </cell>
          <cell r="D11" t="str">
            <v>Admin</v>
          </cell>
          <cell r="E11" t="str">
            <v>Security</v>
          </cell>
          <cell r="F11" t="str">
            <v>Security Guard</v>
          </cell>
          <cell r="G11">
            <v>40550</v>
          </cell>
          <cell r="H11" t="str">
            <v>Staff</v>
          </cell>
          <cell r="I11">
            <v>14510</v>
          </cell>
          <cell r="J11">
            <v>24184</v>
          </cell>
          <cell r="K11">
            <v>806.13333333333333</v>
          </cell>
          <cell r="L11">
            <v>483.66666666666669</v>
          </cell>
          <cell r="M11">
            <v>12</v>
          </cell>
          <cell r="N11"/>
          <cell r="O11">
            <v>6</v>
          </cell>
        </row>
        <row r="12">
          <cell r="B12">
            <v>3070303</v>
          </cell>
          <cell r="C12" t="str">
            <v>Md. Monu Mia</v>
          </cell>
          <cell r="D12" t="str">
            <v>Admin</v>
          </cell>
          <cell r="E12" t="str">
            <v>Security</v>
          </cell>
          <cell r="F12" t="str">
            <v>Security Guard</v>
          </cell>
          <cell r="G12">
            <v>40360</v>
          </cell>
          <cell r="H12" t="str">
            <v>Staff</v>
          </cell>
          <cell r="I12">
            <v>13935</v>
          </cell>
          <cell r="J12">
            <v>23226</v>
          </cell>
          <cell r="K12">
            <v>774.2</v>
          </cell>
          <cell r="L12">
            <v>464.5</v>
          </cell>
          <cell r="M12">
            <v>12</v>
          </cell>
          <cell r="N12"/>
          <cell r="O12">
            <v>6</v>
          </cell>
        </row>
        <row r="13">
          <cell r="B13">
            <v>3070304</v>
          </cell>
          <cell r="C13" t="str">
            <v>Abel Sangma</v>
          </cell>
          <cell r="D13" t="str">
            <v>Admin</v>
          </cell>
          <cell r="E13" t="str">
            <v>Security</v>
          </cell>
          <cell r="F13" t="str">
            <v>Security Trainee Supervisor</v>
          </cell>
          <cell r="G13">
            <v>41415</v>
          </cell>
          <cell r="H13" t="str">
            <v>Staff</v>
          </cell>
          <cell r="I13">
            <v>14519</v>
          </cell>
          <cell r="J13">
            <v>24198</v>
          </cell>
          <cell r="K13">
            <v>806.6</v>
          </cell>
          <cell r="L13">
            <v>483.96666666666664</v>
          </cell>
          <cell r="M13">
            <v>12</v>
          </cell>
          <cell r="N13"/>
          <cell r="O13">
            <v>6</v>
          </cell>
        </row>
        <row r="14">
          <cell r="B14">
            <v>3070984</v>
          </cell>
          <cell r="C14" t="str">
            <v>Ahammed Uddin</v>
          </cell>
          <cell r="D14" t="str">
            <v>Admin</v>
          </cell>
          <cell r="E14" t="str">
            <v>Security</v>
          </cell>
          <cell r="F14" t="str">
            <v>Security In charge</v>
          </cell>
          <cell r="G14">
            <v>45301</v>
          </cell>
          <cell r="H14" t="str">
            <v>Staff</v>
          </cell>
          <cell r="I14">
            <v>14500</v>
          </cell>
          <cell r="J14">
            <v>25000</v>
          </cell>
          <cell r="K14">
            <v>833.33333333333337</v>
          </cell>
          <cell r="L14">
            <v>483.33333333333331</v>
          </cell>
          <cell r="M14">
            <v>12</v>
          </cell>
          <cell r="N14"/>
          <cell r="O14"/>
        </row>
        <row r="15">
          <cell r="B15">
            <v>3140011</v>
          </cell>
          <cell r="C15" t="str">
            <v>Md. Abu Taher Somrat</v>
          </cell>
          <cell r="D15" t="str">
            <v>Utility &amp; Maintenance</v>
          </cell>
          <cell r="E15" t="str">
            <v>Electrical</v>
          </cell>
          <cell r="F15" t="str">
            <v>Assistant Electrician</v>
          </cell>
          <cell r="G15">
            <v>43353</v>
          </cell>
          <cell r="H15" t="str">
            <v>Staff</v>
          </cell>
          <cell r="I15">
            <v>13080</v>
          </cell>
          <cell r="J15">
            <v>21800</v>
          </cell>
          <cell r="K15">
            <v>726.66666666666663</v>
          </cell>
          <cell r="L15">
            <v>436</v>
          </cell>
          <cell r="M15">
            <v>12</v>
          </cell>
          <cell r="N15"/>
          <cell r="O15"/>
        </row>
        <row r="16">
          <cell r="B16">
            <v>3070603</v>
          </cell>
          <cell r="C16" t="str">
            <v>Md. Azad Babu</v>
          </cell>
          <cell r="D16" t="str">
            <v>Store</v>
          </cell>
          <cell r="E16" t="str">
            <v>Store</v>
          </cell>
          <cell r="F16" t="str">
            <v>Store Co-Ordinator(Assistant)</v>
          </cell>
          <cell r="G16">
            <v>43162</v>
          </cell>
          <cell r="H16" t="str">
            <v>Staff</v>
          </cell>
          <cell r="I16">
            <v>11739</v>
          </cell>
          <cell r="J16">
            <v>19566</v>
          </cell>
          <cell r="K16">
            <v>652.20000000000005</v>
          </cell>
          <cell r="L16">
            <v>391.3</v>
          </cell>
          <cell r="M16">
            <v>1.5</v>
          </cell>
          <cell r="N16"/>
          <cell r="O16"/>
        </row>
        <row r="17">
          <cell r="B17">
            <v>3070302</v>
          </cell>
          <cell r="C17" t="str">
            <v>Sujon Chisum</v>
          </cell>
          <cell r="D17" t="str">
            <v>Admin</v>
          </cell>
          <cell r="E17" t="str">
            <v>Security</v>
          </cell>
          <cell r="F17" t="str">
            <v>Security Guard</v>
          </cell>
          <cell r="G17">
            <v>40550</v>
          </cell>
          <cell r="H17" t="str">
            <v>Staff</v>
          </cell>
          <cell r="I17">
            <v>14510</v>
          </cell>
          <cell r="J17">
            <v>24184</v>
          </cell>
          <cell r="K17">
            <v>806.13333333333333</v>
          </cell>
          <cell r="L17">
            <v>483.66666666666669</v>
          </cell>
          <cell r="M17">
            <v>8</v>
          </cell>
          <cell r="N17"/>
          <cell r="O17"/>
        </row>
        <row r="18">
          <cell r="B18">
            <v>3070303</v>
          </cell>
          <cell r="C18" t="str">
            <v>Md. Monu Mia</v>
          </cell>
          <cell r="D18" t="str">
            <v>Admin</v>
          </cell>
          <cell r="E18" t="str">
            <v>Security</v>
          </cell>
          <cell r="F18" t="str">
            <v>Security Guard</v>
          </cell>
          <cell r="G18">
            <v>40360</v>
          </cell>
          <cell r="H18" t="str">
            <v>Staff</v>
          </cell>
          <cell r="I18">
            <v>13935</v>
          </cell>
          <cell r="J18">
            <v>23226</v>
          </cell>
          <cell r="K18">
            <v>774.2</v>
          </cell>
          <cell r="L18">
            <v>464.5</v>
          </cell>
          <cell r="M18">
            <v>8</v>
          </cell>
          <cell r="N18"/>
          <cell r="O18"/>
        </row>
        <row r="19">
          <cell r="B19">
            <v>3070304</v>
          </cell>
          <cell r="C19" t="str">
            <v>Abel Sangma</v>
          </cell>
          <cell r="D19" t="str">
            <v>Admin</v>
          </cell>
          <cell r="E19" t="str">
            <v>Security</v>
          </cell>
          <cell r="F19" t="str">
            <v>Security Trainee Supervisor</v>
          </cell>
          <cell r="G19">
            <v>41415</v>
          </cell>
          <cell r="H19" t="str">
            <v>Staff</v>
          </cell>
          <cell r="I19">
            <v>14519</v>
          </cell>
          <cell r="J19">
            <v>24198</v>
          </cell>
          <cell r="K19">
            <v>806.6</v>
          </cell>
          <cell r="L19">
            <v>483.96666666666664</v>
          </cell>
          <cell r="M19">
            <v>8</v>
          </cell>
          <cell r="N19"/>
          <cell r="O19"/>
        </row>
        <row r="20">
          <cell r="B20">
            <v>3070984</v>
          </cell>
          <cell r="C20" t="str">
            <v>Ahammed Uddin</v>
          </cell>
          <cell r="D20" t="str">
            <v>Admin</v>
          </cell>
          <cell r="E20" t="str">
            <v>Security</v>
          </cell>
          <cell r="F20" t="str">
            <v>Security In charge</v>
          </cell>
          <cell r="G20">
            <v>45301</v>
          </cell>
          <cell r="H20" t="str">
            <v>Staff</v>
          </cell>
          <cell r="I20">
            <v>14500</v>
          </cell>
          <cell r="J20">
            <v>25000</v>
          </cell>
          <cell r="K20">
            <v>833.33333333333337</v>
          </cell>
          <cell r="L20">
            <v>483.33333333333331</v>
          </cell>
          <cell r="M20">
            <v>12</v>
          </cell>
          <cell r="N20"/>
          <cell r="O20"/>
        </row>
        <row r="21">
          <cell r="B21">
            <v>3140011</v>
          </cell>
          <cell r="C21" t="str">
            <v>Md. Abu Taher Somrat</v>
          </cell>
          <cell r="D21" t="str">
            <v>Utility &amp; Maintenance</v>
          </cell>
          <cell r="E21" t="str">
            <v>Electrical</v>
          </cell>
          <cell r="F21" t="str">
            <v>Assistant Electrician</v>
          </cell>
          <cell r="G21">
            <v>43353</v>
          </cell>
          <cell r="H21" t="str">
            <v>Staff</v>
          </cell>
          <cell r="I21">
            <v>13080</v>
          </cell>
          <cell r="J21">
            <v>21800</v>
          </cell>
          <cell r="K21">
            <v>726.66666666666663</v>
          </cell>
          <cell r="L21">
            <v>436</v>
          </cell>
          <cell r="M21">
            <v>12</v>
          </cell>
          <cell r="N21"/>
          <cell r="O21"/>
        </row>
        <row r="22">
          <cell r="B22">
            <v>3140017</v>
          </cell>
          <cell r="C22" t="str">
            <v>Ashis Kumar Howlader</v>
          </cell>
          <cell r="D22" t="str">
            <v>Utility &amp; Maintenance</v>
          </cell>
          <cell r="E22" t="str">
            <v>Electrical</v>
          </cell>
          <cell r="F22" t="str">
            <v>Junior Executive</v>
          </cell>
          <cell r="G22">
            <v>45486</v>
          </cell>
          <cell r="H22" t="str">
            <v>Staff</v>
          </cell>
          <cell r="I22">
            <v>11600</v>
          </cell>
          <cell r="J22">
            <v>20000</v>
          </cell>
          <cell r="K22">
            <v>666.66666666666663</v>
          </cell>
          <cell r="L22">
            <v>386.66666666666669</v>
          </cell>
          <cell r="M22">
            <v>12</v>
          </cell>
          <cell r="N22"/>
          <cell r="O22"/>
        </row>
        <row r="23">
          <cell r="B23">
            <v>3070603</v>
          </cell>
          <cell r="C23" t="str">
            <v>Md. Azad Babu</v>
          </cell>
          <cell r="D23" t="str">
            <v>Store</v>
          </cell>
          <cell r="E23" t="str">
            <v>Store</v>
          </cell>
          <cell r="F23" t="str">
            <v>Store Co-Ordinator(Assistant)</v>
          </cell>
          <cell r="G23">
            <v>43162</v>
          </cell>
          <cell r="H23" t="str">
            <v>Staff</v>
          </cell>
          <cell r="I23">
            <v>11739</v>
          </cell>
          <cell r="J23">
            <v>19566</v>
          </cell>
          <cell r="K23">
            <v>652.20000000000005</v>
          </cell>
          <cell r="L23">
            <v>391.3</v>
          </cell>
          <cell r="M23">
            <v>12</v>
          </cell>
          <cell r="N23"/>
          <cell r="O23"/>
        </row>
        <row r="24">
          <cell r="B24">
            <v>3090037</v>
          </cell>
          <cell r="C24" t="str">
            <v>Md. Khokon</v>
          </cell>
          <cell r="D24" t="str">
            <v>Admin</v>
          </cell>
          <cell r="E24" t="str">
            <v>Vehicle Management</v>
          </cell>
          <cell r="F24" t="str">
            <v>Driver</v>
          </cell>
          <cell r="G24">
            <v>45566</v>
          </cell>
          <cell r="H24" t="str">
            <v>Staff</v>
          </cell>
          <cell r="I24">
            <v>11600</v>
          </cell>
          <cell r="J24">
            <v>20000</v>
          </cell>
          <cell r="K24">
            <v>666.66666666666663</v>
          </cell>
          <cell r="L24">
            <v>386.66666666666669</v>
          </cell>
          <cell r="M24">
            <v>4</v>
          </cell>
          <cell r="N24"/>
          <cell r="O24"/>
        </row>
        <row r="25">
          <cell r="B25">
            <v>3070302</v>
          </cell>
          <cell r="C25" t="str">
            <v>Sujon Chisum</v>
          </cell>
          <cell r="D25" t="str">
            <v>Admin</v>
          </cell>
          <cell r="E25" t="str">
            <v>Security</v>
          </cell>
          <cell r="F25" t="str">
            <v>Security Guard</v>
          </cell>
          <cell r="G25">
            <v>40550</v>
          </cell>
          <cell r="H25" t="str">
            <v>Staff</v>
          </cell>
          <cell r="I25">
            <v>14510</v>
          </cell>
          <cell r="J25">
            <v>24184</v>
          </cell>
          <cell r="K25">
            <v>806.13333333333333</v>
          </cell>
          <cell r="L25">
            <v>483.66666666666669</v>
          </cell>
          <cell r="M25">
            <v>12</v>
          </cell>
          <cell r="N25"/>
          <cell r="O25">
            <v>6</v>
          </cell>
        </row>
        <row r="26">
          <cell r="B26">
            <v>3070304</v>
          </cell>
          <cell r="C26" t="str">
            <v>Abel Sangma</v>
          </cell>
          <cell r="D26" t="str">
            <v>Admin</v>
          </cell>
          <cell r="E26" t="str">
            <v>Security</v>
          </cell>
          <cell r="F26" t="str">
            <v>Security Trainee Supervisor</v>
          </cell>
          <cell r="G26">
            <v>41415</v>
          </cell>
          <cell r="H26" t="str">
            <v>Staff</v>
          </cell>
          <cell r="I26">
            <v>14519</v>
          </cell>
          <cell r="J26">
            <v>24198</v>
          </cell>
          <cell r="K26">
            <v>806.6</v>
          </cell>
          <cell r="L26">
            <v>483.96666666666664</v>
          </cell>
          <cell r="M26">
            <v>12</v>
          </cell>
          <cell r="N26"/>
          <cell r="O26">
            <v>6</v>
          </cell>
        </row>
        <row r="27">
          <cell r="B27">
            <v>3090037</v>
          </cell>
          <cell r="C27" t="str">
            <v>Md. Khokon</v>
          </cell>
          <cell r="D27" t="str">
            <v>Admin</v>
          </cell>
          <cell r="E27" t="str">
            <v>Vehicle Management</v>
          </cell>
          <cell r="F27" t="str">
            <v>Driver</v>
          </cell>
          <cell r="G27">
            <v>45566</v>
          </cell>
          <cell r="H27" t="str">
            <v>Staff</v>
          </cell>
          <cell r="I27">
            <v>11600</v>
          </cell>
          <cell r="J27">
            <v>20000</v>
          </cell>
          <cell r="K27">
            <v>666.66666666666663</v>
          </cell>
          <cell r="L27">
            <v>386.66666666666669</v>
          </cell>
          <cell r="M27">
            <v>12</v>
          </cell>
          <cell r="N27"/>
          <cell r="O27"/>
        </row>
        <row r="28">
          <cell r="B28">
            <v>3070302</v>
          </cell>
          <cell r="C28" t="str">
            <v>Sujon Chisum</v>
          </cell>
          <cell r="D28" t="str">
            <v>Admin</v>
          </cell>
          <cell r="E28" t="str">
            <v>Security</v>
          </cell>
          <cell r="F28" t="str">
            <v>Security Guard</v>
          </cell>
          <cell r="G28">
            <v>40550</v>
          </cell>
          <cell r="H28" t="str">
            <v>Staff</v>
          </cell>
          <cell r="I28">
            <v>14510</v>
          </cell>
          <cell r="J28">
            <v>24184</v>
          </cell>
          <cell r="K28">
            <v>806.13333333333333</v>
          </cell>
          <cell r="L28">
            <v>483.66666666666669</v>
          </cell>
          <cell r="M28">
            <v>8</v>
          </cell>
          <cell r="N28"/>
          <cell r="O28"/>
        </row>
        <row r="29">
          <cell r="B29">
            <v>3070303</v>
          </cell>
          <cell r="C29" t="str">
            <v>Md. Monu Mia</v>
          </cell>
          <cell r="D29" t="str">
            <v>Admin</v>
          </cell>
          <cell r="E29" t="str">
            <v>Security</v>
          </cell>
          <cell r="F29" t="str">
            <v>Security Guard</v>
          </cell>
          <cell r="G29">
            <v>40360</v>
          </cell>
          <cell r="H29" t="str">
            <v>Staff</v>
          </cell>
          <cell r="I29">
            <v>13935</v>
          </cell>
          <cell r="J29">
            <v>23226</v>
          </cell>
          <cell r="K29">
            <v>774.2</v>
          </cell>
          <cell r="L29">
            <v>464.5</v>
          </cell>
          <cell r="M29">
            <v>8</v>
          </cell>
          <cell r="N29"/>
          <cell r="O29"/>
        </row>
        <row r="30">
          <cell r="B30">
            <v>3070304</v>
          </cell>
          <cell r="C30" t="str">
            <v>Abel Sangma</v>
          </cell>
          <cell r="D30" t="str">
            <v>Admin</v>
          </cell>
          <cell r="E30" t="str">
            <v>Security</v>
          </cell>
          <cell r="F30" t="str">
            <v>Security Trainee Supervisor</v>
          </cell>
          <cell r="G30">
            <v>41415</v>
          </cell>
          <cell r="H30" t="str">
            <v>Staff</v>
          </cell>
          <cell r="I30">
            <v>14519</v>
          </cell>
          <cell r="J30">
            <v>24198</v>
          </cell>
          <cell r="K30">
            <v>806.6</v>
          </cell>
          <cell r="L30">
            <v>483.96666666666664</v>
          </cell>
          <cell r="M30">
            <v>8</v>
          </cell>
          <cell r="N30"/>
          <cell r="O30"/>
        </row>
        <row r="31">
          <cell r="B31">
            <v>3070603</v>
          </cell>
          <cell r="C31" t="str">
            <v>Md. Azad Babu</v>
          </cell>
          <cell r="D31" t="str">
            <v>Store</v>
          </cell>
          <cell r="E31" t="str">
            <v>Store</v>
          </cell>
          <cell r="F31" t="str">
            <v>Store Co-Ordinator(Assistant)</v>
          </cell>
          <cell r="G31">
            <v>43162</v>
          </cell>
          <cell r="H31" t="str">
            <v>Staff</v>
          </cell>
          <cell r="I31">
            <v>11739</v>
          </cell>
          <cell r="J31">
            <v>19566</v>
          </cell>
          <cell r="K31">
            <v>652.20000000000005</v>
          </cell>
          <cell r="L31">
            <v>391.3</v>
          </cell>
          <cell r="M31">
            <v>12</v>
          </cell>
          <cell r="N31"/>
          <cell r="O31"/>
        </row>
        <row r="32">
          <cell r="B32">
            <v>3140011</v>
          </cell>
          <cell r="C32" t="str">
            <v>Md. Abu Taher Somrat</v>
          </cell>
          <cell r="D32" t="str">
            <v>Utility &amp; Maintenance</v>
          </cell>
          <cell r="E32" t="str">
            <v>Electrical</v>
          </cell>
          <cell r="F32" t="str">
            <v>Assistant Electrician</v>
          </cell>
          <cell r="G32">
            <v>43353</v>
          </cell>
          <cell r="H32" t="str">
            <v>Staff</v>
          </cell>
          <cell r="I32">
            <v>13080</v>
          </cell>
          <cell r="J32">
            <v>21800</v>
          </cell>
          <cell r="K32">
            <v>726.66666666666663</v>
          </cell>
          <cell r="L32">
            <v>436</v>
          </cell>
          <cell r="M32">
            <v>12</v>
          </cell>
          <cell r="N32"/>
          <cell r="O32"/>
        </row>
        <row r="33">
          <cell r="B33">
            <v>3090037</v>
          </cell>
          <cell r="C33" t="str">
            <v>Md. Khokon</v>
          </cell>
          <cell r="D33" t="str">
            <v>Admin</v>
          </cell>
          <cell r="E33" t="str">
            <v>Vehicle Management</v>
          </cell>
          <cell r="F33" t="str">
            <v>Driver</v>
          </cell>
          <cell r="G33">
            <v>45566</v>
          </cell>
          <cell r="H33" t="str">
            <v>Staff</v>
          </cell>
          <cell r="I33">
            <v>11600</v>
          </cell>
          <cell r="J33">
            <v>20000</v>
          </cell>
          <cell r="K33">
            <v>666.66666666666663</v>
          </cell>
          <cell r="L33">
            <v>386.66666666666669</v>
          </cell>
          <cell r="M33">
            <v>9.5</v>
          </cell>
          <cell r="N33"/>
          <cell r="O33"/>
        </row>
        <row r="34">
          <cell r="B34">
            <v>3070303</v>
          </cell>
          <cell r="C34" t="str">
            <v>Md. Monu Mia</v>
          </cell>
          <cell r="D34" t="str">
            <v>Admin</v>
          </cell>
          <cell r="E34" t="str">
            <v>Security</v>
          </cell>
          <cell r="F34" t="str">
            <v>Security Guard</v>
          </cell>
          <cell r="G34">
            <v>40360</v>
          </cell>
          <cell r="H34" t="str">
            <v>Staff</v>
          </cell>
          <cell r="I34">
            <v>13935</v>
          </cell>
          <cell r="J34">
            <v>23226</v>
          </cell>
          <cell r="K34">
            <v>774.2</v>
          </cell>
          <cell r="L34">
            <v>464.5</v>
          </cell>
          <cell r="M34" t="str">
            <v>12</v>
          </cell>
          <cell r="N34"/>
          <cell r="O34" t="str">
            <v>6</v>
          </cell>
        </row>
        <row r="35">
          <cell r="B35">
            <v>3070304</v>
          </cell>
          <cell r="C35" t="str">
            <v>Abel Sangma</v>
          </cell>
          <cell r="D35" t="str">
            <v>Admin</v>
          </cell>
          <cell r="E35" t="str">
            <v>Security</v>
          </cell>
          <cell r="F35" t="str">
            <v>Security Trainee Supervisor</v>
          </cell>
          <cell r="G35">
            <v>41415</v>
          </cell>
          <cell r="H35" t="str">
            <v>Staff</v>
          </cell>
          <cell r="I35">
            <v>14519</v>
          </cell>
          <cell r="J35">
            <v>24198</v>
          </cell>
          <cell r="K35">
            <v>806.6</v>
          </cell>
          <cell r="L35">
            <v>483.96666666666664</v>
          </cell>
          <cell r="M35" t="str">
            <v>12</v>
          </cell>
          <cell r="N35"/>
          <cell r="O35" t="str">
            <v>6</v>
          </cell>
        </row>
        <row r="36">
          <cell r="B36"/>
          <cell r="C36" t="str">
            <v/>
          </cell>
          <cell r="D36"/>
          <cell r="E36"/>
          <cell r="F36"/>
          <cell r="G36"/>
          <cell r="H36"/>
          <cell r="I36"/>
          <cell r="J36"/>
          <cell r="K36">
            <v>0</v>
          </cell>
          <cell r="L36">
            <v>0</v>
          </cell>
          <cell r="M36"/>
          <cell r="N36"/>
          <cell r="O36"/>
        </row>
        <row r="37">
          <cell r="B37"/>
          <cell r="C37" t="str">
            <v/>
          </cell>
          <cell r="D37"/>
          <cell r="E37"/>
          <cell r="F37"/>
          <cell r="G37"/>
          <cell r="H37"/>
          <cell r="I37"/>
          <cell r="J37"/>
          <cell r="K37">
            <v>0</v>
          </cell>
          <cell r="L37">
            <v>0</v>
          </cell>
          <cell r="M37"/>
          <cell r="N37"/>
          <cell r="O37"/>
        </row>
        <row r="38">
          <cell r="B38"/>
          <cell r="C38" t="str">
            <v/>
          </cell>
          <cell r="D38"/>
          <cell r="E38"/>
          <cell r="F38"/>
          <cell r="G38"/>
          <cell r="H38"/>
          <cell r="I38"/>
          <cell r="J38"/>
          <cell r="K38">
            <v>0</v>
          </cell>
          <cell r="L38">
            <v>0</v>
          </cell>
          <cell r="M38"/>
          <cell r="N38"/>
          <cell r="O38"/>
        </row>
        <row r="39">
          <cell r="B39"/>
          <cell r="C39" t="str">
            <v/>
          </cell>
          <cell r="D39"/>
          <cell r="E39"/>
          <cell r="F39"/>
          <cell r="G39"/>
          <cell r="H39"/>
          <cell r="I39"/>
          <cell r="J39"/>
          <cell r="K39">
            <v>0</v>
          </cell>
          <cell r="L39">
            <v>0</v>
          </cell>
          <cell r="M39"/>
          <cell r="N39"/>
          <cell r="O39"/>
        </row>
        <row r="40">
          <cell r="B40"/>
          <cell r="C40" t="str">
            <v/>
          </cell>
          <cell r="D40"/>
          <cell r="E40"/>
          <cell r="F40"/>
          <cell r="G40"/>
          <cell r="H40"/>
          <cell r="I40"/>
          <cell r="J40"/>
          <cell r="K40">
            <v>0</v>
          </cell>
          <cell r="L40">
            <v>0</v>
          </cell>
          <cell r="M40"/>
          <cell r="N40"/>
          <cell r="O40"/>
        </row>
        <row r="41">
          <cell r="B41"/>
          <cell r="C41" t="str">
            <v/>
          </cell>
          <cell r="D41"/>
          <cell r="E41"/>
          <cell r="F41"/>
          <cell r="G41"/>
          <cell r="H41"/>
          <cell r="I41"/>
          <cell r="J41"/>
          <cell r="K41">
            <v>0</v>
          </cell>
          <cell r="L41">
            <v>0</v>
          </cell>
          <cell r="M41"/>
          <cell r="N41"/>
          <cell r="O41"/>
        </row>
        <row r="42">
          <cell r="B42"/>
          <cell r="C42" t="str">
            <v/>
          </cell>
          <cell r="D42"/>
          <cell r="E42"/>
          <cell r="F42"/>
          <cell r="G42"/>
          <cell r="H42"/>
          <cell r="I42"/>
          <cell r="J42"/>
          <cell r="K42">
            <v>0</v>
          </cell>
          <cell r="L42">
            <v>0</v>
          </cell>
          <cell r="M42"/>
          <cell r="N42"/>
          <cell r="O42"/>
        </row>
        <row r="43">
          <cell r="B43"/>
          <cell r="C43" t="str">
            <v/>
          </cell>
          <cell r="D43"/>
          <cell r="E43"/>
          <cell r="F43"/>
          <cell r="G43"/>
          <cell r="H43"/>
          <cell r="I43"/>
          <cell r="J43"/>
          <cell r="K43">
            <v>0</v>
          </cell>
          <cell r="L43">
            <v>0</v>
          </cell>
          <cell r="M43"/>
          <cell r="N43"/>
          <cell r="O43"/>
        </row>
        <row r="44">
          <cell r="B44"/>
          <cell r="C44" t="str">
            <v/>
          </cell>
          <cell r="D44"/>
          <cell r="E44"/>
          <cell r="F44"/>
          <cell r="G44"/>
          <cell r="H44"/>
          <cell r="I44"/>
          <cell r="J44"/>
          <cell r="K44">
            <v>0</v>
          </cell>
          <cell r="L44">
            <v>0</v>
          </cell>
          <cell r="M44"/>
          <cell r="N44"/>
          <cell r="O44"/>
        </row>
        <row r="45">
          <cell r="B45"/>
          <cell r="C45" t="str">
            <v/>
          </cell>
          <cell r="D45"/>
          <cell r="E45"/>
          <cell r="F45"/>
          <cell r="G45"/>
          <cell r="H45"/>
          <cell r="I45"/>
          <cell r="J45"/>
          <cell r="K45">
            <v>0</v>
          </cell>
          <cell r="L45">
            <v>0</v>
          </cell>
          <cell r="M45"/>
          <cell r="N45"/>
          <cell r="O45"/>
        </row>
        <row r="46">
          <cell r="B46"/>
          <cell r="C46" t="str">
            <v/>
          </cell>
          <cell r="D46"/>
          <cell r="E46"/>
          <cell r="F46"/>
          <cell r="G46"/>
          <cell r="H46"/>
          <cell r="I46"/>
          <cell r="J46"/>
          <cell r="K46">
            <v>0</v>
          </cell>
          <cell r="L46">
            <v>0</v>
          </cell>
          <cell r="M46"/>
          <cell r="N46"/>
          <cell r="O46"/>
        </row>
        <row r="47">
          <cell r="B47"/>
          <cell r="C47" t="str">
            <v/>
          </cell>
          <cell r="D47"/>
          <cell r="E47"/>
          <cell r="F47"/>
          <cell r="G47"/>
          <cell r="H47"/>
          <cell r="I47"/>
          <cell r="J47"/>
          <cell r="K47">
            <v>0</v>
          </cell>
          <cell r="L47">
            <v>0</v>
          </cell>
          <cell r="M47"/>
          <cell r="N47"/>
          <cell r="O47"/>
        </row>
        <row r="48">
          <cell r="B48"/>
          <cell r="C48" t="str">
            <v/>
          </cell>
          <cell r="D48"/>
          <cell r="E48"/>
          <cell r="F48"/>
          <cell r="G48"/>
          <cell r="H48"/>
          <cell r="I48"/>
          <cell r="J48"/>
          <cell r="K48">
            <v>0</v>
          </cell>
          <cell r="L48">
            <v>0</v>
          </cell>
          <cell r="M48"/>
          <cell r="N48"/>
          <cell r="O48"/>
        </row>
        <row r="49">
          <cell r="B49"/>
          <cell r="C49" t="str">
            <v/>
          </cell>
          <cell r="D49"/>
          <cell r="E49"/>
          <cell r="F49"/>
          <cell r="G49"/>
          <cell r="H49"/>
          <cell r="I49"/>
          <cell r="J49"/>
          <cell r="K49">
            <v>0</v>
          </cell>
          <cell r="L49">
            <v>0</v>
          </cell>
          <cell r="M49"/>
          <cell r="N49"/>
          <cell r="O49"/>
        </row>
        <row r="50">
          <cell r="B50"/>
          <cell r="C50" t="str">
            <v/>
          </cell>
          <cell r="D50"/>
          <cell r="E50"/>
          <cell r="F50"/>
          <cell r="G50"/>
          <cell r="H50"/>
          <cell r="I50"/>
          <cell r="J50"/>
          <cell r="K50">
            <v>0</v>
          </cell>
          <cell r="L50">
            <v>0</v>
          </cell>
          <cell r="M50"/>
          <cell r="N50"/>
          <cell r="O50"/>
        </row>
        <row r="51">
          <cell r="B51"/>
          <cell r="C51" t="str">
            <v/>
          </cell>
          <cell r="D51"/>
          <cell r="E51"/>
          <cell r="F51"/>
          <cell r="G51"/>
          <cell r="H51"/>
          <cell r="I51"/>
          <cell r="J51"/>
          <cell r="K51">
            <v>0</v>
          </cell>
          <cell r="L51">
            <v>0</v>
          </cell>
          <cell r="M51"/>
          <cell r="N51"/>
          <cell r="O51"/>
        </row>
        <row r="52">
          <cell r="B52"/>
          <cell r="C52" t="str">
            <v/>
          </cell>
          <cell r="D52"/>
          <cell r="E52"/>
          <cell r="F52"/>
          <cell r="G52"/>
          <cell r="H52"/>
          <cell r="I52"/>
          <cell r="J52"/>
          <cell r="K52">
            <v>0</v>
          </cell>
          <cell r="L52">
            <v>0</v>
          </cell>
          <cell r="M52"/>
          <cell r="N52"/>
          <cell r="O52"/>
        </row>
        <row r="53">
          <cell r="B53"/>
          <cell r="C53" t="str">
            <v/>
          </cell>
          <cell r="D53"/>
          <cell r="E53"/>
          <cell r="F53"/>
          <cell r="G53"/>
          <cell r="H53"/>
          <cell r="I53"/>
          <cell r="J53"/>
          <cell r="K53">
            <v>0</v>
          </cell>
          <cell r="L53">
            <v>0</v>
          </cell>
          <cell r="M53"/>
          <cell r="N53"/>
          <cell r="O53"/>
        </row>
        <row r="54">
          <cell r="B54"/>
          <cell r="C54" t="str">
            <v/>
          </cell>
          <cell r="D54"/>
          <cell r="E54"/>
          <cell r="F54"/>
          <cell r="G54"/>
          <cell r="H54"/>
          <cell r="I54"/>
          <cell r="J54"/>
          <cell r="K54">
            <v>0</v>
          </cell>
          <cell r="L54">
            <v>0</v>
          </cell>
          <cell r="M54"/>
          <cell r="N54"/>
          <cell r="O54"/>
        </row>
        <row r="55">
          <cell r="B55"/>
          <cell r="C55" t="str">
            <v/>
          </cell>
          <cell r="D55"/>
          <cell r="E55"/>
          <cell r="F55"/>
          <cell r="G55"/>
          <cell r="H55"/>
          <cell r="I55"/>
          <cell r="J55"/>
          <cell r="K55">
            <v>0</v>
          </cell>
          <cell r="L55">
            <v>0</v>
          </cell>
          <cell r="M55"/>
          <cell r="N55"/>
          <cell r="O55"/>
        </row>
        <row r="56">
          <cell r="B56"/>
          <cell r="C56" t="str">
            <v/>
          </cell>
          <cell r="D56"/>
          <cell r="E56"/>
          <cell r="F56"/>
          <cell r="G56"/>
          <cell r="H56"/>
          <cell r="I56"/>
          <cell r="J56"/>
          <cell r="K56">
            <v>0</v>
          </cell>
          <cell r="L56">
            <v>0</v>
          </cell>
          <cell r="M56"/>
          <cell r="N56"/>
          <cell r="O56"/>
        </row>
        <row r="57">
          <cell r="B57"/>
          <cell r="C57" t="str">
            <v/>
          </cell>
          <cell r="D57"/>
          <cell r="E57"/>
          <cell r="F57"/>
          <cell r="G57"/>
          <cell r="H57"/>
          <cell r="I57"/>
          <cell r="J57"/>
          <cell r="K57">
            <v>0</v>
          </cell>
          <cell r="L57">
            <v>0</v>
          </cell>
          <cell r="M57"/>
          <cell r="N57"/>
          <cell r="O57"/>
        </row>
        <row r="58">
          <cell r="B58"/>
          <cell r="C58" t="str">
            <v/>
          </cell>
          <cell r="D58"/>
          <cell r="E58"/>
          <cell r="F58"/>
          <cell r="G58"/>
          <cell r="H58"/>
          <cell r="I58"/>
          <cell r="J58"/>
          <cell r="K58">
            <v>0</v>
          </cell>
          <cell r="L58">
            <v>0</v>
          </cell>
          <cell r="M58"/>
          <cell r="N58"/>
          <cell r="O58"/>
        </row>
        <row r="59">
          <cell r="B59"/>
          <cell r="C59" t="str">
            <v/>
          </cell>
          <cell r="D59"/>
          <cell r="E59"/>
          <cell r="F59"/>
          <cell r="G59"/>
          <cell r="H59"/>
          <cell r="I59"/>
          <cell r="J59"/>
          <cell r="K59">
            <v>0</v>
          </cell>
          <cell r="L59">
            <v>0</v>
          </cell>
          <cell r="M59"/>
          <cell r="N59"/>
          <cell r="O59"/>
        </row>
        <row r="60">
          <cell r="B60"/>
          <cell r="C60" t="str">
            <v/>
          </cell>
          <cell r="D60"/>
          <cell r="E60"/>
          <cell r="F60"/>
          <cell r="G60"/>
          <cell r="H60"/>
          <cell r="I60"/>
          <cell r="J60"/>
          <cell r="K60">
            <v>0</v>
          </cell>
          <cell r="L60">
            <v>0</v>
          </cell>
          <cell r="M60"/>
          <cell r="N60"/>
          <cell r="O60"/>
        </row>
        <row r="61">
          <cell r="B61"/>
          <cell r="C61" t="str">
            <v/>
          </cell>
          <cell r="D61"/>
          <cell r="E61"/>
          <cell r="F61"/>
          <cell r="G61"/>
          <cell r="H61"/>
          <cell r="I61"/>
          <cell r="J61"/>
          <cell r="K61">
            <v>0</v>
          </cell>
          <cell r="L61">
            <v>0</v>
          </cell>
          <cell r="M61"/>
          <cell r="N61"/>
          <cell r="O61"/>
        </row>
        <row r="62">
          <cell r="B62"/>
          <cell r="C62" t="str">
            <v/>
          </cell>
          <cell r="D62"/>
          <cell r="E62"/>
          <cell r="F62"/>
          <cell r="G62"/>
          <cell r="H62"/>
          <cell r="I62"/>
          <cell r="J62"/>
          <cell r="K62">
            <v>0</v>
          </cell>
          <cell r="L62">
            <v>0</v>
          </cell>
          <cell r="M62"/>
          <cell r="N62"/>
          <cell r="O62"/>
        </row>
        <row r="63">
          <cell r="B63"/>
          <cell r="C63" t="str">
            <v/>
          </cell>
          <cell r="D63"/>
          <cell r="E63"/>
          <cell r="F63"/>
          <cell r="G63"/>
          <cell r="H63"/>
          <cell r="I63"/>
          <cell r="J63"/>
          <cell r="K63">
            <v>0</v>
          </cell>
          <cell r="L63">
            <v>0</v>
          </cell>
          <cell r="M63"/>
          <cell r="N63"/>
          <cell r="O63"/>
        </row>
        <row r="64">
          <cell r="B64"/>
          <cell r="C64" t="str">
            <v/>
          </cell>
          <cell r="D64"/>
          <cell r="E64"/>
          <cell r="F64"/>
          <cell r="G64"/>
          <cell r="H64"/>
          <cell r="I64"/>
          <cell r="J64"/>
          <cell r="K64">
            <v>0</v>
          </cell>
          <cell r="L64">
            <v>0</v>
          </cell>
          <cell r="M64"/>
          <cell r="N64"/>
          <cell r="O64"/>
        </row>
        <row r="65">
          <cell r="B65"/>
          <cell r="C65" t="str">
            <v/>
          </cell>
          <cell r="D65"/>
          <cell r="E65"/>
          <cell r="F65"/>
          <cell r="G65"/>
          <cell r="H65"/>
          <cell r="I65"/>
          <cell r="J65"/>
          <cell r="K65">
            <v>0</v>
          </cell>
          <cell r="L65">
            <v>0</v>
          </cell>
          <cell r="M65"/>
          <cell r="N65"/>
          <cell r="O65"/>
        </row>
        <row r="66">
          <cell r="B66"/>
          <cell r="C66" t="str">
            <v/>
          </cell>
          <cell r="D66"/>
          <cell r="E66"/>
          <cell r="F66"/>
          <cell r="G66"/>
          <cell r="H66"/>
          <cell r="I66"/>
          <cell r="J66"/>
          <cell r="K66">
            <v>0</v>
          </cell>
          <cell r="L66">
            <v>0</v>
          </cell>
          <cell r="M66"/>
          <cell r="N66"/>
          <cell r="O66"/>
        </row>
        <row r="67">
          <cell r="B67"/>
          <cell r="C67" t="str">
            <v/>
          </cell>
          <cell r="D67"/>
          <cell r="E67"/>
          <cell r="F67"/>
          <cell r="G67"/>
          <cell r="H67"/>
          <cell r="I67"/>
          <cell r="J67"/>
          <cell r="K67">
            <v>0</v>
          </cell>
          <cell r="L67">
            <v>0</v>
          </cell>
          <cell r="M67"/>
          <cell r="N67"/>
          <cell r="O67"/>
        </row>
        <row r="68">
          <cell r="B68"/>
          <cell r="C68" t="str">
            <v/>
          </cell>
          <cell r="D68"/>
          <cell r="E68"/>
          <cell r="F68"/>
          <cell r="G68"/>
          <cell r="H68"/>
          <cell r="I68"/>
          <cell r="J68"/>
          <cell r="K68">
            <v>0</v>
          </cell>
          <cell r="L68">
            <v>0</v>
          </cell>
          <cell r="M68"/>
          <cell r="N68"/>
          <cell r="O68"/>
        </row>
        <row r="69">
          <cell r="B69"/>
          <cell r="C69" t="str">
            <v/>
          </cell>
          <cell r="D69"/>
          <cell r="E69"/>
          <cell r="F69"/>
          <cell r="G69"/>
          <cell r="H69"/>
          <cell r="I69"/>
          <cell r="J69"/>
          <cell r="K69">
            <v>0</v>
          </cell>
          <cell r="L69">
            <v>0</v>
          </cell>
          <cell r="M69"/>
          <cell r="N69"/>
          <cell r="O69"/>
        </row>
        <row r="70">
          <cell r="B70"/>
          <cell r="C70" t="str">
            <v/>
          </cell>
          <cell r="D70"/>
          <cell r="E70"/>
          <cell r="F70"/>
          <cell r="G70"/>
          <cell r="H70"/>
          <cell r="I70"/>
          <cell r="J70"/>
          <cell r="K70">
            <v>0</v>
          </cell>
          <cell r="L70">
            <v>0</v>
          </cell>
          <cell r="M70"/>
          <cell r="N70"/>
          <cell r="O70"/>
        </row>
        <row r="71">
          <cell r="B71"/>
          <cell r="C71" t="str">
            <v/>
          </cell>
          <cell r="D71"/>
          <cell r="E71"/>
          <cell r="F71"/>
          <cell r="G71"/>
          <cell r="H71"/>
          <cell r="I71"/>
          <cell r="J71"/>
          <cell r="K71">
            <v>0</v>
          </cell>
          <cell r="L71">
            <v>0</v>
          </cell>
          <cell r="M71"/>
          <cell r="N71"/>
          <cell r="O71"/>
        </row>
        <row r="72">
          <cell r="B72"/>
          <cell r="C72" t="str">
            <v/>
          </cell>
          <cell r="D72"/>
          <cell r="E72"/>
          <cell r="F72"/>
          <cell r="G72"/>
          <cell r="H72"/>
          <cell r="I72"/>
          <cell r="J72"/>
          <cell r="K72">
            <v>0</v>
          </cell>
          <cell r="L72">
            <v>0</v>
          </cell>
          <cell r="M72"/>
          <cell r="N72"/>
          <cell r="O72"/>
        </row>
        <row r="73">
          <cell r="B73"/>
          <cell r="C73" t="str">
            <v/>
          </cell>
          <cell r="D73"/>
          <cell r="E73"/>
          <cell r="F73"/>
          <cell r="G73"/>
          <cell r="H73"/>
          <cell r="I73"/>
          <cell r="J73"/>
          <cell r="K73">
            <v>0</v>
          </cell>
          <cell r="L73">
            <v>0</v>
          </cell>
          <cell r="M73"/>
          <cell r="N73"/>
          <cell r="O73"/>
        </row>
        <row r="74">
          <cell r="B74"/>
          <cell r="C74" t="str">
            <v/>
          </cell>
          <cell r="D74"/>
          <cell r="E74"/>
          <cell r="F74"/>
          <cell r="G74"/>
          <cell r="H74"/>
          <cell r="I74"/>
          <cell r="J74"/>
          <cell r="K74">
            <v>0</v>
          </cell>
          <cell r="L74">
            <v>0</v>
          </cell>
          <cell r="M74"/>
          <cell r="N74"/>
          <cell r="O74"/>
        </row>
        <row r="75">
          <cell r="B75"/>
          <cell r="C75" t="str">
            <v/>
          </cell>
          <cell r="D75"/>
          <cell r="E75"/>
          <cell r="F75"/>
          <cell r="G75"/>
          <cell r="H75"/>
          <cell r="I75"/>
          <cell r="J75"/>
          <cell r="K75">
            <v>0</v>
          </cell>
          <cell r="L75">
            <v>0</v>
          </cell>
          <cell r="M75"/>
          <cell r="N75"/>
          <cell r="O75"/>
        </row>
        <row r="76">
          <cell r="B76"/>
          <cell r="C76" t="str">
            <v/>
          </cell>
          <cell r="D76"/>
          <cell r="E76"/>
          <cell r="F76"/>
          <cell r="G76"/>
          <cell r="H76"/>
          <cell r="I76"/>
          <cell r="J76"/>
          <cell r="K76">
            <v>0</v>
          </cell>
          <cell r="L76">
            <v>0</v>
          </cell>
          <cell r="M76"/>
          <cell r="N76"/>
          <cell r="O76"/>
        </row>
        <row r="77">
          <cell r="B77"/>
          <cell r="C77" t="str">
            <v/>
          </cell>
          <cell r="D77"/>
          <cell r="E77"/>
          <cell r="F77"/>
          <cell r="G77"/>
          <cell r="H77"/>
          <cell r="I77"/>
          <cell r="J77"/>
          <cell r="K77">
            <v>0</v>
          </cell>
          <cell r="L77">
            <v>0</v>
          </cell>
          <cell r="M77"/>
          <cell r="N77"/>
          <cell r="O77"/>
        </row>
        <row r="78">
          <cell r="B78"/>
          <cell r="C78" t="str">
            <v/>
          </cell>
          <cell r="D78"/>
          <cell r="E78"/>
          <cell r="F78"/>
          <cell r="G78"/>
          <cell r="H78"/>
          <cell r="I78"/>
          <cell r="J78"/>
          <cell r="K78">
            <v>0</v>
          </cell>
          <cell r="L78">
            <v>0</v>
          </cell>
          <cell r="M78"/>
          <cell r="N78"/>
          <cell r="O78"/>
        </row>
        <row r="79">
          <cell r="B79"/>
          <cell r="C79" t="str">
            <v/>
          </cell>
          <cell r="D79"/>
          <cell r="E79"/>
          <cell r="F79"/>
          <cell r="G79"/>
          <cell r="H79"/>
          <cell r="I79"/>
          <cell r="J79"/>
          <cell r="K79">
            <v>0</v>
          </cell>
          <cell r="L79">
            <v>0</v>
          </cell>
          <cell r="M79"/>
          <cell r="N79"/>
          <cell r="O79"/>
        </row>
        <row r="80">
          <cell r="B80"/>
          <cell r="C80" t="str">
            <v/>
          </cell>
          <cell r="D80"/>
          <cell r="E80"/>
          <cell r="F80"/>
          <cell r="G80"/>
          <cell r="H80"/>
          <cell r="I80"/>
          <cell r="J80"/>
          <cell r="K80">
            <v>0</v>
          </cell>
          <cell r="L80">
            <v>0</v>
          </cell>
          <cell r="M80"/>
          <cell r="N80"/>
          <cell r="O80"/>
        </row>
        <row r="81">
          <cell r="B81"/>
          <cell r="C81" t="str">
            <v/>
          </cell>
          <cell r="D81"/>
          <cell r="E81"/>
          <cell r="F81"/>
          <cell r="G81"/>
          <cell r="H81"/>
          <cell r="I81"/>
          <cell r="J81"/>
          <cell r="K81">
            <v>0</v>
          </cell>
          <cell r="L81">
            <v>0</v>
          </cell>
          <cell r="M81"/>
          <cell r="N81"/>
          <cell r="O81"/>
        </row>
        <row r="82">
          <cell r="B82"/>
          <cell r="C82" t="str">
            <v/>
          </cell>
          <cell r="D82"/>
          <cell r="E82"/>
          <cell r="F82"/>
          <cell r="G82"/>
          <cell r="H82"/>
          <cell r="I82"/>
          <cell r="J82"/>
          <cell r="K82">
            <v>0</v>
          </cell>
          <cell r="L82">
            <v>0</v>
          </cell>
          <cell r="M82"/>
          <cell r="N82"/>
          <cell r="O82"/>
        </row>
        <row r="83">
          <cell r="B83"/>
          <cell r="C83" t="str">
            <v/>
          </cell>
          <cell r="D83"/>
          <cell r="E83"/>
          <cell r="F83"/>
          <cell r="G83"/>
          <cell r="H83"/>
          <cell r="I83"/>
          <cell r="J83"/>
          <cell r="K83">
            <v>0</v>
          </cell>
          <cell r="L83">
            <v>0</v>
          </cell>
          <cell r="M83"/>
          <cell r="N83"/>
          <cell r="O83"/>
        </row>
        <row r="84">
          <cell r="B84"/>
          <cell r="C84" t="str">
            <v/>
          </cell>
          <cell r="D84"/>
          <cell r="E84"/>
          <cell r="F84"/>
          <cell r="G84"/>
          <cell r="H84"/>
          <cell r="I84"/>
          <cell r="J84"/>
          <cell r="K84">
            <v>0</v>
          </cell>
          <cell r="L84">
            <v>0</v>
          </cell>
          <cell r="M84"/>
          <cell r="N84"/>
          <cell r="O84"/>
        </row>
        <row r="85">
          <cell r="B85"/>
          <cell r="C85" t="str">
            <v/>
          </cell>
          <cell r="D85"/>
          <cell r="E85"/>
          <cell r="F85"/>
          <cell r="G85"/>
          <cell r="H85"/>
          <cell r="I85"/>
          <cell r="J85"/>
          <cell r="K85">
            <v>0</v>
          </cell>
          <cell r="L85">
            <v>0</v>
          </cell>
          <cell r="M85"/>
          <cell r="N85"/>
          <cell r="O85"/>
        </row>
        <row r="86">
          <cell r="B86"/>
          <cell r="C86" t="str">
            <v/>
          </cell>
          <cell r="D86"/>
          <cell r="E86"/>
          <cell r="F86"/>
          <cell r="G86"/>
          <cell r="H86"/>
          <cell r="I86"/>
          <cell r="J86"/>
          <cell r="K86">
            <v>0</v>
          </cell>
          <cell r="L86">
            <v>0</v>
          </cell>
          <cell r="M86"/>
          <cell r="N86"/>
          <cell r="O86"/>
        </row>
        <row r="87">
          <cell r="B87"/>
          <cell r="C87" t="str">
            <v/>
          </cell>
          <cell r="D87"/>
          <cell r="E87"/>
          <cell r="F87"/>
          <cell r="G87"/>
          <cell r="H87"/>
          <cell r="I87"/>
          <cell r="J87"/>
          <cell r="K87">
            <v>0</v>
          </cell>
          <cell r="L87">
            <v>0</v>
          </cell>
          <cell r="M87"/>
          <cell r="N87"/>
          <cell r="O87"/>
        </row>
        <row r="88">
          <cell r="B88"/>
          <cell r="C88" t="str">
            <v/>
          </cell>
          <cell r="D88"/>
          <cell r="E88"/>
          <cell r="F88"/>
          <cell r="G88"/>
          <cell r="H88"/>
          <cell r="I88"/>
          <cell r="J88"/>
          <cell r="K88">
            <v>0</v>
          </cell>
          <cell r="L88">
            <v>0</v>
          </cell>
          <cell r="M88"/>
          <cell r="N88"/>
          <cell r="O88"/>
        </row>
        <row r="89">
          <cell r="B89"/>
          <cell r="C89" t="str">
            <v/>
          </cell>
          <cell r="D89"/>
          <cell r="E89"/>
          <cell r="F89"/>
          <cell r="G89"/>
          <cell r="H89"/>
          <cell r="I89"/>
          <cell r="J89"/>
          <cell r="K89">
            <v>0</v>
          </cell>
          <cell r="L89">
            <v>0</v>
          </cell>
          <cell r="M89"/>
          <cell r="N89"/>
          <cell r="O89"/>
        </row>
        <row r="90">
          <cell r="B90"/>
          <cell r="C90" t="str">
            <v/>
          </cell>
          <cell r="D90"/>
          <cell r="E90"/>
          <cell r="F90"/>
          <cell r="G90"/>
          <cell r="H90"/>
          <cell r="I90"/>
          <cell r="J90"/>
          <cell r="K90">
            <v>0</v>
          </cell>
          <cell r="L90">
            <v>0</v>
          </cell>
          <cell r="M90"/>
          <cell r="N90"/>
          <cell r="O90"/>
        </row>
        <row r="91">
          <cell r="B91"/>
          <cell r="C91" t="str">
            <v/>
          </cell>
          <cell r="D91"/>
          <cell r="E91"/>
          <cell r="F91"/>
          <cell r="G91"/>
          <cell r="H91"/>
          <cell r="I91"/>
          <cell r="J91"/>
          <cell r="K91">
            <v>0</v>
          </cell>
          <cell r="L91">
            <v>0</v>
          </cell>
          <cell r="M91"/>
          <cell r="N91"/>
          <cell r="O91"/>
        </row>
        <row r="92">
          <cell r="B92"/>
          <cell r="C92" t="str">
            <v/>
          </cell>
          <cell r="D92"/>
          <cell r="E92"/>
          <cell r="F92"/>
          <cell r="G92"/>
          <cell r="H92"/>
          <cell r="I92"/>
          <cell r="J92"/>
          <cell r="K92">
            <v>0</v>
          </cell>
          <cell r="L92">
            <v>0</v>
          </cell>
          <cell r="M92"/>
          <cell r="N92"/>
          <cell r="O92"/>
        </row>
        <row r="93">
          <cell r="B93"/>
          <cell r="C93" t="str">
            <v/>
          </cell>
          <cell r="D93"/>
          <cell r="E93"/>
          <cell r="F93"/>
          <cell r="G93"/>
          <cell r="H93"/>
          <cell r="I93"/>
          <cell r="J93"/>
          <cell r="K93">
            <v>0</v>
          </cell>
          <cell r="L93">
            <v>0</v>
          </cell>
          <cell r="M93"/>
          <cell r="N93"/>
          <cell r="O93"/>
        </row>
        <row r="94">
          <cell r="B94"/>
          <cell r="C94" t="str">
            <v/>
          </cell>
          <cell r="D94"/>
          <cell r="E94"/>
          <cell r="F94"/>
          <cell r="G94"/>
          <cell r="H94"/>
          <cell r="I94"/>
          <cell r="J94"/>
          <cell r="K94">
            <v>0</v>
          </cell>
          <cell r="L94">
            <v>0</v>
          </cell>
          <cell r="M94"/>
          <cell r="N94"/>
          <cell r="O94"/>
        </row>
      </sheetData>
      <sheetData sheetId="2"/>
      <sheetData sheetId="3">
        <row r="7">
          <cell r="B7">
            <v>2070229</v>
          </cell>
          <cell r="C7" t="str">
            <v>Daniyel Tazu</v>
          </cell>
          <cell r="D7" t="str">
            <v>Admin</v>
          </cell>
          <cell r="E7" t="str">
            <v>Security</v>
          </cell>
          <cell r="F7" t="str">
            <v>Security Guard</v>
          </cell>
          <cell r="G7">
            <v>42117</v>
          </cell>
          <cell r="H7" t="str">
            <v>Staff</v>
          </cell>
          <cell r="I7">
            <v>12145</v>
          </cell>
          <cell r="J7">
            <v>20241</v>
          </cell>
          <cell r="K7">
            <v>674.7</v>
          </cell>
          <cell r="L7">
            <v>404.83333333333331</v>
          </cell>
          <cell r="M7">
            <v>10</v>
          </cell>
          <cell r="N7"/>
          <cell r="O7"/>
        </row>
        <row r="8">
          <cell r="B8">
            <v>2070230</v>
          </cell>
          <cell r="C8" t="str">
            <v>Abdullah</v>
          </cell>
          <cell r="D8" t="str">
            <v>Admin</v>
          </cell>
          <cell r="E8" t="str">
            <v>Security</v>
          </cell>
          <cell r="F8" t="str">
            <v>Security Guard</v>
          </cell>
          <cell r="G8">
            <v>42126</v>
          </cell>
          <cell r="H8" t="str">
            <v>Staff</v>
          </cell>
          <cell r="I8">
            <v>12145</v>
          </cell>
          <cell r="J8">
            <v>20241</v>
          </cell>
          <cell r="K8">
            <v>674.7</v>
          </cell>
          <cell r="L8">
            <v>404.83333333333331</v>
          </cell>
          <cell r="M8">
            <v>12</v>
          </cell>
          <cell r="N8"/>
          <cell r="O8"/>
        </row>
        <row r="9">
          <cell r="B9">
            <v>2070234</v>
          </cell>
          <cell r="C9" t="str">
            <v>Asraful Alam</v>
          </cell>
          <cell r="D9" t="str">
            <v>Admin</v>
          </cell>
          <cell r="E9" t="str">
            <v>Security</v>
          </cell>
          <cell r="F9" t="str">
            <v>Security Guard</v>
          </cell>
          <cell r="G9">
            <v>42764</v>
          </cell>
          <cell r="H9" t="str">
            <v>Staff</v>
          </cell>
          <cell r="I9">
            <v>11875</v>
          </cell>
          <cell r="J9">
            <v>19792</v>
          </cell>
          <cell r="K9">
            <v>659.73333333333335</v>
          </cell>
          <cell r="L9">
            <v>395.83333333333331</v>
          </cell>
          <cell r="M9">
            <v>12</v>
          </cell>
          <cell r="N9"/>
          <cell r="O9"/>
        </row>
        <row r="10">
          <cell r="B10">
            <v>2070256</v>
          </cell>
          <cell r="C10" t="str">
            <v>Md. Safi Uddin Bhuyan Spikar</v>
          </cell>
          <cell r="D10" t="str">
            <v>Admin</v>
          </cell>
          <cell r="E10" t="str">
            <v>Security</v>
          </cell>
          <cell r="F10" t="str">
            <v>Security Guard</v>
          </cell>
          <cell r="G10">
            <v>43001</v>
          </cell>
          <cell r="H10" t="str">
            <v>Staff</v>
          </cell>
          <cell r="I10">
            <v>10793</v>
          </cell>
          <cell r="J10">
            <v>17989</v>
          </cell>
          <cell r="K10">
            <v>599.63333333333333</v>
          </cell>
          <cell r="L10">
            <v>359.76666666666665</v>
          </cell>
          <cell r="M10">
            <v>10</v>
          </cell>
          <cell r="N10"/>
          <cell r="O10"/>
        </row>
        <row r="11">
          <cell r="B11">
            <v>2070283</v>
          </cell>
          <cell r="C11" t="str">
            <v>Md. Wares Uddin</v>
          </cell>
          <cell r="D11" t="str">
            <v>Admin</v>
          </cell>
          <cell r="E11" t="str">
            <v>Security</v>
          </cell>
          <cell r="F11" t="str">
            <v>Security Guard</v>
          </cell>
          <cell r="G11">
            <v>43135</v>
          </cell>
          <cell r="H11" t="str">
            <v>Staff</v>
          </cell>
          <cell r="I11">
            <v>10546</v>
          </cell>
          <cell r="J11">
            <v>17576</v>
          </cell>
          <cell r="K11">
            <v>585.86666666666667</v>
          </cell>
          <cell r="L11">
            <v>351.53333333333336</v>
          </cell>
          <cell r="M11">
            <v>10</v>
          </cell>
          <cell r="N11"/>
          <cell r="O11"/>
        </row>
        <row r="12">
          <cell r="B12">
            <v>2070365</v>
          </cell>
          <cell r="C12" t="str">
            <v>Md. Ruhul Amin</v>
          </cell>
          <cell r="D12" t="str">
            <v>Admin</v>
          </cell>
          <cell r="E12" t="str">
            <v>Security</v>
          </cell>
          <cell r="F12" t="str">
            <v>Security Guard</v>
          </cell>
          <cell r="G12">
            <v>42950</v>
          </cell>
          <cell r="H12" t="str">
            <v>Staff</v>
          </cell>
          <cell r="I12">
            <v>10793</v>
          </cell>
          <cell r="J12">
            <v>17989</v>
          </cell>
          <cell r="K12">
            <v>599.63333333333333</v>
          </cell>
          <cell r="L12">
            <v>359.76666666666665</v>
          </cell>
          <cell r="M12">
            <v>10</v>
          </cell>
          <cell r="N12"/>
          <cell r="O12"/>
        </row>
        <row r="13">
          <cell r="B13">
            <v>2070513</v>
          </cell>
          <cell r="C13" t="str">
            <v>Md. Ripan Miah</v>
          </cell>
          <cell r="D13" t="str">
            <v>Admin</v>
          </cell>
          <cell r="E13" t="str">
            <v>Security</v>
          </cell>
          <cell r="F13" t="str">
            <v>Security Guard</v>
          </cell>
          <cell r="G13">
            <v>45049</v>
          </cell>
          <cell r="H13" t="str">
            <v>Staff</v>
          </cell>
          <cell r="I13">
            <v>9941</v>
          </cell>
          <cell r="J13">
            <v>16568</v>
          </cell>
          <cell r="K13">
            <v>552.26666666666665</v>
          </cell>
          <cell r="L13">
            <v>331.36666666666667</v>
          </cell>
          <cell r="M13">
            <v>10</v>
          </cell>
          <cell r="N13"/>
          <cell r="O13"/>
        </row>
        <row r="14">
          <cell r="B14">
            <v>2070513</v>
          </cell>
          <cell r="C14" t="str">
            <v>Md. Ripan Miah</v>
          </cell>
          <cell r="D14" t="str">
            <v>Admin</v>
          </cell>
          <cell r="E14" t="str">
            <v>Security</v>
          </cell>
          <cell r="F14" t="str">
            <v>Security Guard</v>
          </cell>
          <cell r="G14">
            <v>45049</v>
          </cell>
          <cell r="H14" t="str">
            <v>Staff</v>
          </cell>
          <cell r="I14">
            <v>9941</v>
          </cell>
          <cell r="J14">
            <v>16568</v>
          </cell>
          <cell r="K14">
            <v>552.26666666666665</v>
          </cell>
          <cell r="L14">
            <v>331.36666666666667</v>
          </cell>
          <cell r="M14">
            <v>12</v>
          </cell>
          <cell r="N14"/>
          <cell r="O14"/>
        </row>
        <row r="15">
          <cell r="B15">
            <v>2070528</v>
          </cell>
          <cell r="C15" t="str">
            <v>Md. Jahangir Alam</v>
          </cell>
          <cell r="D15" t="str">
            <v>Admin</v>
          </cell>
          <cell r="E15" t="str">
            <v>Security</v>
          </cell>
          <cell r="F15" t="str">
            <v>Security Guard</v>
          </cell>
          <cell r="G15">
            <v>45206</v>
          </cell>
          <cell r="H15" t="str">
            <v>Staff</v>
          </cell>
          <cell r="I15">
            <v>9941</v>
          </cell>
          <cell r="J15">
            <v>16568</v>
          </cell>
          <cell r="K15">
            <v>552.26666666666665</v>
          </cell>
          <cell r="L15">
            <v>331.36666666666667</v>
          </cell>
          <cell r="M15">
            <v>10</v>
          </cell>
          <cell r="N15"/>
          <cell r="O15"/>
        </row>
        <row r="16">
          <cell r="B16">
            <v>2070529</v>
          </cell>
          <cell r="C16" t="str">
            <v>Md. Golam Robbani</v>
          </cell>
          <cell r="D16" t="str">
            <v>Admin</v>
          </cell>
          <cell r="E16" t="str">
            <v>Security</v>
          </cell>
          <cell r="F16" t="str">
            <v>Security Guard</v>
          </cell>
          <cell r="G16">
            <v>45215</v>
          </cell>
          <cell r="H16" t="str">
            <v>Staff</v>
          </cell>
          <cell r="I16">
            <v>9941</v>
          </cell>
          <cell r="J16">
            <v>16568</v>
          </cell>
          <cell r="K16">
            <v>552.26666666666665</v>
          </cell>
          <cell r="L16">
            <v>331.36666666666667</v>
          </cell>
          <cell r="M16">
            <v>10</v>
          </cell>
          <cell r="N16"/>
          <cell r="O16"/>
        </row>
        <row r="17">
          <cell r="B17">
            <v>2070536</v>
          </cell>
          <cell r="C17" t="str">
            <v>Md. Hossen Ali</v>
          </cell>
          <cell r="D17" t="str">
            <v>Admin</v>
          </cell>
          <cell r="E17" t="str">
            <v>Security</v>
          </cell>
          <cell r="F17" t="str">
            <v xml:space="preserve">Security Supervisor </v>
          </cell>
          <cell r="G17">
            <v>45353</v>
          </cell>
          <cell r="H17" t="str">
            <v>Staff</v>
          </cell>
          <cell r="I17">
            <v>11142</v>
          </cell>
          <cell r="J17">
            <v>18570</v>
          </cell>
          <cell r="K17">
            <v>619</v>
          </cell>
          <cell r="L17">
            <v>371.4</v>
          </cell>
          <cell r="M17">
            <v>10</v>
          </cell>
          <cell r="N17"/>
          <cell r="O17"/>
        </row>
        <row r="18">
          <cell r="B18">
            <v>2070552</v>
          </cell>
          <cell r="C18" t="str">
            <v>Md. Tohidul Islam</v>
          </cell>
          <cell r="D18" t="str">
            <v>Admin</v>
          </cell>
          <cell r="E18" t="str">
            <v>Security</v>
          </cell>
          <cell r="F18" t="str">
            <v>Junior Security Guard</v>
          </cell>
          <cell r="G18">
            <v>45678</v>
          </cell>
          <cell r="H18" t="str">
            <v>Staff</v>
          </cell>
          <cell r="I18">
            <v>8700</v>
          </cell>
          <cell r="J18">
            <v>14500</v>
          </cell>
          <cell r="K18">
            <v>483.33333333333331</v>
          </cell>
          <cell r="L18">
            <v>290</v>
          </cell>
          <cell r="M18">
            <v>12</v>
          </cell>
          <cell r="N18"/>
          <cell r="O18"/>
        </row>
        <row r="19">
          <cell r="B19">
            <v>2070203</v>
          </cell>
          <cell r="C19" t="str">
            <v>Md. Abul Hossain</v>
          </cell>
          <cell r="D19" t="str">
            <v>Admin</v>
          </cell>
          <cell r="E19" t="str">
            <v>Security</v>
          </cell>
          <cell r="F19" t="str">
            <v>Security Guard</v>
          </cell>
          <cell r="G19">
            <v>42918</v>
          </cell>
          <cell r="H19" t="str">
            <v>Staff</v>
          </cell>
          <cell r="I19">
            <v>10793</v>
          </cell>
          <cell r="J19">
            <v>17989</v>
          </cell>
          <cell r="K19">
            <v>599.63333333333333</v>
          </cell>
          <cell r="L19">
            <v>359.76666666666665</v>
          </cell>
          <cell r="M19">
            <v>12</v>
          </cell>
          <cell r="N19"/>
          <cell r="O19">
            <v>6</v>
          </cell>
        </row>
        <row r="20">
          <cell r="B20">
            <v>2070229</v>
          </cell>
          <cell r="C20" t="str">
            <v>Daniyel Tazu</v>
          </cell>
          <cell r="D20" t="str">
            <v>Admin</v>
          </cell>
          <cell r="E20" t="str">
            <v>Security</v>
          </cell>
          <cell r="F20" t="str">
            <v>Security Guard</v>
          </cell>
          <cell r="G20">
            <v>42117</v>
          </cell>
          <cell r="H20" t="str">
            <v>Staff</v>
          </cell>
          <cell r="I20">
            <v>12145</v>
          </cell>
          <cell r="J20">
            <v>20241</v>
          </cell>
          <cell r="K20">
            <v>674.7</v>
          </cell>
          <cell r="L20">
            <v>404.83333333333331</v>
          </cell>
          <cell r="M20">
            <v>8</v>
          </cell>
          <cell r="N20"/>
          <cell r="O20"/>
        </row>
        <row r="21">
          <cell r="B21">
            <v>2070230</v>
          </cell>
          <cell r="C21" t="str">
            <v>Abdullah</v>
          </cell>
          <cell r="D21" t="str">
            <v>Admin</v>
          </cell>
          <cell r="E21" t="str">
            <v>Security</v>
          </cell>
          <cell r="F21" t="str">
            <v>Security Guard</v>
          </cell>
          <cell r="G21">
            <v>42126</v>
          </cell>
          <cell r="H21" t="str">
            <v>Staff</v>
          </cell>
          <cell r="I21">
            <v>12145</v>
          </cell>
          <cell r="J21">
            <v>20241</v>
          </cell>
          <cell r="K21">
            <v>674.7</v>
          </cell>
          <cell r="L21">
            <v>404.83333333333331</v>
          </cell>
          <cell r="M21">
            <v>12</v>
          </cell>
          <cell r="N21"/>
          <cell r="O21">
            <v>6</v>
          </cell>
        </row>
        <row r="22">
          <cell r="B22">
            <v>2070234</v>
          </cell>
          <cell r="C22" t="str">
            <v>Asraful Alam</v>
          </cell>
          <cell r="D22" t="str">
            <v>Admin</v>
          </cell>
          <cell r="E22" t="str">
            <v>Security</v>
          </cell>
          <cell r="F22" t="str">
            <v>Security Guard</v>
          </cell>
          <cell r="G22">
            <v>42764</v>
          </cell>
          <cell r="H22" t="str">
            <v>Staff</v>
          </cell>
          <cell r="I22">
            <v>11875</v>
          </cell>
          <cell r="J22">
            <v>19792</v>
          </cell>
          <cell r="K22">
            <v>659.73333333333335</v>
          </cell>
          <cell r="L22">
            <v>395.83333333333331</v>
          </cell>
          <cell r="M22">
            <v>12</v>
          </cell>
          <cell r="N22"/>
          <cell r="O22">
            <v>6</v>
          </cell>
        </row>
        <row r="23">
          <cell r="B23">
            <v>2070256</v>
          </cell>
          <cell r="C23" t="str">
            <v>Md. Safi Uddin Bhuyan Spikar</v>
          </cell>
          <cell r="D23" t="str">
            <v>Admin</v>
          </cell>
          <cell r="E23" t="str">
            <v>Security</v>
          </cell>
          <cell r="F23" t="str">
            <v>Security Guard</v>
          </cell>
          <cell r="G23">
            <v>43001</v>
          </cell>
          <cell r="H23" t="str">
            <v>Staff</v>
          </cell>
          <cell r="I23">
            <v>10793</v>
          </cell>
          <cell r="J23">
            <v>17989</v>
          </cell>
          <cell r="K23">
            <v>599.63333333333333</v>
          </cell>
          <cell r="L23">
            <v>359.76666666666665</v>
          </cell>
          <cell r="M23">
            <v>8</v>
          </cell>
          <cell r="N23"/>
          <cell r="O23"/>
        </row>
        <row r="24">
          <cell r="B24">
            <v>2070365</v>
          </cell>
          <cell r="C24" t="str">
            <v>Md. Ruhul Amin</v>
          </cell>
          <cell r="D24" t="str">
            <v>Admin</v>
          </cell>
          <cell r="E24" t="str">
            <v>Security</v>
          </cell>
          <cell r="F24" t="str">
            <v>Security Guard</v>
          </cell>
          <cell r="G24">
            <v>42950</v>
          </cell>
          <cell r="H24" t="str">
            <v>Staff</v>
          </cell>
          <cell r="I24">
            <v>10793</v>
          </cell>
          <cell r="J24">
            <v>17989</v>
          </cell>
          <cell r="K24">
            <v>599.63333333333333</v>
          </cell>
          <cell r="L24">
            <v>359.76666666666665</v>
          </cell>
          <cell r="M24">
            <v>8</v>
          </cell>
          <cell r="N24"/>
          <cell r="O24"/>
        </row>
        <row r="25">
          <cell r="B25">
            <v>2070513</v>
          </cell>
          <cell r="C25" t="str">
            <v>Md. Ripan Miah</v>
          </cell>
          <cell r="D25" t="str">
            <v>Admin</v>
          </cell>
          <cell r="E25" t="str">
            <v>Security</v>
          </cell>
          <cell r="F25" t="str">
            <v>Security Guard</v>
          </cell>
          <cell r="G25">
            <v>45049</v>
          </cell>
          <cell r="H25" t="str">
            <v>Staff</v>
          </cell>
          <cell r="I25">
            <v>9941</v>
          </cell>
          <cell r="J25">
            <v>16568</v>
          </cell>
          <cell r="K25">
            <v>552.26666666666665</v>
          </cell>
          <cell r="L25">
            <v>331.36666666666667</v>
          </cell>
          <cell r="M25">
            <v>8</v>
          </cell>
          <cell r="N25"/>
          <cell r="O25"/>
        </row>
        <row r="26">
          <cell r="B26">
            <v>2070514</v>
          </cell>
          <cell r="C26" t="str">
            <v>Md. Dalwer Hossain</v>
          </cell>
          <cell r="D26" t="str">
            <v>Admin</v>
          </cell>
          <cell r="E26" t="str">
            <v>Security</v>
          </cell>
          <cell r="F26" t="str">
            <v>Security Guard</v>
          </cell>
          <cell r="G26">
            <v>45049</v>
          </cell>
          <cell r="H26" t="str">
            <v>Staff</v>
          </cell>
          <cell r="I26">
            <v>9941</v>
          </cell>
          <cell r="J26">
            <v>16568</v>
          </cell>
          <cell r="K26">
            <v>552.26666666666665</v>
          </cell>
          <cell r="L26">
            <v>331.36666666666667</v>
          </cell>
          <cell r="M26">
            <v>12</v>
          </cell>
          <cell r="N26"/>
          <cell r="O26">
            <v>6</v>
          </cell>
        </row>
        <row r="27">
          <cell r="B27">
            <v>2070528</v>
          </cell>
          <cell r="C27" t="str">
            <v>Md. Jahangir Alam</v>
          </cell>
          <cell r="D27" t="str">
            <v>Admin</v>
          </cell>
          <cell r="E27" t="str">
            <v>Security</v>
          </cell>
          <cell r="F27" t="str">
            <v>Security Guard</v>
          </cell>
          <cell r="G27">
            <v>45206</v>
          </cell>
          <cell r="H27" t="str">
            <v>Staff</v>
          </cell>
          <cell r="I27">
            <v>9941</v>
          </cell>
          <cell r="J27">
            <v>16568</v>
          </cell>
          <cell r="K27">
            <v>552.26666666666665</v>
          </cell>
          <cell r="L27">
            <v>331.36666666666667</v>
          </cell>
          <cell r="M27">
            <v>8</v>
          </cell>
          <cell r="N27"/>
          <cell r="O27"/>
        </row>
        <row r="28">
          <cell r="B28">
            <v>2070529</v>
          </cell>
          <cell r="C28" t="str">
            <v>Md. Golam Robbani</v>
          </cell>
          <cell r="D28" t="str">
            <v>Admin</v>
          </cell>
          <cell r="E28" t="str">
            <v>Security</v>
          </cell>
          <cell r="F28" t="str">
            <v>Security Guard</v>
          </cell>
          <cell r="G28">
            <v>45215</v>
          </cell>
          <cell r="H28" t="str">
            <v>Staff</v>
          </cell>
          <cell r="I28">
            <v>9941</v>
          </cell>
          <cell r="J28">
            <v>16568</v>
          </cell>
          <cell r="K28">
            <v>552.26666666666665</v>
          </cell>
          <cell r="L28">
            <v>331.36666666666667</v>
          </cell>
          <cell r="M28">
            <v>8</v>
          </cell>
          <cell r="N28"/>
          <cell r="O28"/>
        </row>
        <row r="29">
          <cell r="B29">
            <v>2070536</v>
          </cell>
          <cell r="C29" t="str">
            <v>Md. Hossen Ali</v>
          </cell>
          <cell r="D29" t="str">
            <v>Admin</v>
          </cell>
          <cell r="E29" t="str">
            <v>Security</v>
          </cell>
          <cell r="F29" t="str">
            <v xml:space="preserve">Security Supervisor </v>
          </cell>
          <cell r="G29">
            <v>45353</v>
          </cell>
          <cell r="H29" t="str">
            <v>Staff</v>
          </cell>
          <cell r="I29">
            <v>11142</v>
          </cell>
          <cell r="J29">
            <v>18570</v>
          </cell>
          <cell r="K29">
            <v>619</v>
          </cell>
          <cell r="L29">
            <v>371.4</v>
          </cell>
          <cell r="M29">
            <v>8</v>
          </cell>
          <cell r="N29"/>
          <cell r="O29"/>
        </row>
        <row r="30">
          <cell r="B30">
            <v>2070550</v>
          </cell>
          <cell r="C30" t="str">
            <v>Md. Zabed Ali</v>
          </cell>
          <cell r="D30" t="str">
            <v>Admin</v>
          </cell>
          <cell r="E30" t="str">
            <v>Security</v>
          </cell>
          <cell r="F30" t="str">
            <v>Junior Security Guard</v>
          </cell>
          <cell r="G30">
            <v>45678</v>
          </cell>
          <cell r="H30" t="str">
            <v>Staff</v>
          </cell>
          <cell r="I30">
            <v>8700</v>
          </cell>
          <cell r="J30">
            <v>14500</v>
          </cell>
          <cell r="K30">
            <v>483.33333333333331</v>
          </cell>
          <cell r="L30">
            <v>290</v>
          </cell>
          <cell r="M30">
            <v>8</v>
          </cell>
          <cell r="N30"/>
          <cell r="O30"/>
        </row>
        <row r="31">
          <cell r="B31">
            <v>2070552</v>
          </cell>
          <cell r="C31" t="str">
            <v>Md. Tohidul Islam</v>
          </cell>
          <cell r="D31" t="str">
            <v>Admin</v>
          </cell>
          <cell r="E31" t="str">
            <v>Security</v>
          </cell>
          <cell r="F31" t="str">
            <v>Junior Security Guard</v>
          </cell>
          <cell r="G31">
            <v>45678</v>
          </cell>
          <cell r="H31" t="str">
            <v>Staff</v>
          </cell>
          <cell r="I31">
            <v>8700</v>
          </cell>
          <cell r="J31">
            <v>14500</v>
          </cell>
          <cell r="K31">
            <v>483.33333333333331</v>
          </cell>
          <cell r="L31">
            <v>290</v>
          </cell>
          <cell r="M31">
            <v>12</v>
          </cell>
          <cell r="N31"/>
          <cell r="O31">
            <v>6</v>
          </cell>
        </row>
        <row r="32">
          <cell r="B32">
            <v>2140023</v>
          </cell>
          <cell r="C32" t="str">
            <v>Md. Shah Alam</v>
          </cell>
          <cell r="D32" t="str">
            <v>Utility &amp; Maintenance</v>
          </cell>
          <cell r="E32" t="str">
            <v>Electrical</v>
          </cell>
          <cell r="F32" t="str">
            <v>Asst. Service Engineer Generator</v>
          </cell>
          <cell r="G32">
            <v>44571</v>
          </cell>
          <cell r="H32" t="str">
            <v>Staff</v>
          </cell>
          <cell r="I32">
            <v>19130</v>
          </cell>
          <cell r="J32">
            <v>31884</v>
          </cell>
          <cell r="K32">
            <v>1062.8</v>
          </cell>
          <cell r="L32">
            <v>637.66666666666663</v>
          </cell>
          <cell r="M32"/>
          <cell r="N32" t="str">
            <v>4</v>
          </cell>
          <cell r="O32"/>
        </row>
        <row r="33">
          <cell r="B33">
            <v>2070203</v>
          </cell>
          <cell r="C33" t="str">
            <v>Md. Abul Hossain</v>
          </cell>
          <cell r="D33" t="str">
            <v>Admin</v>
          </cell>
          <cell r="E33" t="str">
            <v>Security</v>
          </cell>
          <cell r="F33" t="str">
            <v>Security Guard</v>
          </cell>
          <cell r="G33">
            <v>42918</v>
          </cell>
          <cell r="H33" t="str">
            <v>Staff</v>
          </cell>
          <cell r="I33">
            <v>10793</v>
          </cell>
          <cell r="J33">
            <v>17989</v>
          </cell>
          <cell r="K33">
            <v>599.63333333333333</v>
          </cell>
          <cell r="L33">
            <v>359.76666666666665</v>
          </cell>
          <cell r="M33">
            <v>8</v>
          </cell>
          <cell r="N33"/>
          <cell r="O33"/>
        </row>
        <row r="34">
          <cell r="B34">
            <v>2070229</v>
          </cell>
          <cell r="C34" t="str">
            <v>Daniyel Tazu</v>
          </cell>
          <cell r="D34" t="str">
            <v>Admin</v>
          </cell>
          <cell r="E34" t="str">
            <v>Security</v>
          </cell>
          <cell r="F34" t="str">
            <v>Security Guard</v>
          </cell>
          <cell r="G34">
            <v>42117</v>
          </cell>
          <cell r="H34" t="str">
            <v>Staff</v>
          </cell>
          <cell r="I34">
            <v>12145</v>
          </cell>
          <cell r="J34">
            <v>20241</v>
          </cell>
          <cell r="K34">
            <v>674.7</v>
          </cell>
          <cell r="L34">
            <v>404.83333333333331</v>
          </cell>
          <cell r="M34">
            <v>12</v>
          </cell>
          <cell r="N34"/>
          <cell r="O34">
            <v>6</v>
          </cell>
        </row>
        <row r="35">
          <cell r="B35">
            <v>2070234</v>
          </cell>
          <cell r="C35" t="str">
            <v>Asraful Alam</v>
          </cell>
          <cell r="D35" t="str">
            <v>Admin</v>
          </cell>
          <cell r="E35" t="str">
            <v>Security</v>
          </cell>
          <cell r="F35" t="str">
            <v>Security Guard</v>
          </cell>
          <cell r="G35">
            <v>42764</v>
          </cell>
          <cell r="H35" t="str">
            <v>Staff</v>
          </cell>
          <cell r="I35">
            <v>11875</v>
          </cell>
          <cell r="J35">
            <v>19792</v>
          </cell>
          <cell r="K35">
            <v>659.73333333333335</v>
          </cell>
          <cell r="L35">
            <v>395.83333333333331</v>
          </cell>
          <cell r="M35">
            <v>8</v>
          </cell>
          <cell r="N35"/>
          <cell r="O35"/>
        </row>
        <row r="36">
          <cell r="B36">
            <v>2070256</v>
          </cell>
          <cell r="C36" t="str">
            <v>Md. Safi Uddin Bhuyan Spikar</v>
          </cell>
          <cell r="D36" t="str">
            <v>Admin</v>
          </cell>
          <cell r="E36" t="str">
            <v>Security</v>
          </cell>
          <cell r="F36" t="str">
            <v>Security Guard</v>
          </cell>
          <cell r="G36">
            <v>43001</v>
          </cell>
          <cell r="H36" t="str">
            <v>Staff</v>
          </cell>
          <cell r="I36">
            <v>10793</v>
          </cell>
          <cell r="J36">
            <v>17989</v>
          </cell>
          <cell r="K36">
            <v>599.63333333333333</v>
          </cell>
          <cell r="L36">
            <v>359.76666666666665</v>
          </cell>
          <cell r="M36">
            <v>12</v>
          </cell>
          <cell r="N36"/>
          <cell r="O36">
            <v>6</v>
          </cell>
        </row>
        <row r="37">
          <cell r="B37">
            <v>2070283</v>
          </cell>
          <cell r="C37" t="str">
            <v>Md. Wares Uddin</v>
          </cell>
          <cell r="D37" t="str">
            <v>Admin</v>
          </cell>
          <cell r="E37" t="str">
            <v>Security</v>
          </cell>
          <cell r="F37" t="str">
            <v>Security Guard</v>
          </cell>
          <cell r="G37">
            <v>43135</v>
          </cell>
          <cell r="H37" t="str">
            <v>Staff</v>
          </cell>
          <cell r="I37">
            <v>10546</v>
          </cell>
          <cell r="J37">
            <v>17576</v>
          </cell>
          <cell r="K37">
            <v>585.86666666666667</v>
          </cell>
          <cell r="L37">
            <v>351.53333333333336</v>
          </cell>
          <cell r="M37">
            <v>12</v>
          </cell>
          <cell r="N37"/>
          <cell r="O37">
            <v>6</v>
          </cell>
        </row>
        <row r="38">
          <cell r="B38">
            <v>2070365</v>
          </cell>
          <cell r="C38" t="str">
            <v>Md. Ruhul Amin</v>
          </cell>
          <cell r="D38" t="str">
            <v>Admin</v>
          </cell>
          <cell r="E38" t="str">
            <v>Security</v>
          </cell>
          <cell r="F38" t="str">
            <v>Security Guard</v>
          </cell>
          <cell r="G38">
            <v>42950</v>
          </cell>
          <cell r="H38" t="str">
            <v>Staff</v>
          </cell>
          <cell r="I38">
            <v>10793</v>
          </cell>
          <cell r="J38">
            <v>17989</v>
          </cell>
          <cell r="K38">
            <v>599.63333333333333</v>
          </cell>
          <cell r="L38">
            <v>359.76666666666665</v>
          </cell>
          <cell r="M38">
            <v>12</v>
          </cell>
          <cell r="N38"/>
          <cell r="O38">
            <v>6</v>
          </cell>
        </row>
        <row r="39">
          <cell r="B39">
            <v>2070514</v>
          </cell>
          <cell r="C39" t="str">
            <v>Md. Dalwer Hossain</v>
          </cell>
          <cell r="D39" t="str">
            <v>Admin</v>
          </cell>
          <cell r="E39" t="str">
            <v>Security</v>
          </cell>
          <cell r="F39" t="str">
            <v>Security Guard</v>
          </cell>
          <cell r="G39">
            <v>45049</v>
          </cell>
          <cell r="H39" t="str">
            <v>Staff</v>
          </cell>
          <cell r="I39">
            <v>9941</v>
          </cell>
          <cell r="J39">
            <v>16568</v>
          </cell>
          <cell r="K39">
            <v>552.26666666666665</v>
          </cell>
          <cell r="L39">
            <v>331.36666666666667</v>
          </cell>
          <cell r="M39">
            <v>8</v>
          </cell>
          <cell r="N39"/>
          <cell r="O39"/>
        </row>
        <row r="40">
          <cell r="B40">
            <v>2070528</v>
          </cell>
          <cell r="C40" t="str">
            <v>Md. Jahangir Alam</v>
          </cell>
          <cell r="D40" t="str">
            <v>Admin</v>
          </cell>
          <cell r="E40" t="str">
            <v>Security</v>
          </cell>
          <cell r="F40" t="str">
            <v>Security Guard</v>
          </cell>
          <cell r="G40">
            <v>45206</v>
          </cell>
          <cell r="H40" t="str">
            <v>Staff</v>
          </cell>
          <cell r="I40">
            <v>9941</v>
          </cell>
          <cell r="J40">
            <v>16568</v>
          </cell>
          <cell r="K40">
            <v>552.26666666666665</v>
          </cell>
          <cell r="L40">
            <v>331.36666666666667</v>
          </cell>
          <cell r="M40">
            <v>12</v>
          </cell>
          <cell r="N40"/>
          <cell r="O40">
            <v>6</v>
          </cell>
        </row>
        <row r="41">
          <cell r="B41">
            <v>2070535</v>
          </cell>
          <cell r="C41" t="str">
            <v>Md. Rubel Islam</v>
          </cell>
          <cell r="D41" t="str">
            <v>Admin</v>
          </cell>
          <cell r="E41" t="str">
            <v>Security</v>
          </cell>
          <cell r="F41" t="str">
            <v>Junior Security Guard</v>
          </cell>
          <cell r="G41">
            <v>45339</v>
          </cell>
          <cell r="H41" t="str">
            <v>Staff</v>
          </cell>
          <cell r="I41">
            <v>9000</v>
          </cell>
          <cell r="J41">
            <v>15000</v>
          </cell>
          <cell r="K41">
            <v>500</v>
          </cell>
          <cell r="L41">
            <v>300</v>
          </cell>
          <cell r="M41">
            <v>8</v>
          </cell>
          <cell r="N41"/>
          <cell r="O41"/>
        </row>
        <row r="42">
          <cell r="B42">
            <v>2070536</v>
          </cell>
          <cell r="C42" t="str">
            <v>Md. Hossen Ali</v>
          </cell>
          <cell r="D42" t="str">
            <v>Admin</v>
          </cell>
          <cell r="E42" t="str">
            <v>Security</v>
          </cell>
          <cell r="F42" t="str">
            <v xml:space="preserve">Security Supervisor </v>
          </cell>
          <cell r="G42">
            <v>45353</v>
          </cell>
          <cell r="H42" t="str">
            <v>Staff</v>
          </cell>
          <cell r="I42">
            <v>11142</v>
          </cell>
          <cell r="J42">
            <v>18570</v>
          </cell>
          <cell r="K42">
            <v>619</v>
          </cell>
          <cell r="L42">
            <v>371.4</v>
          </cell>
          <cell r="M42">
            <v>12</v>
          </cell>
          <cell r="N42"/>
          <cell r="O42">
            <v>6</v>
          </cell>
        </row>
        <row r="43">
          <cell r="B43">
            <v>2070549</v>
          </cell>
          <cell r="C43" t="str">
            <v>Md. Omor Faruk</v>
          </cell>
          <cell r="D43" t="str">
            <v>Admin</v>
          </cell>
          <cell r="E43" t="str">
            <v>Security</v>
          </cell>
          <cell r="F43" t="str">
            <v>Junior Security Guard</v>
          </cell>
          <cell r="G43">
            <v>45678</v>
          </cell>
          <cell r="H43" t="str">
            <v>Staff</v>
          </cell>
          <cell r="I43">
            <v>8700</v>
          </cell>
          <cell r="J43">
            <v>14500</v>
          </cell>
          <cell r="K43">
            <v>483.33333333333331</v>
          </cell>
          <cell r="L43">
            <v>290</v>
          </cell>
          <cell r="M43">
            <v>12</v>
          </cell>
          <cell r="N43"/>
          <cell r="O43">
            <v>6</v>
          </cell>
        </row>
        <row r="44">
          <cell r="B44">
            <v>2070550</v>
          </cell>
          <cell r="C44" t="str">
            <v>Md. Zabed Ali</v>
          </cell>
          <cell r="D44" t="str">
            <v>Admin</v>
          </cell>
          <cell r="E44" t="str">
            <v>Security</v>
          </cell>
          <cell r="F44" t="str">
            <v>Junior Security Guard</v>
          </cell>
          <cell r="G44">
            <v>45678</v>
          </cell>
          <cell r="H44" t="str">
            <v>Staff</v>
          </cell>
          <cell r="I44">
            <v>8700</v>
          </cell>
          <cell r="J44">
            <v>14500</v>
          </cell>
          <cell r="K44">
            <v>483.33333333333331</v>
          </cell>
          <cell r="L44">
            <v>290</v>
          </cell>
          <cell r="M44">
            <v>12</v>
          </cell>
          <cell r="N44"/>
          <cell r="O44">
            <v>6</v>
          </cell>
        </row>
        <row r="45">
          <cell r="B45">
            <v>2070552</v>
          </cell>
          <cell r="C45" t="str">
            <v>Md. Tohidul Islam</v>
          </cell>
          <cell r="D45" t="str">
            <v>Admin</v>
          </cell>
          <cell r="E45" t="str">
            <v>Security</v>
          </cell>
          <cell r="F45" t="str">
            <v>Junior Security Guard</v>
          </cell>
          <cell r="G45">
            <v>45678</v>
          </cell>
          <cell r="H45" t="str">
            <v>Staff</v>
          </cell>
          <cell r="I45">
            <v>8700</v>
          </cell>
          <cell r="J45">
            <v>14500</v>
          </cell>
          <cell r="K45">
            <v>483.33333333333331</v>
          </cell>
          <cell r="L45">
            <v>290</v>
          </cell>
          <cell r="M45">
            <v>8</v>
          </cell>
          <cell r="N45"/>
          <cell r="O45"/>
        </row>
        <row r="46">
          <cell r="B46">
            <v>2070203</v>
          </cell>
          <cell r="C46" t="str">
            <v>Md. Abul Hossain</v>
          </cell>
          <cell r="D46" t="str">
            <v>Admin</v>
          </cell>
          <cell r="E46" t="str">
            <v>Security</v>
          </cell>
          <cell r="F46" t="str">
            <v>Security Guard</v>
          </cell>
          <cell r="G46">
            <v>42918</v>
          </cell>
          <cell r="H46" t="str">
            <v>Staff</v>
          </cell>
          <cell r="I46">
            <v>10793</v>
          </cell>
          <cell r="J46">
            <v>17989</v>
          </cell>
          <cell r="K46">
            <v>599.63333333333333</v>
          </cell>
          <cell r="L46">
            <v>359.76666666666665</v>
          </cell>
          <cell r="M46">
            <v>12</v>
          </cell>
          <cell r="N46"/>
          <cell r="O46">
            <v>6</v>
          </cell>
        </row>
        <row r="47">
          <cell r="B47">
            <v>2070229</v>
          </cell>
          <cell r="C47" t="str">
            <v>Daniyel Tazu</v>
          </cell>
          <cell r="D47" t="str">
            <v>Admin</v>
          </cell>
          <cell r="E47" t="str">
            <v>Security</v>
          </cell>
          <cell r="F47" t="str">
            <v>Security Guard</v>
          </cell>
          <cell r="G47">
            <v>42117</v>
          </cell>
          <cell r="H47" t="str">
            <v>Staff</v>
          </cell>
          <cell r="I47">
            <v>12145</v>
          </cell>
          <cell r="J47">
            <v>20241</v>
          </cell>
          <cell r="K47">
            <v>674.7</v>
          </cell>
          <cell r="L47">
            <v>404.83333333333331</v>
          </cell>
          <cell r="M47">
            <v>8</v>
          </cell>
          <cell r="N47"/>
          <cell r="O47"/>
        </row>
        <row r="48">
          <cell r="B48">
            <v>2070230</v>
          </cell>
          <cell r="C48" t="str">
            <v>Abdullah</v>
          </cell>
          <cell r="D48" t="str">
            <v>Admin</v>
          </cell>
          <cell r="E48" t="str">
            <v>Security</v>
          </cell>
          <cell r="F48" t="str">
            <v>Security Guard</v>
          </cell>
          <cell r="G48">
            <v>42126</v>
          </cell>
          <cell r="H48" t="str">
            <v>Staff</v>
          </cell>
          <cell r="I48">
            <v>12145</v>
          </cell>
          <cell r="J48">
            <v>20241</v>
          </cell>
          <cell r="K48">
            <v>674.7</v>
          </cell>
          <cell r="L48">
            <v>404.83333333333331</v>
          </cell>
          <cell r="M48">
            <v>12</v>
          </cell>
          <cell r="N48"/>
          <cell r="O48">
            <v>6</v>
          </cell>
        </row>
        <row r="49">
          <cell r="B49">
            <v>2070234</v>
          </cell>
          <cell r="C49" t="str">
            <v>Asraful Alam</v>
          </cell>
          <cell r="D49" t="str">
            <v>Admin</v>
          </cell>
          <cell r="E49" t="str">
            <v>Security</v>
          </cell>
          <cell r="F49" t="str">
            <v>Security Guard</v>
          </cell>
          <cell r="G49">
            <v>42764</v>
          </cell>
          <cell r="H49" t="str">
            <v>Staff</v>
          </cell>
          <cell r="I49">
            <v>11875</v>
          </cell>
          <cell r="J49">
            <v>19792</v>
          </cell>
          <cell r="K49">
            <v>659.73333333333335</v>
          </cell>
          <cell r="L49">
            <v>395.83333333333331</v>
          </cell>
          <cell r="M49">
            <v>12</v>
          </cell>
          <cell r="N49"/>
          <cell r="O49">
            <v>6</v>
          </cell>
        </row>
        <row r="50">
          <cell r="B50">
            <v>2070256</v>
          </cell>
          <cell r="C50" t="str">
            <v>Md. Safi Uddin Bhuyan Spikar</v>
          </cell>
          <cell r="D50" t="str">
            <v>Admin</v>
          </cell>
          <cell r="E50" t="str">
            <v>Security</v>
          </cell>
          <cell r="F50" t="str">
            <v>Security Guard</v>
          </cell>
          <cell r="G50">
            <v>43001</v>
          </cell>
          <cell r="H50" t="str">
            <v>Staff</v>
          </cell>
          <cell r="I50">
            <v>10793</v>
          </cell>
          <cell r="J50">
            <v>17989</v>
          </cell>
          <cell r="K50">
            <v>599.63333333333333</v>
          </cell>
          <cell r="L50">
            <v>359.76666666666665</v>
          </cell>
          <cell r="M50">
            <v>8</v>
          </cell>
          <cell r="N50"/>
          <cell r="O50"/>
        </row>
        <row r="51">
          <cell r="B51">
            <v>2070283</v>
          </cell>
          <cell r="C51" t="str">
            <v>Md. Wares Uddin</v>
          </cell>
          <cell r="D51" t="str">
            <v>Admin</v>
          </cell>
          <cell r="E51" t="str">
            <v>Security</v>
          </cell>
          <cell r="F51" t="str">
            <v>Security Guard</v>
          </cell>
          <cell r="G51">
            <v>43135</v>
          </cell>
          <cell r="H51" t="str">
            <v>Staff</v>
          </cell>
          <cell r="I51">
            <v>10546</v>
          </cell>
          <cell r="J51">
            <v>17576</v>
          </cell>
          <cell r="K51">
            <v>585.86666666666667</v>
          </cell>
          <cell r="L51">
            <v>351.53333333333336</v>
          </cell>
          <cell r="M51">
            <v>8</v>
          </cell>
          <cell r="N51"/>
          <cell r="O51"/>
        </row>
        <row r="52">
          <cell r="B52">
            <v>2070365</v>
          </cell>
          <cell r="C52" t="str">
            <v>Md. Ruhul Amin</v>
          </cell>
          <cell r="D52" t="str">
            <v>Admin</v>
          </cell>
          <cell r="E52" t="str">
            <v>Security</v>
          </cell>
          <cell r="F52" t="str">
            <v>Security Guard</v>
          </cell>
          <cell r="G52">
            <v>42950</v>
          </cell>
          <cell r="H52" t="str">
            <v>Staff</v>
          </cell>
          <cell r="I52">
            <v>10793</v>
          </cell>
          <cell r="J52">
            <v>17989</v>
          </cell>
          <cell r="K52">
            <v>599.63333333333333</v>
          </cell>
          <cell r="L52">
            <v>359.76666666666665</v>
          </cell>
          <cell r="M52">
            <v>8</v>
          </cell>
          <cell r="N52"/>
          <cell r="O52"/>
        </row>
        <row r="53">
          <cell r="B53">
            <v>2070513</v>
          </cell>
          <cell r="C53" t="str">
            <v>Md. Ripan Miah</v>
          </cell>
          <cell r="D53" t="str">
            <v>Admin</v>
          </cell>
          <cell r="E53" t="str">
            <v>Security</v>
          </cell>
          <cell r="F53" t="str">
            <v>Security Guard</v>
          </cell>
          <cell r="G53">
            <v>45049</v>
          </cell>
          <cell r="H53" t="str">
            <v>Staff</v>
          </cell>
          <cell r="I53">
            <v>9941</v>
          </cell>
          <cell r="J53">
            <v>16568</v>
          </cell>
          <cell r="K53">
            <v>552.26666666666665</v>
          </cell>
          <cell r="L53">
            <v>331.36666666666667</v>
          </cell>
          <cell r="M53">
            <v>8</v>
          </cell>
          <cell r="N53"/>
          <cell r="O53"/>
        </row>
        <row r="54">
          <cell r="B54">
            <v>2070514</v>
          </cell>
          <cell r="C54" t="str">
            <v>Md. Dalwer Hossain</v>
          </cell>
          <cell r="D54" t="str">
            <v>Admin</v>
          </cell>
          <cell r="E54" t="str">
            <v>Security</v>
          </cell>
          <cell r="F54" t="str">
            <v>Security Guard</v>
          </cell>
          <cell r="G54">
            <v>45049</v>
          </cell>
          <cell r="H54" t="str">
            <v>Staff</v>
          </cell>
          <cell r="I54">
            <v>9941</v>
          </cell>
          <cell r="J54">
            <v>16568</v>
          </cell>
          <cell r="K54">
            <v>552.26666666666665</v>
          </cell>
          <cell r="L54">
            <v>331.36666666666667</v>
          </cell>
          <cell r="M54">
            <v>12</v>
          </cell>
          <cell r="N54"/>
          <cell r="O54">
            <v>6</v>
          </cell>
        </row>
        <row r="55">
          <cell r="B55">
            <v>2070529</v>
          </cell>
          <cell r="C55" t="str">
            <v>Md. Golam Robbani</v>
          </cell>
          <cell r="D55" t="str">
            <v>Admin</v>
          </cell>
          <cell r="E55" t="str">
            <v>Security</v>
          </cell>
          <cell r="F55" t="str">
            <v>Security Guard</v>
          </cell>
          <cell r="G55">
            <v>45215</v>
          </cell>
          <cell r="H55" t="str">
            <v>Staff</v>
          </cell>
          <cell r="I55">
            <v>9941</v>
          </cell>
          <cell r="J55">
            <v>16568</v>
          </cell>
          <cell r="K55">
            <v>552.26666666666665</v>
          </cell>
          <cell r="L55">
            <v>331.36666666666667</v>
          </cell>
          <cell r="M55">
            <v>8</v>
          </cell>
          <cell r="N55"/>
          <cell r="O55"/>
        </row>
        <row r="56">
          <cell r="B56">
            <v>2070535</v>
          </cell>
          <cell r="C56" t="str">
            <v>Md. Rubel Islam</v>
          </cell>
          <cell r="D56" t="str">
            <v>Admin</v>
          </cell>
          <cell r="E56" t="str">
            <v>Security</v>
          </cell>
          <cell r="F56" t="str">
            <v>Junior Security Guard</v>
          </cell>
          <cell r="G56">
            <v>45339</v>
          </cell>
          <cell r="H56" t="str">
            <v>Staff</v>
          </cell>
          <cell r="I56">
            <v>9000</v>
          </cell>
          <cell r="J56">
            <v>15000</v>
          </cell>
          <cell r="K56">
            <v>500</v>
          </cell>
          <cell r="L56">
            <v>300</v>
          </cell>
          <cell r="M56">
            <v>12</v>
          </cell>
          <cell r="N56"/>
          <cell r="O56">
            <v>6</v>
          </cell>
        </row>
        <row r="57">
          <cell r="B57">
            <v>2070536</v>
          </cell>
          <cell r="C57" t="str">
            <v>Md. Hossen Ali</v>
          </cell>
          <cell r="D57" t="str">
            <v>Admin</v>
          </cell>
          <cell r="E57" t="str">
            <v>Security</v>
          </cell>
          <cell r="F57" t="str">
            <v xml:space="preserve">Security Supervisor </v>
          </cell>
          <cell r="G57">
            <v>45353</v>
          </cell>
          <cell r="H57" t="str">
            <v>Staff</v>
          </cell>
          <cell r="I57">
            <v>11142</v>
          </cell>
          <cell r="J57">
            <v>18570</v>
          </cell>
          <cell r="K57">
            <v>619</v>
          </cell>
          <cell r="L57">
            <v>371.4</v>
          </cell>
          <cell r="M57">
            <v>8</v>
          </cell>
          <cell r="N57"/>
          <cell r="O57"/>
        </row>
        <row r="58">
          <cell r="B58">
            <v>2070550</v>
          </cell>
          <cell r="C58" t="str">
            <v>Md. Zabed Ali</v>
          </cell>
          <cell r="D58" t="str">
            <v>Admin</v>
          </cell>
          <cell r="E58" t="str">
            <v>Security</v>
          </cell>
          <cell r="F58" t="str">
            <v>Junior Security Guard</v>
          </cell>
          <cell r="G58">
            <v>45678</v>
          </cell>
          <cell r="H58" t="str">
            <v>Staff</v>
          </cell>
          <cell r="I58">
            <v>8700</v>
          </cell>
          <cell r="J58">
            <v>14500</v>
          </cell>
          <cell r="K58">
            <v>483.33333333333331</v>
          </cell>
          <cell r="L58">
            <v>290</v>
          </cell>
          <cell r="M58">
            <v>8</v>
          </cell>
          <cell r="N58"/>
          <cell r="O58"/>
        </row>
        <row r="59">
          <cell r="B59">
            <v>2070552</v>
          </cell>
          <cell r="C59" t="str">
            <v>Md. Tohidul Islam</v>
          </cell>
          <cell r="D59" t="str">
            <v>Admin</v>
          </cell>
          <cell r="E59" t="str">
            <v>Security</v>
          </cell>
          <cell r="F59" t="str">
            <v>Junior Security Guard</v>
          </cell>
          <cell r="G59">
            <v>45678</v>
          </cell>
          <cell r="H59" t="str">
            <v>Staff</v>
          </cell>
          <cell r="I59">
            <v>8700</v>
          </cell>
          <cell r="J59">
            <v>14500</v>
          </cell>
          <cell r="K59">
            <v>483.33333333333331</v>
          </cell>
          <cell r="L59">
            <v>290</v>
          </cell>
          <cell r="M59">
            <v>8</v>
          </cell>
          <cell r="N59"/>
          <cell r="O59"/>
        </row>
        <row r="60">
          <cell r="B60">
            <v>2140024</v>
          </cell>
          <cell r="C60" t="str">
            <v>Md. Rasel Miah</v>
          </cell>
          <cell r="D60" t="str">
            <v>Utility &amp; Maintenance</v>
          </cell>
          <cell r="E60" t="str">
            <v>Mechanical</v>
          </cell>
          <cell r="F60" t="str">
            <v>Assistant Fitter Man</v>
          </cell>
          <cell r="G60">
            <v>45050</v>
          </cell>
          <cell r="H60" t="str">
            <v>Staff</v>
          </cell>
          <cell r="I60">
            <v>9675</v>
          </cell>
          <cell r="J60">
            <v>16126</v>
          </cell>
          <cell r="K60">
            <v>537.5333333333333</v>
          </cell>
          <cell r="L60">
            <v>322.5</v>
          </cell>
          <cell r="M60">
            <v>12</v>
          </cell>
          <cell r="N60"/>
          <cell r="O60"/>
        </row>
        <row r="61">
          <cell r="B61">
            <v>2140023</v>
          </cell>
          <cell r="C61" t="str">
            <v>Md. Shah Alam</v>
          </cell>
          <cell r="D61" t="str">
            <v>Utility &amp; Maintenance</v>
          </cell>
          <cell r="E61" t="str">
            <v>Electrical</v>
          </cell>
          <cell r="F61" t="str">
            <v>Asst. Service Engineer Generator</v>
          </cell>
          <cell r="G61">
            <v>44571</v>
          </cell>
          <cell r="H61" t="str">
            <v>Staff</v>
          </cell>
          <cell r="I61">
            <v>19130</v>
          </cell>
          <cell r="J61">
            <v>31884</v>
          </cell>
          <cell r="K61">
            <v>1062.8</v>
          </cell>
          <cell r="L61">
            <v>637.66666666666663</v>
          </cell>
          <cell r="M61"/>
          <cell r="N61">
            <v>8</v>
          </cell>
          <cell r="O61">
            <v>4</v>
          </cell>
        </row>
        <row r="62">
          <cell r="B62">
            <v>2160042</v>
          </cell>
          <cell r="C62" t="str">
            <v>Md. Ziyarul Islam</v>
          </cell>
          <cell r="D62" t="str">
            <v>Admin</v>
          </cell>
          <cell r="E62" t="str">
            <v>Vehicle Management</v>
          </cell>
          <cell r="F62" t="str">
            <v>Forklifr Driver(Trainee)</v>
          </cell>
          <cell r="G62">
            <v>45180</v>
          </cell>
          <cell r="H62" t="str">
            <v>Staff</v>
          </cell>
          <cell r="I62">
            <v>9543</v>
          </cell>
          <cell r="J62">
            <v>15904</v>
          </cell>
          <cell r="K62">
            <v>530.13333333333333</v>
          </cell>
          <cell r="L62">
            <v>318.10000000000002</v>
          </cell>
          <cell r="M62">
            <v>12</v>
          </cell>
          <cell r="N62"/>
          <cell r="O62"/>
        </row>
        <row r="63">
          <cell r="B63">
            <v>2150001</v>
          </cell>
          <cell r="C63" t="str">
            <v>Bagdad Hossain</v>
          </cell>
          <cell r="D63" t="str">
            <v>Store</v>
          </cell>
          <cell r="E63" t="str">
            <v>Store</v>
          </cell>
          <cell r="F63" t="str">
            <v>Asst. Executive (Sales &amp; Marketing)</v>
          </cell>
          <cell r="G63">
            <v>43801</v>
          </cell>
          <cell r="H63" t="str">
            <v>Staff</v>
          </cell>
          <cell r="I63">
            <v>14764</v>
          </cell>
          <cell r="J63">
            <v>24606</v>
          </cell>
          <cell r="K63">
            <v>820.2</v>
          </cell>
          <cell r="L63">
            <v>492.13333333333333</v>
          </cell>
          <cell r="M63">
            <v>12</v>
          </cell>
          <cell r="N63"/>
          <cell r="O63"/>
        </row>
        <row r="64">
          <cell r="B64">
            <v>2070013</v>
          </cell>
          <cell r="C64" t="str">
            <v>Md. Harunnor Rashid Sikder</v>
          </cell>
          <cell r="D64" t="str">
            <v>Admin</v>
          </cell>
          <cell r="E64" t="str">
            <v>Supports</v>
          </cell>
          <cell r="F64" t="str">
            <v>Sample Machinist</v>
          </cell>
          <cell r="G64">
            <v>37043</v>
          </cell>
          <cell r="H64" t="str">
            <v>Staff</v>
          </cell>
          <cell r="I64">
            <v>15277</v>
          </cell>
          <cell r="J64">
            <v>25461</v>
          </cell>
          <cell r="K64">
            <v>848.7</v>
          </cell>
          <cell r="L64">
            <v>509.23333333333335</v>
          </cell>
          <cell r="M64">
            <v>5.5</v>
          </cell>
          <cell r="N64"/>
          <cell r="O64"/>
        </row>
        <row r="65">
          <cell r="B65">
            <v>2070203</v>
          </cell>
          <cell r="C65" t="str">
            <v>Md. Abul Hossain</v>
          </cell>
          <cell r="D65" t="str">
            <v>Admin</v>
          </cell>
          <cell r="E65" t="str">
            <v>Security</v>
          </cell>
          <cell r="F65" t="str">
            <v>Security Guard</v>
          </cell>
          <cell r="G65">
            <v>42918</v>
          </cell>
          <cell r="H65" t="str">
            <v>Staff</v>
          </cell>
          <cell r="I65">
            <v>10793</v>
          </cell>
          <cell r="J65">
            <v>17989</v>
          </cell>
          <cell r="K65">
            <v>599.63333333333333</v>
          </cell>
          <cell r="L65">
            <v>359.76666666666665</v>
          </cell>
          <cell r="M65">
            <v>8</v>
          </cell>
          <cell r="N65"/>
          <cell r="O65"/>
        </row>
        <row r="66">
          <cell r="B66">
            <v>2070229</v>
          </cell>
          <cell r="C66" t="str">
            <v>Daniyel Tazu</v>
          </cell>
          <cell r="D66" t="str">
            <v>Admin</v>
          </cell>
          <cell r="E66" t="str">
            <v>Security</v>
          </cell>
          <cell r="F66" t="str">
            <v>Security Guard</v>
          </cell>
          <cell r="G66">
            <v>42117</v>
          </cell>
          <cell r="H66" t="str">
            <v>Staff</v>
          </cell>
          <cell r="I66">
            <v>12145</v>
          </cell>
          <cell r="J66">
            <v>20241</v>
          </cell>
          <cell r="K66">
            <v>674.7</v>
          </cell>
          <cell r="L66">
            <v>404.83333333333331</v>
          </cell>
          <cell r="M66">
            <v>12</v>
          </cell>
          <cell r="N66"/>
          <cell r="O66">
            <v>6</v>
          </cell>
        </row>
        <row r="67">
          <cell r="B67">
            <v>2070230</v>
          </cell>
          <cell r="C67" t="str">
            <v>Abdullah</v>
          </cell>
          <cell r="D67" t="str">
            <v>Admin</v>
          </cell>
          <cell r="E67" t="str">
            <v>Security</v>
          </cell>
          <cell r="F67" t="str">
            <v>Security Guard</v>
          </cell>
          <cell r="G67">
            <v>42126</v>
          </cell>
          <cell r="H67" t="str">
            <v>Staff</v>
          </cell>
          <cell r="I67">
            <v>12145</v>
          </cell>
          <cell r="J67">
            <v>20241</v>
          </cell>
          <cell r="K67">
            <v>674.7</v>
          </cell>
          <cell r="L67">
            <v>404.83333333333331</v>
          </cell>
          <cell r="M67">
            <v>8</v>
          </cell>
          <cell r="N67"/>
          <cell r="O67"/>
        </row>
        <row r="68">
          <cell r="B68">
            <v>2070234</v>
          </cell>
          <cell r="C68" t="str">
            <v>Asraful Alam</v>
          </cell>
          <cell r="D68" t="str">
            <v>Admin</v>
          </cell>
          <cell r="E68" t="str">
            <v>Security</v>
          </cell>
          <cell r="F68" t="str">
            <v>Security Guard</v>
          </cell>
          <cell r="G68">
            <v>42764</v>
          </cell>
          <cell r="H68" t="str">
            <v>Staff</v>
          </cell>
          <cell r="I68">
            <v>11875</v>
          </cell>
          <cell r="J68">
            <v>19792</v>
          </cell>
          <cell r="K68">
            <v>659.73333333333335</v>
          </cell>
          <cell r="L68">
            <v>395.83333333333331</v>
          </cell>
          <cell r="M68">
            <v>8</v>
          </cell>
          <cell r="N68"/>
          <cell r="O68"/>
        </row>
        <row r="69">
          <cell r="B69">
            <v>2070256</v>
          </cell>
          <cell r="C69" t="str">
            <v>Md. Safi Uddin Bhuyan Spikar</v>
          </cell>
          <cell r="D69" t="str">
            <v>Admin</v>
          </cell>
          <cell r="E69" t="str">
            <v>Security</v>
          </cell>
          <cell r="F69" t="str">
            <v>Security Guard</v>
          </cell>
          <cell r="G69">
            <v>43001</v>
          </cell>
          <cell r="H69" t="str">
            <v>Staff</v>
          </cell>
          <cell r="I69">
            <v>10793</v>
          </cell>
          <cell r="J69">
            <v>17989</v>
          </cell>
          <cell r="K69">
            <v>599.63333333333333</v>
          </cell>
          <cell r="L69">
            <v>359.76666666666665</v>
          </cell>
          <cell r="M69">
            <v>12</v>
          </cell>
          <cell r="N69"/>
          <cell r="O69">
            <v>6</v>
          </cell>
        </row>
        <row r="70">
          <cell r="B70">
            <v>2070365</v>
          </cell>
          <cell r="C70" t="str">
            <v>Md. Ruhul Amin</v>
          </cell>
          <cell r="D70" t="str">
            <v>Admin</v>
          </cell>
          <cell r="E70" t="str">
            <v>Security</v>
          </cell>
          <cell r="F70" t="str">
            <v>Security Guard</v>
          </cell>
          <cell r="G70">
            <v>42950</v>
          </cell>
          <cell r="H70" t="str">
            <v>Staff</v>
          </cell>
          <cell r="I70">
            <v>10793</v>
          </cell>
          <cell r="J70">
            <v>17989</v>
          </cell>
          <cell r="K70">
            <v>599.63333333333333</v>
          </cell>
          <cell r="L70">
            <v>359.76666666666665</v>
          </cell>
          <cell r="M70">
            <v>12</v>
          </cell>
          <cell r="N70"/>
          <cell r="O70">
            <v>6</v>
          </cell>
        </row>
        <row r="71">
          <cell r="B71">
            <v>2070513</v>
          </cell>
          <cell r="C71" t="str">
            <v>Md. Ripan Miah</v>
          </cell>
          <cell r="D71" t="str">
            <v>Admin</v>
          </cell>
          <cell r="E71" t="str">
            <v>Security</v>
          </cell>
          <cell r="F71" t="str">
            <v>Security Guard</v>
          </cell>
          <cell r="G71">
            <v>45049</v>
          </cell>
          <cell r="H71" t="str">
            <v>Staff</v>
          </cell>
          <cell r="I71">
            <v>9941</v>
          </cell>
          <cell r="J71">
            <v>16568</v>
          </cell>
          <cell r="K71">
            <v>552.26666666666665</v>
          </cell>
          <cell r="L71">
            <v>331.36666666666667</v>
          </cell>
          <cell r="M71">
            <v>12</v>
          </cell>
          <cell r="N71"/>
          <cell r="O71">
            <v>6</v>
          </cell>
        </row>
        <row r="72">
          <cell r="B72">
            <v>2070528</v>
          </cell>
          <cell r="C72" t="str">
            <v>Md. Jahangir Alam</v>
          </cell>
          <cell r="D72" t="str">
            <v>Admin</v>
          </cell>
          <cell r="E72" t="str">
            <v>Security</v>
          </cell>
          <cell r="F72" t="str">
            <v>Security Guard</v>
          </cell>
          <cell r="G72">
            <v>45206</v>
          </cell>
          <cell r="H72" t="str">
            <v>Staff</v>
          </cell>
          <cell r="I72">
            <v>9941</v>
          </cell>
          <cell r="J72">
            <v>16568</v>
          </cell>
          <cell r="K72">
            <v>552.26666666666665</v>
          </cell>
          <cell r="L72">
            <v>331.36666666666667</v>
          </cell>
          <cell r="M72">
            <v>12</v>
          </cell>
          <cell r="N72"/>
          <cell r="O72">
            <v>6</v>
          </cell>
        </row>
        <row r="73">
          <cell r="B73">
            <v>2070529</v>
          </cell>
          <cell r="C73" t="str">
            <v>Md. Golam Robbani</v>
          </cell>
          <cell r="D73" t="str">
            <v>Admin</v>
          </cell>
          <cell r="E73" t="str">
            <v>Security</v>
          </cell>
          <cell r="F73" t="str">
            <v>Security Guard</v>
          </cell>
          <cell r="G73">
            <v>45215</v>
          </cell>
          <cell r="H73" t="str">
            <v>Staff</v>
          </cell>
          <cell r="I73">
            <v>9941</v>
          </cell>
          <cell r="J73">
            <v>16568</v>
          </cell>
          <cell r="K73">
            <v>552.26666666666665</v>
          </cell>
          <cell r="L73">
            <v>331.36666666666667</v>
          </cell>
          <cell r="M73">
            <v>12</v>
          </cell>
          <cell r="N73"/>
          <cell r="O73">
            <v>6</v>
          </cell>
        </row>
        <row r="74">
          <cell r="B74">
            <v>2070535</v>
          </cell>
          <cell r="C74" t="str">
            <v>Md. Rubel Islam</v>
          </cell>
          <cell r="D74" t="str">
            <v>Admin</v>
          </cell>
          <cell r="E74" t="str">
            <v>Security</v>
          </cell>
          <cell r="F74" t="str">
            <v>Junior Security Guard</v>
          </cell>
          <cell r="G74">
            <v>45339</v>
          </cell>
          <cell r="H74" t="str">
            <v>Staff</v>
          </cell>
          <cell r="I74">
            <v>9000</v>
          </cell>
          <cell r="J74">
            <v>15000</v>
          </cell>
          <cell r="K74">
            <v>500</v>
          </cell>
          <cell r="L74">
            <v>300</v>
          </cell>
          <cell r="M74">
            <v>8</v>
          </cell>
          <cell r="N74"/>
          <cell r="O74"/>
        </row>
        <row r="75">
          <cell r="B75">
            <v>2070536</v>
          </cell>
          <cell r="C75" t="str">
            <v>Md. Hossen Ali</v>
          </cell>
          <cell r="D75" t="str">
            <v>Admin</v>
          </cell>
          <cell r="E75" t="str">
            <v>Security</v>
          </cell>
          <cell r="F75" t="str">
            <v xml:space="preserve">Security Supervisor </v>
          </cell>
          <cell r="G75">
            <v>45353</v>
          </cell>
          <cell r="H75" t="str">
            <v>Staff</v>
          </cell>
          <cell r="I75">
            <v>11142</v>
          </cell>
          <cell r="J75">
            <v>18570</v>
          </cell>
          <cell r="K75">
            <v>619</v>
          </cell>
          <cell r="L75">
            <v>371.4</v>
          </cell>
          <cell r="M75">
            <v>12</v>
          </cell>
          <cell r="N75"/>
          <cell r="O75">
            <v>6</v>
          </cell>
        </row>
        <row r="76">
          <cell r="B76">
            <v>2070549</v>
          </cell>
          <cell r="C76" t="str">
            <v>Md. Omor Faruk</v>
          </cell>
          <cell r="D76" t="str">
            <v>Admin</v>
          </cell>
          <cell r="E76" t="str">
            <v>Security</v>
          </cell>
          <cell r="F76" t="str">
            <v>Junior Security Guard</v>
          </cell>
          <cell r="G76">
            <v>45678</v>
          </cell>
          <cell r="H76" t="str">
            <v>Staff</v>
          </cell>
          <cell r="I76">
            <v>8700</v>
          </cell>
          <cell r="J76">
            <v>14500</v>
          </cell>
          <cell r="K76">
            <v>483.33333333333331</v>
          </cell>
          <cell r="L76">
            <v>290</v>
          </cell>
          <cell r="M76">
            <v>12</v>
          </cell>
          <cell r="N76"/>
          <cell r="O76">
            <v>6</v>
          </cell>
        </row>
        <row r="77">
          <cell r="B77">
            <v>2140023</v>
          </cell>
          <cell r="C77" t="str">
            <v>Md. Shah Alam</v>
          </cell>
          <cell r="D77" t="str">
            <v>Utility &amp; Maintenance</v>
          </cell>
          <cell r="E77" t="str">
            <v>Electrical</v>
          </cell>
          <cell r="F77" t="str">
            <v>Asst. Service Engineer Generator</v>
          </cell>
          <cell r="G77">
            <v>44571</v>
          </cell>
          <cell r="H77" t="str">
            <v>Staff</v>
          </cell>
          <cell r="I77">
            <v>19130</v>
          </cell>
          <cell r="J77">
            <v>31884</v>
          </cell>
          <cell r="K77">
            <v>1062.8</v>
          </cell>
          <cell r="L77">
            <v>637.66666666666663</v>
          </cell>
          <cell r="M77"/>
          <cell r="N77">
            <v>8</v>
          </cell>
          <cell r="O77">
            <v>4</v>
          </cell>
        </row>
        <row r="78">
          <cell r="B78">
            <v>2070203</v>
          </cell>
          <cell r="C78" t="str">
            <v>Md. Abul Hossain</v>
          </cell>
          <cell r="D78" t="str">
            <v>Admin</v>
          </cell>
          <cell r="E78" t="str">
            <v>Security</v>
          </cell>
          <cell r="F78" t="str">
            <v>Security Guard</v>
          </cell>
          <cell r="G78">
            <v>42918</v>
          </cell>
          <cell r="H78" t="str">
            <v>Staff</v>
          </cell>
          <cell r="I78">
            <v>10793</v>
          </cell>
          <cell r="J78">
            <v>17989</v>
          </cell>
          <cell r="K78">
            <v>599.63333333333333</v>
          </cell>
          <cell r="L78">
            <v>359.76666666666665</v>
          </cell>
          <cell r="M78" t="str">
            <v>12</v>
          </cell>
          <cell r="N78"/>
          <cell r="O78" t="str">
            <v>6</v>
          </cell>
        </row>
        <row r="79">
          <cell r="B79">
            <v>2070229</v>
          </cell>
          <cell r="C79" t="str">
            <v>Daniyel Tazu</v>
          </cell>
          <cell r="D79" t="str">
            <v>Admin</v>
          </cell>
          <cell r="E79" t="str">
            <v>Security</v>
          </cell>
          <cell r="F79" t="str">
            <v>Security Guard</v>
          </cell>
          <cell r="G79">
            <v>42117</v>
          </cell>
          <cell r="H79" t="str">
            <v>Staff</v>
          </cell>
          <cell r="I79">
            <v>12145</v>
          </cell>
          <cell r="J79">
            <v>20241</v>
          </cell>
          <cell r="K79">
            <v>674.7</v>
          </cell>
          <cell r="L79">
            <v>404.83333333333331</v>
          </cell>
          <cell r="M79" t="str">
            <v>8</v>
          </cell>
          <cell r="N79"/>
          <cell r="O79"/>
        </row>
        <row r="80">
          <cell r="B80">
            <v>2070230</v>
          </cell>
          <cell r="C80" t="str">
            <v>Abdullah</v>
          </cell>
          <cell r="D80" t="str">
            <v>Admin</v>
          </cell>
          <cell r="E80" t="str">
            <v>Security</v>
          </cell>
          <cell r="F80" t="str">
            <v>Security Guard</v>
          </cell>
          <cell r="G80">
            <v>42126</v>
          </cell>
          <cell r="H80" t="str">
            <v>Staff</v>
          </cell>
          <cell r="I80">
            <v>12145</v>
          </cell>
          <cell r="J80">
            <v>20241</v>
          </cell>
          <cell r="K80">
            <v>674.7</v>
          </cell>
          <cell r="L80">
            <v>404.83333333333331</v>
          </cell>
          <cell r="M80" t="str">
            <v>12</v>
          </cell>
          <cell r="N80"/>
          <cell r="O80" t="str">
            <v>6</v>
          </cell>
        </row>
        <row r="81">
          <cell r="B81">
            <v>2070234</v>
          </cell>
          <cell r="C81" t="str">
            <v>Asraful Alam</v>
          </cell>
          <cell r="D81" t="str">
            <v>Admin</v>
          </cell>
          <cell r="E81" t="str">
            <v>Security</v>
          </cell>
          <cell r="F81" t="str">
            <v>Security Guard</v>
          </cell>
          <cell r="G81">
            <v>42764</v>
          </cell>
          <cell r="H81" t="str">
            <v>Staff</v>
          </cell>
          <cell r="I81">
            <v>11875</v>
          </cell>
          <cell r="J81">
            <v>19792</v>
          </cell>
          <cell r="K81">
            <v>659.73333333333335</v>
          </cell>
          <cell r="L81">
            <v>395.83333333333331</v>
          </cell>
          <cell r="M81" t="str">
            <v>12</v>
          </cell>
          <cell r="N81"/>
          <cell r="O81" t="str">
            <v>6</v>
          </cell>
        </row>
        <row r="82">
          <cell r="B82">
            <v>2070256</v>
          </cell>
          <cell r="C82" t="str">
            <v>Md. Safi Uddin Bhuyan Spikar</v>
          </cell>
          <cell r="D82" t="str">
            <v>Admin</v>
          </cell>
          <cell r="E82" t="str">
            <v>Security</v>
          </cell>
          <cell r="F82" t="str">
            <v>Security Guard</v>
          </cell>
          <cell r="G82">
            <v>43001</v>
          </cell>
          <cell r="H82" t="str">
            <v>Staff</v>
          </cell>
          <cell r="I82">
            <v>10793</v>
          </cell>
          <cell r="J82">
            <v>17989</v>
          </cell>
          <cell r="K82">
            <v>599.63333333333333</v>
          </cell>
          <cell r="L82">
            <v>359.76666666666665</v>
          </cell>
          <cell r="M82" t="str">
            <v>8</v>
          </cell>
          <cell r="N82"/>
          <cell r="O82"/>
        </row>
        <row r="83">
          <cell r="B83">
            <v>2070365</v>
          </cell>
          <cell r="C83" t="str">
            <v>Md. Ruhul Amin</v>
          </cell>
          <cell r="D83" t="str">
            <v>Admin</v>
          </cell>
          <cell r="E83" t="str">
            <v>Security</v>
          </cell>
          <cell r="F83" t="str">
            <v>Security Guard</v>
          </cell>
          <cell r="G83">
            <v>42950</v>
          </cell>
          <cell r="H83" t="str">
            <v>Staff</v>
          </cell>
          <cell r="I83">
            <v>10793</v>
          </cell>
          <cell r="J83">
            <v>17989</v>
          </cell>
          <cell r="K83">
            <v>599.63333333333333</v>
          </cell>
          <cell r="L83">
            <v>359.76666666666665</v>
          </cell>
          <cell r="M83" t="str">
            <v>8</v>
          </cell>
          <cell r="N83"/>
          <cell r="O83"/>
        </row>
        <row r="84">
          <cell r="B84">
            <v>2070513</v>
          </cell>
          <cell r="C84" t="str">
            <v>Md. Ripan Miah</v>
          </cell>
          <cell r="D84" t="str">
            <v>Admin</v>
          </cell>
          <cell r="E84" t="str">
            <v>Security</v>
          </cell>
          <cell r="F84" t="str">
            <v>Security Guard</v>
          </cell>
          <cell r="G84">
            <v>45049</v>
          </cell>
          <cell r="H84" t="str">
            <v>Staff</v>
          </cell>
          <cell r="I84">
            <v>9941</v>
          </cell>
          <cell r="J84">
            <v>16568</v>
          </cell>
          <cell r="K84">
            <v>552.26666666666665</v>
          </cell>
          <cell r="L84">
            <v>331.36666666666667</v>
          </cell>
          <cell r="M84" t="str">
            <v>8</v>
          </cell>
          <cell r="N84"/>
          <cell r="O84"/>
        </row>
        <row r="85">
          <cell r="B85">
            <v>2070514</v>
          </cell>
          <cell r="C85" t="str">
            <v>Md. Dalwer Hossain</v>
          </cell>
          <cell r="D85" t="str">
            <v>Admin</v>
          </cell>
          <cell r="E85" t="str">
            <v>Security</v>
          </cell>
          <cell r="F85" t="str">
            <v>Security Guard</v>
          </cell>
          <cell r="G85">
            <v>45049</v>
          </cell>
          <cell r="H85" t="str">
            <v>Staff</v>
          </cell>
          <cell r="I85">
            <v>9941</v>
          </cell>
          <cell r="J85">
            <v>16568</v>
          </cell>
          <cell r="K85">
            <v>552.26666666666665</v>
          </cell>
          <cell r="L85">
            <v>331.36666666666667</v>
          </cell>
          <cell r="M85" t="str">
            <v>12</v>
          </cell>
          <cell r="N85"/>
          <cell r="O85" t="str">
            <v>6</v>
          </cell>
        </row>
        <row r="86">
          <cell r="B86">
            <v>2070528</v>
          </cell>
          <cell r="C86" t="str">
            <v>Md. Jahangir Alam</v>
          </cell>
          <cell r="D86" t="str">
            <v>Admin</v>
          </cell>
          <cell r="E86" t="str">
            <v>Security</v>
          </cell>
          <cell r="F86" t="str">
            <v>Security Guard</v>
          </cell>
          <cell r="G86">
            <v>45206</v>
          </cell>
          <cell r="H86" t="str">
            <v>Staff</v>
          </cell>
          <cell r="I86">
            <v>9941</v>
          </cell>
          <cell r="J86">
            <v>16568</v>
          </cell>
          <cell r="K86">
            <v>552.26666666666665</v>
          </cell>
          <cell r="L86">
            <v>331.36666666666667</v>
          </cell>
          <cell r="M86" t="str">
            <v>8</v>
          </cell>
          <cell r="N86"/>
          <cell r="O86"/>
        </row>
        <row r="87">
          <cell r="B87">
            <v>2070535</v>
          </cell>
          <cell r="C87" t="str">
            <v>Md. Rubel Islam</v>
          </cell>
          <cell r="D87" t="str">
            <v>Admin</v>
          </cell>
          <cell r="E87" t="str">
            <v>Security</v>
          </cell>
          <cell r="F87" t="str">
            <v>Junior Security Guard</v>
          </cell>
          <cell r="G87">
            <v>45339</v>
          </cell>
          <cell r="H87" t="str">
            <v>Staff</v>
          </cell>
          <cell r="I87">
            <v>9000</v>
          </cell>
          <cell r="J87">
            <v>15000</v>
          </cell>
          <cell r="K87">
            <v>500</v>
          </cell>
          <cell r="L87">
            <v>300</v>
          </cell>
          <cell r="M87" t="str">
            <v>12</v>
          </cell>
          <cell r="N87"/>
          <cell r="O87" t="str">
            <v>6</v>
          </cell>
        </row>
        <row r="88">
          <cell r="B88">
            <v>2070536</v>
          </cell>
          <cell r="C88" t="str">
            <v>Md. Hossen Ali</v>
          </cell>
          <cell r="D88" t="str">
            <v>Admin</v>
          </cell>
          <cell r="E88" t="str">
            <v>Security</v>
          </cell>
          <cell r="F88" t="str">
            <v xml:space="preserve">Security Supervisor </v>
          </cell>
          <cell r="G88">
            <v>45353</v>
          </cell>
          <cell r="H88" t="str">
            <v>Staff</v>
          </cell>
          <cell r="I88">
            <v>11142</v>
          </cell>
          <cell r="J88">
            <v>18570</v>
          </cell>
          <cell r="K88">
            <v>619</v>
          </cell>
          <cell r="L88">
            <v>371.4</v>
          </cell>
          <cell r="M88" t="str">
            <v>8</v>
          </cell>
          <cell r="N88"/>
          <cell r="O88"/>
        </row>
        <row r="89">
          <cell r="B89">
            <v>2070549</v>
          </cell>
          <cell r="C89" t="str">
            <v>Md. Omor Faruk</v>
          </cell>
          <cell r="D89" t="str">
            <v>Admin</v>
          </cell>
          <cell r="E89" t="str">
            <v>Security</v>
          </cell>
          <cell r="F89" t="str">
            <v>Junior Security Guard</v>
          </cell>
          <cell r="G89">
            <v>45678</v>
          </cell>
          <cell r="H89" t="str">
            <v>Staff</v>
          </cell>
          <cell r="I89">
            <v>8700</v>
          </cell>
          <cell r="J89">
            <v>14500</v>
          </cell>
          <cell r="K89">
            <v>483.33333333333331</v>
          </cell>
          <cell r="L89">
            <v>290</v>
          </cell>
          <cell r="M89" t="str">
            <v>8</v>
          </cell>
          <cell r="N89"/>
          <cell r="O89"/>
        </row>
        <row r="90">
          <cell r="B90">
            <v>2070550</v>
          </cell>
          <cell r="C90" t="str">
            <v>Md. Zabed Ali</v>
          </cell>
          <cell r="D90" t="str">
            <v>Admin</v>
          </cell>
          <cell r="E90" t="str">
            <v>Security</v>
          </cell>
          <cell r="F90" t="str">
            <v>Junior Security Guard</v>
          </cell>
          <cell r="G90">
            <v>45678</v>
          </cell>
          <cell r="H90" t="str">
            <v>Staff</v>
          </cell>
          <cell r="I90">
            <v>8700</v>
          </cell>
          <cell r="J90">
            <v>14500</v>
          </cell>
          <cell r="K90">
            <v>483.33333333333331</v>
          </cell>
          <cell r="L90">
            <v>290</v>
          </cell>
          <cell r="M90" t="str">
            <v>8</v>
          </cell>
          <cell r="N90"/>
          <cell r="O90"/>
        </row>
        <row r="91">
          <cell r="B91">
            <v>2070552</v>
          </cell>
          <cell r="C91" t="str">
            <v>Md. Tohidul Islam</v>
          </cell>
          <cell r="D91" t="str">
            <v>Admin</v>
          </cell>
          <cell r="E91" t="str">
            <v>Security</v>
          </cell>
          <cell r="F91" t="str">
            <v>Junior Security Guard</v>
          </cell>
          <cell r="G91">
            <v>45678</v>
          </cell>
          <cell r="H91" t="str">
            <v>Staff</v>
          </cell>
          <cell r="I91">
            <v>8700</v>
          </cell>
          <cell r="J91">
            <v>14500</v>
          </cell>
          <cell r="K91">
            <v>483.33333333333331</v>
          </cell>
          <cell r="L91">
            <v>290</v>
          </cell>
          <cell r="M91" t="str">
            <v>12</v>
          </cell>
          <cell r="N91"/>
          <cell r="O91" t="str">
            <v>6</v>
          </cell>
        </row>
        <row r="92">
          <cell r="B92">
            <v>2140016</v>
          </cell>
          <cell r="C92" t="str">
            <v>Solaiman</v>
          </cell>
          <cell r="D92" t="str">
            <v>Utility &amp; Maintenance</v>
          </cell>
          <cell r="E92" t="str">
            <v>Mechanical</v>
          </cell>
          <cell r="F92" t="str">
            <v>Fitterman</v>
          </cell>
          <cell r="G92">
            <v>43557</v>
          </cell>
          <cell r="H92" t="str">
            <v>Staff</v>
          </cell>
          <cell r="I92">
            <v>13734</v>
          </cell>
          <cell r="J92">
            <v>22891</v>
          </cell>
          <cell r="K92">
            <v>763.0333333333333</v>
          </cell>
          <cell r="L92">
            <v>457.8</v>
          </cell>
          <cell r="M92" t="str">
            <v>12</v>
          </cell>
          <cell r="N92"/>
          <cell r="O92"/>
        </row>
        <row r="93">
          <cell r="B93">
            <v>2140021</v>
          </cell>
          <cell r="C93" t="str">
            <v>Dulal Ahmmed</v>
          </cell>
          <cell r="D93" t="str">
            <v>Utility &amp; Maintenance</v>
          </cell>
          <cell r="E93" t="str">
            <v>Mechanical</v>
          </cell>
          <cell r="F93" t="str">
            <v>Assistant Fitter Man</v>
          </cell>
          <cell r="G93">
            <v>44434</v>
          </cell>
          <cell r="H93" t="str">
            <v>Staff</v>
          </cell>
          <cell r="I93">
            <v>12099</v>
          </cell>
          <cell r="J93">
            <v>20166</v>
          </cell>
          <cell r="K93">
            <v>672.2</v>
          </cell>
          <cell r="L93">
            <v>403.3</v>
          </cell>
          <cell r="M93" t="str">
            <v>12</v>
          </cell>
          <cell r="N93"/>
          <cell r="O93"/>
        </row>
        <row r="94">
          <cell r="B94">
            <v>2140024</v>
          </cell>
          <cell r="C94" t="str">
            <v>Md. Rasel Miah</v>
          </cell>
          <cell r="D94" t="str">
            <v>Utility &amp; Maintenance</v>
          </cell>
          <cell r="E94" t="str">
            <v>Mechanical</v>
          </cell>
          <cell r="F94" t="str">
            <v>Assistant Fitter Man</v>
          </cell>
          <cell r="G94">
            <v>45050</v>
          </cell>
          <cell r="H94" t="str">
            <v>Staff</v>
          </cell>
          <cell r="I94">
            <v>9675</v>
          </cell>
          <cell r="J94">
            <v>16126</v>
          </cell>
          <cell r="K94">
            <v>537.5333333333333</v>
          </cell>
          <cell r="L94">
            <v>322.5</v>
          </cell>
          <cell r="M94" t="str">
            <v>12</v>
          </cell>
          <cell r="N94"/>
          <cell r="O94"/>
        </row>
        <row r="95">
          <cell r="B95"/>
          <cell r="C95" t="str">
            <v/>
          </cell>
          <cell r="D95"/>
          <cell r="E95"/>
          <cell r="F95"/>
          <cell r="G95"/>
          <cell r="H95"/>
          <cell r="I95"/>
          <cell r="J95"/>
          <cell r="K95">
            <v>0</v>
          </cell>
          <cell r="L95">
            <v>0</v>
          </cell>
          <cell r="M95"/>
          <cell r="N95"/>
          <cell r="O95"/>
        </row>
        <row r="96">
          <cell r="B96"/>
          <cell r="C96" t="str">
            <v/>
          </cell>
          <cell r="D96"/>
          <cell r="E96"/>
          <cell r="F96"/>
          <cell r="G96"/>
          <cell r="H96"/>
          <cell r="I96"/>
          <cell r="J96"/>
          <cell r="K96">
            <v>0</v>
          </cell>
          <cell r="L96">
            <v>0</v>
          </cell>
          <cell r="M96"/>
          <cell r="N96"/>
          <cell r="O96"/>
        </row>
        <row r="97">
          <cell r="B97"/>
          <cell r="C97" t="str">
            <v/>
          </cell>
          <cell r="D97"/>
          <cell r="E97"/>
          <cell r="F97"/>
          <cell r="G97"/>
          <cell r="H97"/>
          <cell r="I97"/>
          <cell r="J97"/>
          <cell r="K97">
            <v>0</v>
          </cell>
          <cell r="L97">
            <v>0</v>
          </cell>
          <cell r="M97"/>
          <cell r="N97"/>
          <cell r="O97"/>
        </row>
        <row r="98">
          <cell r="B98"/>
          <cell r="C98" t="str">
            <v/>
          </cell>
          <cell r="D98"/>
          <cell r="E98"/>
          <cell r="F98"/>
          <cell r="G98"/>
          <cell r="H98"/>
          <cell r="I98"/>
          <cell r="J98"/>
          <cell r="K98">
            <v>0</v>
          </cell>
          <cell r="L98">
            <v>0</v>
          </cell>
          <cell r="M98"/>
          <cell r="N98"/>
          <cell r="O98"/>
        </row>
        <row r="99">
          <cell r="B99"/>
          <cell r="C99" t="str">
            <v/>
          </cell>
          <cell r="D99"/>
          <cell r="E99"/>
          <cell r="F99"/>
          <cell r="G99"/>
          <cell r="H99"/>
          <cell r="I99"/>
          <cell r="J99"/>
          <cell r="K99">
            <v>0</v>
          </cell>
          <cell r="L99">
            <v>0</v>
          </cell>
          <cell r="M99"/>
          <cell r="N99"/>
          <cell r="O99"/>
        </row>
        <row r="100">
          <cell r="B100"/>
          <cell r="C100" t="str">
            <v/>
          </cell>
          <cell r="D100"/>
          <cell r="E100"/>
          <cell r="F100"/>
          <cell r="G100"/>
          <cell r="H100"/>
          <cell r="I100"/>
          <cell r="J100"/>
          <cell r="K100">
            <v>0</v>
          </cell>
          <cell r="L100">
            <v>0</v>
          </cell>
          <cell r="M100"/>
          <cell r="N100"/>
          <cell r="O100"/>
        </row>
        <row r="101">
          <cell r="B101"/>
          <cell r="C101" t="str">
            <v/>
          </cell>
          <cell r="D101"/>
          <cell r="E101"/>
          <cell r="F101"/>
          <cell r="G101"/>
          <cell r="H101"/>
          <cell r="I101"/>
          <cell r="J101"/>
          <cell r="K101">
            <v>0</v>
          </cell>
          <cell r="L101">
            <v>0</v>
          </cell>
          <cell r="M101"/>
          <cell r="N101"/>
          <cell r="O101"/>
        </row>
        <row r="102">
          <cell r="B102"/>
          <cell r="C102" t="str">
            <v/>
          </cell>
          <cell r="D102"/>
          <cell r="E102"/>
          <cell r="F102"/>
          <cell r="G102"/>
          <cell r="H102"/>
          <cell r="I102"/>
          <cell r="J102"/>
          <cell r="K102">
            <v>0</v>
          </cell>
          <cell r="L102">
            <v>0</v>
          </cell>
          <cell r="M102"/>
          <cell r="N102"/>
          <cell r="O102"/>
        </row>
        <row r="103">
          <cell r="B103"/>
          <cell r="C103" t="str">
            <v/>
          </cell>
          <cell r="D103"/>
          <cell r="E103"/>
          <cell r="F103"/>
          <cell r="G103"/>
          <cell r="H103"/>
          <cell r="I103"/>
          <cell r="J103"/>
          <cell r="K103">
            <v>0</v>
          </cell>
          <cell r="L103">
            <v>0</v>
          </cell>
          <cell r="M103"/>
          <cell r="N103"/>
          <cell r="O103"/>
        </row>
        <row r="104">
          <cell r="B104"/>
          <cell r="C104" t="str">
            <v/>
          </cell>
          <cell r="D104"/>
          <cell r="E104"/>
          <cell r="F104"/>
          <cell r="G104"/>
          <cell r="H104"/>
          <cell r="I104"/>
          <cell r="J104"/>
          <cell r="K104">
            <v>0</v>
          </cell>
          <cell r="L104">
            <v>0</v>
          </cell>
          <cell r="M104"/>
          <cell r="N104"/>
          <cell r="O104"/>
        </row>
        <row r="105">
          <cell r="B105"/>
          <cell r="C105" t="str">
            <v/>
          </cell>
          <cell r="D105"/>
          <cell r="E105"/>
          <cell r="F105"/>
          <cell r="G105"/>
          <cell r="H105"/>
          <cell r="I105"/>
          <cell r="J105"/>
          <cell r="K105">
            <v>0</v>
          </cell>
          <cell r="L105">
            <v>0</v>
          </cell>
          <cell r="M105"/>
          <cell r="N105"/>
          <cell r="O105"/>
        </row>
        <row r="106">
          <cell r="B106"/>
          <cell r="C106" t="str">
            <v/>
          </cell>
          <cell r="D106"/>
          <cell r="E106"/>
          <cell r="F106"/>
          <cell r="G106"/>
          <cell r="H106"/>
          <cell r="I106"/>
          <cell r="J106"/>
          <cell r="K106">
            <v>0</v>
          </cell>
          <cell r="L106">
            <v>0</v>
          </cell>
          <cell r="M106"/>
          <cell r="N106"/>
          <cell r="O106"/>
        </row>
        <row r="107">
          <cell r="B107"/>
          <cell r="C107" t="str">
            <v/>
          </cell>
          <cell r="D107"/>
          <cell r="E107"/>
          <cell r="F107"/>
          <cell r="G107"/>
          <cell r="H107"/>
          <cell r="I107"/>
          <cell r="J107"/>
          <cell r="K107">
            <v>0</v>
          </cell>
          <cell r="L107">
            <v>0</v>
          </cell>
          <cell r="M107"/>
          <cell r="N107"/>
          <cell r="O107"/>
        </row>
        <row r="108">
          <cell r="B108"/>
          <cell r="C108" t="str">
            <v/>
          </cell>
          <cell r="D108"/>
          <cell r="E108"/>
          <cell r="F108"/>
          <cell r="G108"/>
          <cell r="H108"/>
          <cell r="I108"/>
          <cell r="J108"/>
          <cell r="K108">
            <v>0</v>
          </cell>
          <cell r="L108">
            <v>0</v>
          </cell>
          <cell r="M108"/>
          <cell r="N108"/>
          <cell r="O108"/>
        </row>
        <row r="109">
          <cell r="B109"/>
          <cell r="C109" t="str">
            <v/>
          </cell>
          <cell r="D109"/>
          <cell r="E109"/>
          <cell r="F109"/>
          <cell r="G109"/>
          <cell r="H109"/>
          <cell r="I109"/>
          <cell r="J109"/>
          <cell r="K109">
            <v>0</v>
          </cell>
          <cell r="L109">
            <v>0</v>
          </cell>
          <cell r="M109"/>
          <cell r="N109"/>
          <cell r="O109"/>
        </row>
        <row r="110">
          <cell r="B110"/>
          <cell r="C110" t="str">
            <v/>
          </cell>
          <cell r="D110"/>
          <cell r="E110"/>
          <cell r="F110"/>
          <cell r="G110"/>
          <cell r="H110"/>
          <cell r="I110"/>
          <cell r="J110"/>
          <cell r="K110">
            <v>0</v>
          </cell>
          <cell r="L110">
            <v>0</v>
          </cell>
          <cell r="M110"/>
          <cell r="N110"/>
          <cell r="O110"/>
        </row>
        <row r="111">
          <cell r="B111"/>
          <cell r="C111" t="str">
            <v/>
          </cell>
          <cell r="D111"/>
          <cell r="E111"/>
          <cell r="F111"/>
          <cell r="G111"/>
          <cell r="H111"/>
          <cell r="I111"/>
          <cell r="J111"/>
          <cell r="K111">
            <v>0</v>
          </cell>
          <cell r="L111">
            <v>0</v>
          </cell>
          <cell r="M111"/>
          <cell r="N111"/>
          <cell r="O111"/>
        </row>
        <row r="112">
          <cell r="B112"/>
          <cell r="C112" t="str">
            <v/>
          </cell>
          <cell r="D112"/>
          <cell r="E112"/>
          <cell r="F112"/>
          <cell r="G112"/>
          <cell r="H112"/>
          <cell r="I112"/>
          <cell r="J112"/>
          <cell r="K112">
            <v>0</v>
          </cell>
          <cell r="L112">
            <v>0</v>
          </cell>
          <cell r="M112"/>
          <cell r="N112"/>
          <cell r="O112"/>
        </row>
        <row r="113">
          <cell r="B113"/>
          <cell r="C113" t="str">
            <v/>
          </cell>
          <cell r="D113"/>
          <cell r="E113"/>
          <cell r="F113"/>
          <cell r="G113"/>
          <cell r="H113"/>
          <cell r="I113"/>
          <cell r="J113"/>
          <cell r="K113">
            <v>0</v>
          </cell>
          <cell r="L113">
            <v>0</v>
          </cell>
          <cell r="M113"/>
          <cell r="N113"/>
          <cell r="O113"/>
        </row>
        <row r="114">
          <cell r="B114"/>
          <cell r="C114" t="str">
            <v/>
          </cell>
          <cell r="D114"/>
          <cell r="E114"/>
          <cell r="F114"/>
          <cell r="G114"/>
          <cell r="H114"/>
          <cell r="I114"/>
          <cell r="J114"/>
          <cell r="K114">
            <v>0</v>
          </cell>
          <cell r="L114">
            <v>0</v>
          </cell>
          <cell r="M114"/>
          <cell r="N114"/>
          <cell r="O114"/>
        </row>
        <row r="115">
          <cell r="B115"/>
          <cell r="C115" t="str">
            <v/>
          </cell>
          <cell r="D115"/>
          <cell r="E115"/>
          <cell r="F115"/>
          <cell r="G115"/>
          <cell r="H115"/>
          <cell r="I115"/>
          <cell r="J115"/>
          <cell r="K115">
            <v>0</v>
          </cell>
          <cell r="L115">
            <v>0</v>
          </cell>
          <cell r="M115"/>
          <cell r="N115"/>
          <cell r="O115"/>
        </row>
        <row r="116">
          <cell r="B116"/>
          <cell r="C116" t="str">
            <v/>
          </cell>
          <cell r="D116"/>
          <cell r="E116"/>
          <cell r="F116"/>
          <cell r="G116"/>
          <cell r="H116"/>
          <cell r="I116"/>
          <cell r="J116"/>
          <cell r="K116">
            <v>0</v>
          </cell>
          <cell r="L116">
            <v>0</v>
          </cell>
          <cell r="M116"/>
          <cell r="N116"/>
          <cell r="O116"/>
        </row>
        <row r="117">
          <cell r="B117"/>
          <cell r="C117" t="str">
            <v/>
          </cell>
          <cell r="D117"/>
          <cell r="E117"/>
          <cell r="F117"/>
          <cell r="G117"/>
          <cell r="H117"/>
          <cell r="I117"/>
          <cell r="J117"/>
          <cell r="K117">
            <v>0</v>
          </cell>
          <cell r="L117">
            <v>0</v>
          </cell>
          <cell r="M117"/>
          <cell r="N117"/>
          <cell r="O117"/>
        </row>
        <row r="118">
          <cell r="B118"/>
          <cell r="C118" t="str">
            <v/>
          </cell>
          <cell r="D118"/>
          <cell r="E118"/>
          <cell r="F118"/>
          <cell r="G118"/>
          <cell r="H118"/>
          <cell r="I118"/>
          <cell r="J118"/>
          <cell r="K118">
            <v>0</v>
          </cell>
          <cell r="L118">
            <v>0</v>
          </cell>
          <cell r="M118"/>
          <cell r="N118"/>
          <cell r="O118"/>
        </row>
        <row r="119">
          <cell r="B119"/>
          <cell r="C119" t="str">
            <v/>
          </cell>
          <cell r="D119"/>
          <cell r="E119"/>
          <cell r="F119"/>
          <cell r="G119"/>
          <cell r="H119"/>
          <cell r="I119"/>
          <cell r="J119"/>
          <cell r="K119">
            <v>0</v>
          </cell>
          <cell r="L119">
            <v>0</v>
          </cell>
          <cell r="M119"/>
          <cell r="N119"/>
          <cell r="O119"/>
        </row>
        <row r="120">
          <cell r="B120"/>
          <cell r="C120" t="str">
            <v/>
          </cell>
          <cell r="D120"/>
          <cell r="E120"/>
          <cell r="F120"/>
          <cell r="G120"/>
          <cell r="H120"/>
          <cell r="I120"/>
          <cell r="J120"/>
          <cell r="K120">
            <v>0</v>
          </cell>
          <cell r="L120">
            <v>0</v>
          </cell>
          <cell r="M120"/>
          <cell r="N120"/>
          <cell r="O120"/>
        </row>
        <row r="121">
          <cell r="B121"/>
          <cell r="C121" t="str">
            <v/>
          </cell>
          <cell r="D121"/>
          <cell r="E121"/>
          <cell r="F121"/>
          <cell r="G121"/>
          <cell r="H121"/>
          <cell r="I121"/>
          <cell r="J121"/>
          <cell r="K121">
            <v>0</v>
          </cell>
          <cell r="L121">
            <v>0</v>
          </cell>
          <cell r="M121"/>
          <cell r="N121"/>
          <cell r="O121"/>
        </row>
        <row r="122">
          <cell r="B122"/>
          <cell r="C122" t="str">
            <v/>
          </cell>
          <cell r="D122"/>
          <cell r="E122"/>
          <cell r="F122"/>
          <cell r="G122"/>
          <cell r="H122"/>
          <cell r="I122"/>
          <cell r="J122"/>
          <cell r="K122">
            <v>0</v>
          </cell>
          <cell r="L122">
            <v>0</v>
          </cell>
          <cell r="M122"/>
          <cell r="N122"/>
          <cell r="O122"/>
        </row>
        <row r="123">
          <cell r="B123"/>
          <cell r="C123" t="str">
            <v/>
          </cell>
          <cell r="D123"/>
          <cell r="E123"/>
          <cell r="F123"/>
          <cell r="G123"/>
          <cell r="H123"/>
          <cell r="I123"/>
          <cell r="J123"/>
          <cell r="K123">
            <v>0</v>
          </cell>
          <cell r="L123">
            <v>0</v>
          </cell>
          <cell r="M123"/>
          <cell r="N123"/>
          <cell r="O123"/>
        </row>
        <row r="124">
          <cell r="B124"/>
          <cell r="C124" t="str">
            <v/>
          </cell>
          <cell r="D124"/>
          <cell r="E124"/>
          <cell r="F124"/>
          <cell r="G124"/>
          <cell r="H124"/>
          <cell r="I124"/>
          <cell r="J124"/>
          <cell r="K124">
            <v>0</v>
          </cell>
          <cell r="L124">
            <v>0</v>
          </cell>
          <cell r="M124"/>
          <cell r="N124"/>
          <cell r="O124"/>
        </row>
        <row r="125">
          <cell r="B125"/>
          <cell r="C125" t="str">
            <v/>
          </cell>
          <cell r="D125"/>
          <cell r="E125"/>
          <cell r="F125"/>
          <cell r="G125"/>
          <cell r="H125"/>
          <cell r="I125"/>
          <cell r="J125"/>
          <cell r="K125">
            <v>0</v>
          </cell>
          <cell r="L125">
            <v>0</v>
          </cell>
          <cell r="M125"/>
          <cell r="N125"/>
          <cell r="O125"/>
        </row>
        <row r="126">
          <cell r="B126"/>
          <cell r="C126" t="str">
            <v/>
          </cell>
          <cell r="D126"/>
          <cell r="E126"/>
          <cell r="F126"/>
          <cell r="G126"/>
          <cell r="H126"/>
          <cell r="I126"/>
          <cell r="J126"/>
          <cell r="K126">
            <v>0</v>
          </cell>
          <cell r="L126">
            <v>0</v>
          </cell>
          <cell r="M126"/>
          <cell r="N126"/>
          <cell r="O126"/>
        </row>
        <row r="127">
          <cell r="B127"/>
          <cell r="C127" t="str">
            <v/>
          </cell>
          <cell r="D127"/>
          <cell r="E127"/>
          <cell r="F127"/>
          <cell r="G127"/>
          <cell r="H127"/>
          <cell r="I127"/>
          <cell r="J127"/>
          <cell r="K127">
            <v>0</v>
          </cell>
          <cell r="L127">
            <v>0</v>
          </cell>
          <cell r="M127"/>
          <cell r="N127"/>
          <cell r="O127"/>
        </row>
        <row r="128">
          <cell r="B128"/>
          <cell r="C128" t="str">
            <v/>
          </cell>
          <cell r="D128"/>
          <cell r="E128"/>
          <cell r="F128"/>
          <cell r="G128"/>
          <cell r="H128"/>
          <cell r="I128"/>
          <cell r="J128"/>
          <cell r="K128">
            <v>0</v>
          </cell>
          <cell r="L128">
            <v>0</v>
          </cell>
          <cell r="M128"/>
          <cell r="N128"/>
          <cell r="O128"/>
        </row>
        <row r="129">
          <cell r="B129"/>
          <cell r="C129" t="str">
            <v/>
          </cell>
          <cell r="D129"/>
          <cell r="E129"/>
          <cell r="F129"/>
          <cell r="G129"/>
          <cell r="H129"/>
          <cell r="I129"/>
          <cell r="J129"/>
          <cell r="K129">
            <v>0</v>
          </cell>
          <cell r="L129">
            <v>0</v>
          </cell>
          <cell r="M129"/>
          <cell r="N129"/>
          <cell r="O129"/>
        </row>
        <row r="130">
          <cell r="B130"/>
          <cell r="C130" t="str">
            <v/>
          </cell>
          <cell r="D130"/>
          <cell r="E130"/>
          <cell r="F130"/>
          <cell r="G130"/>
          <cell r="H130"/>
          <cell r="I130"/>
          <cell r="J130"/>
          <cell r="K130">
            <v>0</v>
          </cell>
          <cell r="L130">
            <v>0</v>
          </cell>
          <cell r="M130"/>
          <cell r="N130"/>
          <cell r="O130"/>
        </row>
        <row r="131">
          <cell r="B131"/>
          <cell r="C131" t="str">
            <v/>
          </cell>
          <cell r="D131"/>
          <cell r="E131"/>
          <cell r="F131"/>
          <cell r="G131"/>
          <cell r="H131"/>
          <cell r="I131"/>
          <cell r="J131"/>
          <cell r="K131">
            <v>0</v>
          </cell>
          <cell r="L131">
            <v>0</v>
          </cell>
          <cell r="M131"/>
          <cell r="N131"/>
          <cell r="O131"/>
        </row>
        <row r="132">
          <cell r="B132"/>
          <cell r="C132" t="str">
            <v/>
          </cell>
          <cell r="D132"/>
          <cell r="E132"/>
          <cell r="F132"/>
          <cell r="G132"/>
          <cell r="H132"/>
          <cell r="I132"/>
          <cell r="J132"/>
          <cell r="K132">
            <v>0</v>
          </cell>
          <cell r="L132">
            <v>0</v>
          </cell>
          <cell r="M132"/>
          <cell r="N132"/>
          <cell r="O132"/>
        </row>
        <row r="133">
          <cell r="B133"/>
          <cell r="C133" t="str">
            <v/>
          </cell>
          <cell r="D133"/>
          <cell r="E133"/>
          <cell r="F133"/>
          <cell r="G133"/>
          <cell r="H133"/>
          <cell r="I133"/>
          <cell r="J133"/>
          <cell r="K133">
            <v>0</v>
          </cell>
          <cell r="L133">
            <v>0</v>
          </cell>
          <cell r="M133"/>
          <cell r="N133"/>
          <cell r="O133"/>
        </row>
        <row r="134">
          <cell r="B134"/>
          <cell r="C134" t="str">
            <v/>
          </cell>
          <cell r="D134"/>
          <cell r="E134"/>
          <cell r="F134"/>
          <cell r="G134"/>
          <cell r="H134"/>
          <cell r="I134"/>
          <cell r="J134"/>
          <cell r="K134">
            <v>0</v>
          </cell>
          <cell r="L134">
            <v>0</v>
          </cell>
          <cell r="M134"/>
          <cell r="N134"/>
          <cell r="O134"/>
        </row>
        <row r="135">
          <cell r="B135"/>
          <cell r="C135" t="str">
            <v/>
          </cell>
          <cell r="D135"/>
          <cell r="E135"/>
          <cell r="F135"/>
          <cell r="G135"/>
          <cell r="H135"/>
          <cell r="I135"/>
          <cell r="J135"/>
          <cell r="K135">
            <v>0</v>
          </cell>
          <cell r="L135">
            <v>0</v>
          </cell>
          <cell r="M135"/>
          <cell r="N135"/>
          <cell r="O135"/>
        </row>
        <row r="136">
          <cell r="B136"/>
          <cell r="C136" t="str">
            <v/>
          </cell>
          <cell r="D136"/>
          <cell r="E136"/>
          <cell r="F136"/>
          <cell r="G136"/>
          <cell r="H136"/>
          <cell r="I136"/>
          <cell r="J136"/>
          <cell r="K136">
            <v>0</v>
          </cell>
          <cell r="L136">
            <v>0</v>
          </cell>
          <cell r="M136"/>
          <cell r="N136"/>
          <cell r="O136"/>
        </row>
        <row r="137">
          <cell r="B137"/>
          <cell r="C137" t="str">
            <v/>
          </cell>
          <cell r="D137"/>
          <cell r="E137"/>
          <cell r="F137"/>
          <cell r="G137"/>
          <cell r="H137"/>
          <cell r="I137"/>
          <cell r="J137"/>
          <cell r="K137">
            <v>0</v>
          </cell>
          <cell r="L137">
            <v>0</v>
          </cell>
          <cell r="M137"/>
          <cell r="N137"/>
          <cell r="O137"/>
        </row>
        <row r="138">
          <cell r="B138"/>
          <cell r="C138" t="str">
            <v/>
          </cell>
          <cell r="D138"/>
          <cell r="E138"/>
          <cell r="F138"/>
          <cell r="G138"/>
          <cell r="H138"/>
          <cell r="I138"/>
          <cell r="J138"/>
          <cell r="K138">
            <v>0</v>
          </cell>
          <cell r="L138">
            <v>0</v>
          </cell>
          <cell r="M138"/>
          <cell r="N138"/>
          <cell r="O138"/>
        </row>
        <row r="139">
          <cell r="B139"/>
          <cell r="C139" t="str">
            <v/>
          </cell>
          <cell r="D139"/>
          <cell r="E139"/>
          <cell r="F139"/>
          <cell r="G139"/>
          <cell r="H139"/>
          <cell r="I139"/>
          <cell r="J139"/>
          <cell r="K139">
            <v>0</v>
          </cell>
          <cell r="L139">
            <v>0</v>
          </cell>
          <cell r="M139"/>
          <cell r="N139"/>
          <cell r="O139"/>
        </row>
        <row r="140">
          <cell r="B140"/>
          <cell r="C140" t="str">
            <v/>
          </cell>
          <cell r="D140"/>
          <cell r="E140"/>
          <cell r="F140"/>
          <cell r="G140"/>
          <cell r="H140"/>
          <cell r="I140"/>
          <cell r="J140"/>
          <cell r="K140">
            <v>0</v>
          </cell>
          <cell r="L140">
            <v>0</v>
          </cell>
          <cell r="M140"/>
          <cell r="N140"/>
          <cell r="O140"/>
        </row>
        <row r="141">
          <cell r="B141"/>
          <cell r="C141" t="str">
            <v/>
          </cell>
          <cell r="D141"/>
          <cell r="E141"/>
          <cell r="F141"/>
          <cell r="G141"/>
          <cell r="H141"/>
          <cell r="I141"/>
          <cell r="J141"/>
          <cell r="K141">
            <v>0</v>
          </cell>
          <cell r="L141">
            <v>0</v>
          </cell>
          <cell r="M141"/>
          <cell r="N141"/>
          <cell r="O141"/>
        </row>
        <row r="142">
          <cell r="B142"/>
          <cell r="C142" t="str">
            <v/>
          </cell>
          <cell r="D142"/>
          <cell r="E142"/>
          <cell r="F142"/>
          <cell r="G142"/>
          <cell r="H142"/>
          <cell r="I142"/>
          <cell r="J142"/>
          <cell r="K142">
            <v>0</v>
          </cell>
          <cell r="L142">
            <v>0</v>
          </cell>
          <cell r="M142"/>
          <cell r="N142"/>
          <cell r="O142"/>
        </row>
        <row r="143">
          <cell r="B143"/>
          <cell r="C143" t="str">
            <v/>
          </cell>
          <cell r="D143"/>
          <cell r="E143"/>
          <cell r="F143"/>
          <cell r="G143"/>
          <cell r="H143"/>
          <cell r="I143"/>
          <cell r="J143"/>
          <cell r="K143">
            <v>0</v>
          </cell>
          <cell r="L143">
            <v>0</v>
          </cell>
          <cell r="M143"/>
          <cell r="N143"/>
          <cell r="O143"/>
        </row>
        <row r="144">
          <cell r="B144"/>
          <cell r="C144" t="str">
            <v/>
          </cell>
          <cell r="D144"/>
          <cell r="E144"/>
          <cell r="F144"/>
          <cell r="G144"/>
          <cell r="H144"/>
          <cell r="I144"/>
          <cell r="J144"/>
          <cell r="K144">
            <v>0</v>
          </cell>
          <cell r="L144">
            <v>0</v>
          </cell>
          <cell r="M144"/>
          <cell r="N144"/>
          <cell r="O144"/>
        </row>
        <row r="145">
          <cell r="B145"/>
          <cell r="C145" t="str">
            <v/>
          </cell>
          <cell r="D145"/>
          <cell r="E145"/>
          <cell r="F145"/>
          <cell r="G145"/>
          <cell r="H145"/>
          <cell r="I145"/>
          <cell r="J145"/>
          <cell r="K145">
            <v>0</v>
          </cell>
          <cell r="L145">
            <v>0</v>
          </cell>
          <cell r="M145"/>
          <cell r="N145"/>
          <cell r="O145"/>
        </row>
        <row r="146">
          <cell r="B146"/>
          <cell r="C146" t="str">
            <v/>
          </cell>
          <cell r="D146"/>
          <cell r="E146"/>
          <cell r="F146"/>
          <cell r="G146"/>
          <cell r="H146"/>
          <cell r="I146"/>
          <cell r="J146"/>
          <cell r="K146">
            <v>0</v>
          </cell>
          <cell r="L146">
            <v>0</v>
          </cell>
          <cell r="M146"/>
          <cell r="N146"/>
          <cell r="O146"/>
        </row>
        <row r="147">
          <cell r="B147"/>
          <cell r="C147" t="str">
            <v/>
          </cell>
          <cell r="D147"/>
          <cell r="E147"/>
          <cell r="F147"/>
          <cell r="G147"/>
          <cell r="H147"/>
          <cell r="I147"/>
          <cell r="J147"/>
          <cell r="K147">
            <v>0</v>
          </cell>
          <cell r="L147">
            <v>0</v>
          </cell>
          <cell r="M147"/>
          <cell r="N147"/>
          <cell r="O147"/>
        </row>
        <row r="148">
          <cell r="B148"/>
          <cell r="C148" t="str">
            <v/>
          </cell>
          <cell r="D148"/>
          <cell r="E148"/>
          <cell r="F148"/>
          <cell r="G148"/>
          <cell r="H148"/>
          <cell r="I148"/>
          <cell r="J148"/>
          <cell r="K148">
            <v>0</v>
          </cell>
          <cell r="L148">
            <v>0</v>
          </cell>
          <cell r="M148"/>
          <cell r="N148"/>
          <cell r="O148"/>
        </row>
        <row r="149">
          <cell r="B149"/>
          <cell r="C149" t="str">
            <v/>
          </cell>
          <cell r="D149"/>
          <cell r="E149"/>
          <cell r="F149"/>
          <cell r="G149"/>
          <cell r="H149"/>
          <cell r="I149"/>
          <cell r="J149"/>
          <cell r="K149">
            <v>0</v>
          </cell>
          <cell r="L149">
            <v>0</v>
          </cell>
          <cell r="M149"/>
          <cell r="N149"/>
          <cell r="O149"/>
        </row>
        <row r="150">
          <cell r="B150"/>
          <cell r="C150" t="str">
            <v/>
          </cell>
          <cell r="D150"/>
          <cell r="E150"/>
          <cell r="F150"/>
          <cell r="G150"/>
          <cell r="H150"/>
          <cell r="I150"/>
          <cell r="J150"/>
          <cell r="K150">
            <v>0</v>
          </cell>
          <cell r="L150">
            <v>0</v>
          </cell>
          <cell r="M150"/>
          <cell r="N150"/>
          <cell r="O150"/>
        </row>
        <row r="151">
          <cell r="B151"/>
          <cell r="C151" t="str">
            <v/>
          </cell>
          <cell r="D151"/>
          <cell r="E151"/>
          <cell r="F151"/>
          <cell r="G151"/>
          <cell r="H151"/>
          <cell r="I151"/>
          <cell r="J151"/>
          <cell r="K151">
            <v>0</v>
          </cell>
          <cell r="L151">
            <v>0</v>
          </cell>
          <cell r="M151"/>
          <cell r="N151"/>
          <cell r="O151"/>
        </row>
        <row r="152">
          <cell r="B152"/>
          <cell r="C152" t="str">
            <v/>
          </cell>
          <cell r="D152"/>
          <cell r="E152"/>
          <cell r="F152"/>
          <cell r="G152"/>
          <cell r="H152"/>
          <cell r="I152"/>
          <cell r="J152"/>
          <cell r="K152">
            <v>0</v>
          </cell>
          <cell r="L152">
            <v>0</v>
          </cell>
          <cell r="M152"/>
          <cell r="N152"/>
          <cell r="O152"/>
        </row>
        <row r="153">
          <cell r="B153"/>
          <cell r="C153" t="str">
            <v/>
          </cell>
          <cell r="D153"/>
          <cell r="E153"/>
          <cell r="F153"/>
          <cell r="G153"/>
          <cell r="H153"/>
          <cell r="I153"/>
          <cell r="J153"/>
          <cell r="K153">
            <v>0</v>
          </cell>
          <cell r="L153">
            <v>0</v>
          </cell>
          <cell r="M153"/>
          <cell r="N153"/>
          <cell r="O153"/>
        </row>
        <row r="154">
          <cell r="B154"/>
          <cell r="C154" t="str">
            <v/>
          </cell>
          <cell r="D154"/>
          <cell r="E154"/>
          <cell r="F154"/>
          <cell r="G154"/>
          <cell r="H154"/>
          <cell r="I154"/>
          <cell r="J154"/>
          <cell r="K154">
            <v>0</v>
          </cell>
          <cell r="L154">
            <v>0</v>
          </cell>
          <cell r="M154"/>
          <cell r="N154"/>
          <cell r="O154"/>
        </row>
        <row r="155">
          <cell r="B155"/>
          <cell r="C155" t="str">
            <v/>
          </cell>
          <cell r="D155"/>
          <cell r="E155"/>
          <cell r="F155"/>
          <cell r="G155"/>
          <cell r="H155"/>
          <cell r="I155"/>
          <cell r="J155"/>
          <cell r="K155">
            <v>0</v>
          </cell>
          <cell r="L155">
            <v>0</v>
          </cell>
          <cell r="M155"/>
          <cell r="N155"/>
          <cell r="O155"/>
        </row>
        <row r="156">
          <cell r="B156"/>
          <cell r="C156" t="str">
            <v/>
          </cell>
          <cell r="D156"/>
          <cell r="E156"/>
          <cell r="F156"/>
          <cell r="G156"/>
          <cell r="H156"/>
          <cell r="I156"/>
          <cell r="J156"/>
          <cell r="K156">
            <v>0</v>
          </cell>
          <cell r="L156">
            <v>0</v>
          </cell>
          <cell r="M156"/>
          <cell r="N156"/>
          <cell r="O156"/>
        </row>
        <row r="157">
          <cell r="B157"/>
          <cell r="C157" t="str">
            <v/>
          </cell>
          <cell r="D157"/>
          <cell r="E157"/>
          <cell r="F157"/>
          <cell r="G157"/>
          <cell r="H157"/>
          <cell r="I157"/>
          <cell r="J157"/>
          <cell r="K157">
            <v>0</v>
          </cell>
          <cell r="L157">
            <v>0</v>
          </cell>
          <cell r="M157"/>
          <cell r="N157"/>
          <cell r="O157"/>
        </row>
        <row r="158">
          <cell r="B158"/>
          <cell r="C158" t="str">
            <v/>
          </cell>
          <cell r="D158"/>
          <cell r="E158"/>
          <cell r="F158"/>
          <cell r="G158"/>
          <cell r="H158"/>
          <cell r="I158"/>
          <cell r="J158"/>
          <cell r="K158">
            <v>0</v>
          </cell>
          <cell r="L158">
            <v>0</v>
          </cell>
          <cell r="M158"/>
          <cell r="N158"/>
          <cell r="O158"/>
        </row>
        <row r="159">
          <cell r="B159"/>
          <cell r="C159" t="str">
            <v/>
          </cell>
          <cell r="D159"/>
          <cell r="E159"/>
          <cell r="F159"/>
          <cell r="G159"/>
          <cell r="H159"/>
          <cell r="I159"/>
          <cell r="J159"/>
          <cell r="K159">
            <v>0</v>
          </cell>
          <cell r="L159">
            <v>0</v>
          </cell>
          <cell r="M159"/>
          <cell r="N159"/>
          <cell r="O159"/>
        </row>
        <row r="160">
          <cell r="B160"/>
          <cell r="C160" t="str">
            <v/>
          </cell>
          <cell r="D160"/>
          <cell r="E160"/>
          <cell r="F160"/>
          <cell r="G160"/>
          <cell r="H160"/>
          <cell r="I160"/>
          <cell r="J160"/>
          <cell r="K160">
            <v>0</v>
          </cell>
          <cell r="L160">
            <v>0</v>
          </cell>
          <cell r="M160"/>
          <cell r="N160"/>
          <cell r="O160"/>
        </row>
        <row r="161">
          <cell r="B161"/>
          <cell r="C161" t="str">
            <v/>
          </cell>
          <cell r="D161"/>
          <cell r="E161"/>
          <cell r="F161"/>
          <cell r="G161"/>
          <cell r="H161"/>
          <cell r="I161"/>
          <cell r="J161"/>
          <cell r="K161">
            <v>0</v>
          </cell>
          <cell r="L161">
            <v>0</v>
          </cell>
          <cell r="M161"/>
          <cell r="N161"/>
          <cell r="O161"/>
        </row>
        <row r="162">
          <cell r="B162"/>
          <cell r="C162" t="str">
            <v/>
          </cell>
          <cell r="D162"/>
          <cell r="E162"/>
          <cell r="F162"/>
          <cell r="G162"/>
          <cell r="H162"/>
          <cell r="I162"/>
          <cell r="J162"/>
          <cell r="K162">
            <v>0</v>
          </cell>
          <cell r="L162">
            <v>0</v>
          </cell>
          <cell r="M162"/>
          <cell r="N162"/>
          <cell r="O162"/>
        </row>
        <row r="163">
          <cell r="B163"/>
          <cell r="C163" t="str">
            <v/>
          </cell>
          <cell r="D163"/>
          <cell r="E163"/>
          <cell r="F163"/>
          <cell r="G163"/>
          <cell r="H163"/>
          <cell r="I163"/>
          <cell r="J163"/>
          <cell r="K163">
            <v>0</v>
          </cell>
          <cell r="L163">
            <v>0</v>
          </cell>
          <cell r="M163"/>
          <cell r="N163"/>
          <cell r="O163"/>
        </row>
        <row r="164">
          <cell r="B164"/>
          <cell r="C164" t="str">
            <v/>
          </cell>
          <cell r="D164"/>
          <cell r="E164"/>
          <cell r="F164"/>
          <cell r="G164"/>
          <cell r="H164"/>
          <cell r="I164"/>
          <cell r="J164"/>
          <cell r="K164">
            <v>0</v>
          </cell>
          <cell r="L164">
            <v>0</v>
          </cell>
          <cell r="M164"/>
          <cell r="N164"/>
          <cell r="O164"/>
        </row>
        <row r="165">
          <cell r="B165"/>
          <cell r="C165" t="str">
            <v/>
          </cell>
          <cell r="D165"/>
          <cell r="E165"/>
          <cell r="F165"/>
          <cell r="G165"/>
          <cell r="H165"/>
          <cell r="I165"/>
          <cell r="J165"/>
          <cell r="K165">
            <v>0</v>
          </cell>
          <cell r="L165">
            <v>0</v>
          </cell>
          <cell r="M165"/>
          <cell r="N165"/>
          <cell r="O165"/>
        </row>
        <row r="166">
          <cell r="B166"/>
          <cell r="C166" t="str">
            <v/>
          </cell>
          <cell r="D166"/>
          <cell r="E166"/>
          <cell r="F166"/>
          <cell r="G166"/>
          <cell r="H166"/>
          <cell r="I166"/>
          <cell r="J166"/>
          <cell r="K166">
            <v>0</v>
          </cell>
          <cell r="L166">
            <v>0</v>
          </cell>
          <cell r="M166"/>
          <cell r="N166"/>
          <cell r="O166"/>
        </row>
        <row r="167">
          <cell r="B167"/>
          <cell r="C167" t="str">
            <v/>
          </cell>
          <cell r="D167"/>
          <cell r="E167"/>
          <cell r="F167"/>
          <cell r="G167"/>
          <cell r="H167"/>
          <cell r="I167"/>
          <cell r="J167"/>
          <cell r="K167">
            <v>0</v>
          </cell>
          <cell r="L167">
            <v>0</v>
          </cell>
          <cell r="M167"/>
          <cell r="N167"/>
          <cell r="O167"/>
        </row>
        <row r="168">
          <cell r="B168"/>
          <cell r="C168" t="str">
            <v/>
          </cell>
          <cell r="D168"/>
          <cell r="E168"/>
          <cell r="F168"/>
          <cell r="G168"/>
          <cell r="H168"/>
          <cell r="I168"/>
          <cell r="J168"/>
          <cell r="K168">
            <v>0</v>
          </cell>
          <cell r="L168">
            <v>0</v>
          </cell>
          <cell r="M168"/>
          <cell r="N168"/>
          <cell r="O168"/>
        </row>
        <row r="169">
          <cell r="B169"/>
          <cell r="C169" t="str">
            <v/>
          </cell>
          <cell r="D169"/>
          <cell r="E169"/>
          <cell r="F169"/>
          <cell r="G169"/>
          <cell r="H169"/>
          <cell r="I169"/>
          <cell r="J169"/>
          <cell r="K169">
            <v>0</v>
          </cell>
          <cell r="L169">
            <v>0</v>
          </cell>
          <cell r="M169"/>
          <cell r="N169"/>
          <cell r="O169"/>
        </row>
        <row r="170">
          <cell r="B170"/>
          <cell r="C170" t="str">
            <v/>
          </cell>
          <cell r="D170"/>
          <cell r="E170"/>
          <cell r="F170"/>
          <cell r="G170"/>
          <cell r="H170"/>
          <cell r="I170"/>
          <cell r="J170"/>
          <cell r="K170">
            <v>0</v>
          </cell>
          <cell r="L170">
            <v>0</v>
          </cell>
          <cell r="M170"/>
          <cell r="N170"/>
          <cell r="O170"/>
        </row>
        <row r="171">
          <cell r="B171"/>
          <cell r="C171" t="str">
            <v/>
          </cell>
          <cell r="D171"/>
          <cell r="E171"/>
          <cell r="F171"/>
          <cell r="G171"/>
          <cell r="H171"/>
          <cell r="I171"/>
          <cell r="J171"/>
          <cell r="K171">
            <v>0</v>
          </cell>
          <cell r="L171">
            <v>0</v>
          </cell>
          <cell r="M171"/>
          <cell r="N171"/>
          <cell r="O171"/>
        </row>
        <row r="172">
          <cell r="B172"/>
          <cell r="C172" t="str">
            <v/>
          </cell>
          <cell r="D172"/>
          <cell r="E172"/>
          <cell r="F172"/>
          <cell r="G172"/>
          <cell r="H172"/>
          <cell r="I172"/>
          <cell r="J172"/>
          <cell r="K172">
            <v>0</v>
          </cell>
          <cell r="L172">
            <v>0</v>
          </cell>
          <cell r="M172"/>
          <cell r="N172"/>
          <cell r="O172"/>
        </row>
        <row r="173">
          <cell r="B173"/>
          <cell r="C173" t="str">
            <v/>
          </cell>
          <cell r="D173"/>
          <cell r="E173"/>
          <cell r="F173"/>
          <cell r="G173"/>
          <cell r="H173"/>
          <cell r="I173"/>
          <cell r="J173"/>
          <cell r="K173">
            <v>0</v>
          </cell>
          <cell r="L173">
            <v>0</v>
          </cell>
          <cell r="M173"/>
          <cell r="N173"/>
          <cell r="O173"/>
        </row>
        <row r="174">
          <cell r="B174"/>
          <cell r="C174" t="str">
            <v/>
          </cell>
          <cell r="D174"/>
          <cell r="E174"/>
          <cell r="F174"/>
          <cell r="G174"/>
          <cell r="H174"/>
          <cell r="I174"/>
          <cell r="J174"/>
          <cell r="K174">
            <v>0</v>
          </cell>
          <cell r="L174">
            <v>0</v>
          </cell>
          <cell r="M174"/>
          <cell r="N174"/>
          <cell r="O174"/>
        </row>
        <row r="175">
          <cell r="B175"/>
          <cell r="C175" t="str">
            <v/>
          </cell>
          <cell r="D175"/>
          <cell r="E175"/>
          <cell r="F175"/>
          <cell r="G175"/>
          <cell r="H175"/>
          <cell r="I175"/>
          <cell r="J175"/>
          <cell r="K175">
            <v>0</v>
          </cell>
          <cell r="L175">
            <v>0</v>
          </cell>
          <cell r="M175"/>
          <cell r="N175"/>
          <cell r="O175"/>
        </row>
        <row r="176">
          <cell r="B176"/>
          <cell r="C176" t="str">
            <v/>
          </cell>
          <cell r="D176"/>
          <cell r="E176"/>
          <cell r="F176"/>
          <cell r="G176"/>
          <cell r="H176"/>
          <cell r="I176"/>
          <cell r="J176"/>
          <cell r="K176">
            <v>0</v>
          </cell>
          <cell r="L176">
            <v>0</v>
          </cell>
          <cell r="M176"/>
          <cell r="N176"/>
          <cell r="O176"/>
        </row>
        <row r="177">
          <cell r="B177"/>
          <cell r="C177" t="str">
            <v/>
          </cell>
          <cell r="D177"/>
          <cell r="E177"/>
          <cell r="F177"/>
          <cell r="G177"/>
          <cell r="H177"/>
          <cell r="I177"/>
          <cell r="J177"/>
          <cell r="K177">
            <v>0</v>
          </cell>
          <cell r="L177">
            <v>0</v>
          </cell>
          <cell r="M177"/>
          <cell r="N177"/>
          <cell r="O177"/>
        </row>
        <row r="178">
          <cell r="B178"/>
          <cell r="C178" t="str">
            <v/>
          </cell>
          <cell r="D178"/>
          <cell r="E178"/>
          <cell r="F178"/>
          <cell r="G178"/>
          <cell r="H178"/>
          <cell r="I178"/>
          <cell r="J178"/>
          <cell r="K178">
            <v>0</v>
          </cell>
          <cell r="L178">
            <v>0</v>
          </cell>
          <cell r="M178"/>
          <cell r="N178"/>
          <cell r="O178"/>
        </row>
        <row r="179">
          <cell r="B179"/>
          <cell r="C179" t="str">
            <v/>
          </cell>
          <cell r="D179"/>
          <cell r="E179"/>
          <cell r="F179"/>
          <cell r="G179"/>
          <cell r="H179"/>
          <cell r="I179"/>
          <cell r="J179"/>
          <cell r="K179">
            <v>0</v>
          </cell>
          <cell r="L179">
            <v>0</v>
          </cell>
          <cell r="M179"/>
          <cell r="N179"/>
          <cell r="O179"/>
        </row>
        <row r="180">
          <cell r="B180"/>
          <cell r="C180" t="str">
            <v/>
          </cell>
          <cell r="D180"/>
          <cell r="E180"/>
          <cell r="F180"/>
          <cell r="G180"/>
          <cell r="H180"/>
          <cell r="I180"/>
          <cell r="J180"/>
          <cell r="K180">
            <v>0</v>
          </cell>
          <cell r="L180">
            <v>0</v>
          </cell>
          <cell r="M180"/>
          <cell r="N180"/>
          <cell r="O180"/>
        </row>
        <row r="181">
          <cell r="B181"/>
          <cell r="C181" t="str">
            <v/>
          </cell>
          <cell r="D181"/>
          <cell r="E181"/>
          <cell r="F181"/>
          <cell r="G181"/>
          <cell r="H181"/>
          <cell r="I181"/>
          <cell r="J181"/>
          <cell r="K181">
            <v>0</v>
          </cell>
          <cell r="L181">
            <v>0</v>
          </cell>
          <cell r="M181"/>
          <cell r="N181"/>
          <cell r="O181"/>
        </row>
        <row r="182">
          <cell r="B182"/>
          <cell r="C182" t="str">
            <v/>
          </cell>
          <cell r="D182"/>
          <cell r="E182"/>
          <cell r="F182"/>
          <cell r="G182"/>
          <cell r="H182"/>
          <cell r="I182"/>
          <cell r="J182"/>
          <cell r="K182">
            <v>0</v>
          </cell>
          <cell r="L182">
            <v>0</v>
          </cell>
          <cell r="M182"/>
          <cell r="N182"/>
          <cell r="O182"/>
        </row>
        <row r="183">
          <cell r="B183"/>
          <cell r="C183" t="str">
            <v/>
          </cell>
          <cell r="D183"/>
          <cell r="E183"/>
          <cell r="F183"/>
          <cell r="G183"/>
          <cell r="H183"/>
          <cell r="I183"/>
          <cell r="J183"/>
          <cell r="K183">
            <v>0</v>
          </cell>
          <cell r="L183">
            <v>0</v>
          </cell>
          <cell r="M183"/>
          <cell r="N183"/>
          <cell r="O183"/>
        </row>
        <row r="184">
          <cell r="B184"/>
          <cell r="C184" t="str">
            <v/>
          </cell>
          <cell r="D184"/>
          <cell r="E184"/>
          <cell r="F184"/>
          <cell r="G184"/>
          <cell r="H184"/>
          <cell r="I184"/>
          <cell r="J184"/>
          <cell r="K184">
            <v>0</v>
          </cell>
          <cell r="L184">
            <v>0</v>
          </cell>
          <cell r="M184"/>
          <cell r="N184"/>
          <cell r="O184"/>
        </row>
        <row r="185">
          <cell r="B185"/>
          <cell r="C185" t="str">
            <v/>
          </cell>
          <cell r="D185"/>
          <cell r="E185"/>
          <cell r="F185"/>
          <cell r="G185"/>
          <cell r="H185"/>
          <cell r="I185"/>
          <cell r="J185"/>
          <cell r="K185">
            <v>0</v>
          </cell>
          <cell r="L185">
            <v>0</v>
          </cell>
          <cell r="M185"/>
          <cell r="N185"/>
          <cell r="O185"/>
        </row>
        <row r="186">
          <cell r="B186"/>
          <cell r="C186" t="str">
            <v/>
          </cell>
          <cell r="D186"/>
          <cell r="E186"/>
          <cell r="F186"/>
          <cell r="G186"/>
          <cell r="H186"/>
          <cell r="I186"/>
          <cell r="J186"/>
          <cell r="K186">
            <v>0</v>
          </cell>
          <cell r="L186">
            <v>0</v>
          </cell>
          <cell r="M186"/>
          <cell r="N186"/>
          <cell r="O186"/>
        </row>
        <row r="187">
          <cell r="B187"/>
          <cell r="C187" t="str">
            <v/>
          </cell>
          <cell r="D187"/>
          <cell r="E187"/>
          <cell r="F187"/>
          <cell r="G187"/>
          <cell r="H187"/>
          <cell r="I187"/>
          <cell r="J187"/>
          <cell r="K187">
            <v>0</v>
          </cell>
          <cell r="L187">
            <v>0</v>
          </cell>
          <cell r="M187"/>
          <cell r="N187"/>
          <cell r="O187"/>
        </row>
        <row r="188">
          <cell r="B188"/>
          <cell r="C188" t="str">
            <v/>
          </cell>
          <cell r="D188"/>
          <cell r="E188"/>
          <cell r="F188"/>
          <cell r="G188"/>
          <cell r="H188"/>
          <cell r="I188"/>
          <cell r="J188"/>
          <cell r="K188">
            <v>0</v>
          </cell>
          <cell r="L188">
            <v>0</v>
          </cell>
          <cell r="M188"/>
          <cell r="N188"/>
          <cell r="O188"/>
        </row>
        <row r="189">
          <cell r="B189"/>
          <cell r="C189" t="str">
            <v/>
          </cell>
          <cell r="D189"/>
          <cell r="E189"/>
          <cell r="F189"/>
          <cell r="G189"/>
          <cell r="H189"/>
          <cell r="I189"/>
          <cell r="J189"/>
          <cell r="K189">
            <v>0</v>
          </cell>
          <cell r="L189">
            <v>0</v>
          </cell>
          <cell r="M189"/>
          <cell r="N189"/>
          <cell r="O189"/>
        </row>
        <row r="190">
          <cell r="B190"/>
          <cell r="C190" t="str">
            <v/>
          </cell>
          <cell r="D190"/>
          <cell r="E190"/>
          <cell r="F190"/>
          <cell r="G190"/>
          <cell r="H190"/>
          <cell r="I190"/>
          <cell r="J190"/>
          <cell r="K190">
            <v>0</v>
          </cell>
          <cell r="L190">
            <v>0</v>
          </cell>
          <cell r="M190"/>
          <cell r="N190"/>
          <cell r="O190"/>
        </row>
        <row r="191">
          <cell r="B191"/>
          <cell r="C191" t="str">
            <v/>
          </cell>
          <cell r="D191"/>
          <cell r="E191"/>
          <cell r="F191"/>
          <cell r="G191"/>
          <cell r="H191"/>
          <cell r="I191"/>
          <cell r="J191"/>
          <cell r="K191">
            <v>0</v>
          </cell>
          <cell r="L191">
            <v>0</v>
          </cell>
          <cell r="M191"/>
          <cell r="N191"/>
          <cell r="O191"/>
        </row>
        <row r="192">
          <cell r="B192"/>
          <cell r="C192" t="str">
            <v/>
          </cell>
          <cell r="D192"/>
          <cell r="E192"/>
          <cell r="F192"/>
          <cell r="G192"/>
          <cell r="H192"/>
          <cell r="I192"/>
          <cell r="J192"/>
          <cell r="K192">
            <v>0</v>
          </cell>
          <cell r="L192">
            <v>0</v>
          </cell>
          <cell r="M192"/>
          <cell r="N192"/>
          <cell r="O192"/>
        </row>
        <row r="193">
          <cell r="B193"/>
          <cell r="C193" t="str">
            <v/>
          </cell>
          <cell r="D193"/>
          <cell r="E193"/>
          <cell r="F193"/>
          <cell r="G193"/>
          <cell r="H193"/>
          <cell r="I193"/>
          <cell r="J193"/>
          <cell r="K193">
            <v>0</v>
          </cell>
          <cell r="L193">
            <v>0</v>
          </cell>
          <cell r="M193"/>
          <cell r="N193"/>
          <cell r="O193"/>
        </row>
        <row r="194">
          <cell r="B194"/>
          <cell r="C194" t="str">
            <v/>
          </cell>
          <cell r="D194"/>
          <cell r="E194"/>
          <cell r="F194"/>
          <cell r="G194"/>
          <cell r="H194"/>
          <cell r="I194"/>
          <cell r="J194"/>
          <cell r="K194">
            <v>0</v>
          </cell>
          <cell r="L194">
            <v>0</v>
          </cell>
          <cell r="M194"/>
          <cell r="N194"/>
          <cell r="O194"/>
        </row>
        <row r="195">
          <cell r="B195"/>
          <cell r="C195" t="str">
            <v/>
          </cell>
          <cell r="D195"/>
          <cell r="E195"/>
          <cell r="F195"/>
          <cell r="G195"/>
          <cell r="H195"/>
          <cell r="I195"/>
          <cell r="J195"/>
          <cell r="K195">
            <v>0</v>
          </cell>
          <cell r="L195">
            <v>0</v>
          </cell>
          <cell r="M195"/>
          <cell r="N195"/>
          <cell r="O195"/>
        </row>
        <row r="196">
          <cell r="B196"/>
          <cell r="C196" t="str">
            <v/>
          </cell>
          <cell r="D196"/>
          <cell r="E196"/>
          <cell r="F196"/>
          <cell r="G196"/>
          <cell r="H196"/>
          <cell r="I196"/>
          <cell r="J196"/>
          <cell r="K196">
            <v>0</v>
          </cell>
          <cell r="L196">
            <v>0</v>
          </cell>
          <cell r="M196"/>
          <cell r="N196"/>
          <cell r="O196"/>
        </row>
        <row r="197">
          <cell r="B197"/>
          <cell r="C197" t="str">
            <v/>
          </cell>
          <cell r="D197"/>
          <cell r="E197"/>
          <cell r="F197"/>
          <cell r="G197"/>
          <cell r="H197"/>
          <cell r="I197"/>
          <cell r="J197"/>
          <cell r="K197">
            <v>0</v>
          </cell>
          <cell r="L197">
            <v>0</v>
          </cell>
          <cell r="M197"/>
          <cell r="N197"/>
          <cell r="O197"/>
        </row>
        <row r="198">
          <cell r="B198"/>
          <cell r="C198" t="str">
            <v/>
          </cell>
          <cell r="D198"/>
          <cell r="E198"/>
          <cell r="F198"/>
          <cell r="G198"/>
          <cell r="H198"/>
          <cell r="I198"/>
          <cell r="J198"/>
          <cell r="K198">
            <v>0</v>
          </cell>
          <cell r="L198">
            <v>0</v>
          </cell>
          <cell r="M198"/>
          <cell r="N198"/>
          <cell r="O198"/>
        </row>
        <row r="199">
          <cell r="B199"/>
          <cell r="C199" t="str">
            <v/>
          </cell>
          <cell r="D199"/>
          <cell r="E199"/>
          <cell r="F199"/>
          <cell r="G199"/>
          <cell r="H199"/>
          <cell r="I199"/>
          <cell r="J199"/>
          <cell r="K199">
            <v>0</v>
          </cell>
          <cell r="L199">
            <v>0</v>
          </cell>
          <cell r="M199"/>
          <cell r="N199"/>
          <cell r="O199"/>
        </row>
        <row r="200">
          <cell r="B200"/>
          <cell r="C200" t="str">
            <v/>
          </cell>
          <cell r="D200"/>
          <cell r="E200"/>
          <cell r="F200"/>
          <cell r="G200"/>
          <cell r="H200"/>
          <cell r="I200"/>
          <cell r="J200"/>
          <cell r="K200">
            <v>0</v>
          </cell>
          <cell r="L200">
            <v>0</v>
          </cell>
          <cell r="M200"/>
          <cell r="N200"/>
          <cell r="O200"/>
        </row>
        <row r="201">
          <cell r="B201"/>
          <cell r="C201" t="str">
            <v/>
          </cell>
          <cell r="D201"/>
          <cell r="E201"/>
          <cell r="F201"/>
          <cell r="G201"/>
          <cell r="H201"/>
          <cell r="I201"/>
          <cell r="J201"/>
          <cell r="K201">
            <v>0</v>
          </cell>
          <cell r="L201">
            <v>0</v>
          </cell>
          <cell r="M201"/>
          <cell r="N201"/>
          <cell r="O201"/>
        </row>
        <row r="202">
          <cell r="B202"/>
          <cell r="C202" t="str">
            <v/>
          </cell>
          <cell r="D202"/>
          <cell r="E202"/>
          <cell r="F202"/>
          <cell r="G202"/>
          <cell r="H202"/>
          <cell r="I202"/>
          <cell r="J202"/>
          <cell r="K202">
            <v>0</v>
          </cell>
          <cell r="L202">
            <v>0</v>
          </cell>
          <cell r="M202"/>
          <cell r="N202"/>
          <cell r="O202"/>
        </row>
        <row r="203">
          <cell r="B203"/>
          <cell r="C203" t="str">
            <v/>
          </cell>
          <cell r="D203"/>
          <cell r="E203"/>
          <cell r="F203"/>
          <cell r="G203"/>
          <cell r="H203"/>
          <cell r="I203"/>
          <cell r="J203"/>
          <cell r="K203">
            <v>0</v>
          </cell>
          <cell r="L203">
            <v>0</v>
          </cell>
          <cell r="M203"/>
          <cell r="N203"/>
          <cell r="O203"/>
        </row>
        <row r="204">
          <cell r="B204"/>
          <cell r="C204" t="str">
            <v/>
          </cell>
          <cell r="D204"/>
          <cell r="E204"/>
          <cell r="F204"/>
          <cell r="G204"/>
          <cell r="H204"/>
          <cell r="I204"/>
          <cell r="J204"/>
          <cell r="K204">
            <v>0</v>
          </cell>
          <cell r="L204">
            <v>0</v>
          </cell>
          <cell r="M204"/>
          <cell r="N204"/>
          <cell r="O204"/>
        </row>
        <row r="205">
          <cell r="B205"/>
          <cell r="C205" t="str">
            <v/>
          </cell>
          <cell r="D205"/>
          <cell r="E205"/>
          <cell r="F205"/>
          <cell r="G205"/>
          <cell r="H205"/>
          <cell r="I205"/>
          <cell r="J205"/>
          <cell r="K205">
            <v>0</v>
          </cell>
          <cell r="L205">
            <v>0</v>
          </cell>
          <cell r="M205"/>
          <cell r="N205"/>
          <cell r="O205"/>
        </row>
      </sheetData>
      <sheetData sheetId="4"/>
      <sheetData sheetId="5">
        <row r="7">
          <cell r="B7">
            <v>7140001</v>
          </cell>
          <cell r="C7" t="str">
            <v>Md. Rifat Hossain</v>
          </cell>
          <cell r="D7" t="str">
            <v>Utility &amp; Maintenance</v>
          </cell>
          <cell r="E7" t="str">
            <v>Mechanical</v>
          </cell>
          <cell r="F7" t="str">
            <v>Assistant Fitter Man</v>
          </cell>
          <cell r="G7">
            <v>41752</v>
          </cell>
          <cell r="H7" t="str">
            <v>Staff</v>
          </cell>
          <cell r="I7">
            <v>14388</v>
          </cell>
          <cell r="J7">
            <v>23979</v>
          </cell>
          <cell r="K7">
            <v>799.3</v>
          </cell>
          <cell r="L7">
            <v>479.6</v>
          </cell>
          <cell r="M7">
            <v>12</v>
          </cell>
          <cell r="N7"/>
        </row>
        <row r="8">
          <cell r="B8">
            <v>7140002</v>
          </cell>
          <cell r="C8" t="str">
            <v>Ziyaur Rahman</v>
          </cell>
          <cell r="D8" t="str">
            <v>Utility &amp; Maintenance</v>
          </cell>
          <cell r="E8" t="str">
            <v>Mechanical</v>
          </cell>
          <cell r="F8" t="str">
            <v>Assistant Fitter Man</v>
          </cell>
          <cell r="G8">
            <v>42585</v>
          </cell>
          <cell r="H8" t="str">
            <v>Staff</v>
          </cell>
          <cell r="I8">
            <v>13080</v>
          </cell>
          <cell r="J8">
            <v>21800</v>
          </cell>
          <cell r="K8">
            <v>726.66666666666663</v>
          </cell>
          <cell r="L8">
            <v>436</v>
          </cell>
          <cell r="M8">
            <v>12</v>
          </cell>
          <cell r="N8"/>
        </row>
        <row r="9">
          <cell r="B9">
            <v>7140001</v>
          </cell>
          <cell r="C9" t="str">
            <v>Md. Rifat Hossain</v>
          </cell>
          <cell r="D9" t="str">
            <v>Utility &amp; Maintenance</v>
          </cell>
          <cell r="E9" t="str">
            <v>Mechanical</v>
          </cell>
          <cell r="F9" t="str">
            <v>Assistant Fitter Man</v>
          </cell>
          <cell r="G9">
            <v>41752</v>
          </cell>
          <cell r="H9" t="str">
            <v>Staff</v>
          </cell>
          <cell r="I9">
            <v>14388</v>
          </cell>
          <cell r="J9">
            <v>23979</v>
          </cell>
          <cell r="K9">
            <v>799.3</v>
          </cell>
          <cell r="L9">
            <v>479.6</v>
          </cell>
          <cell r="M9">
            <v>12</v>
          </cell>
          <cell r="N9"/>
        </row>
        <row r="10">
          <cell r="B10">
            <v>7140002</v>
          </cell>
          <cell r="C10" t="str">
            <v>Ziyaur Rahman</v>
          </cell>
          <cell r="D10" t="str">
            <v>Utility &amp; Maintenance</v>
          </cell>
          <cell r="E10" t="str">
            <v>Mechanical</v>
          </cell>
          <cell r="F10" t="str">
            <v>Assistant Fitter Man</v>
          </cell>
          <cell r="G10">
            <v>42585</v>
          </cell>
          <cell r="H10" t="str">
            <v>Staff</v>
          </cell>
          <cell r="I10">
            <v>13080</v>
          </cell>
          <cell r="J10">
            <v>21800</v>
          </cell>
          <cell r="K10">
            <v>726.66666666666663</v>
          </cell>
          <cell r="L10">
            <v>436</v>
          </cell>
          <cell r="M10" t="str">
            <v>12</v>
          </cell>
          <cell r="N10"/>
        </row>
        <row r="11">
          <cell r="B11">
            <v>7140003</v>
          </cell>
          <cell r="C11" t="str">
            <v>Sree. Sipon Sarkar</v>
          </cell>
          <cell r="D11" t="str">
            <v>Utility &amp; Maintenance</v>
          </cell>
          <cell r="E11" t="str">
            <v>Mechanical</v>
          </cell>
          <cell r="F11" t="str">
            <v>Assistant Fitter Man</v>
          </cell>
          <cell r="G11">
            <v>41745</v>
          </cell>
          <cell r="H11" t="str">
            <v>Staff</v>
          </cell>
          <cell r="I11">
            <v>13734</v>
          </cell>
          <cell r="J11">
            <v>22891</v>
          </cell>
          <cell r="K11">
            <v>763.0333333333333</v>
          </cell>
          <cell r="L11">
            <v>457.8</v>
          </cell>
          <cell r="M11" t="str">
            <v>12</v>
          </cell>
          <cell r="N11"/>
        </row>
        <row r="12">
          <cell r="B12"/>
          <cell r="C12" t="str">
            <v/>
          </cell>
          <cell r="D12"/>
          <cell r="E12"/>
          <cell r="F12"/>
          <cell r="G12"/>
          <cell r="H12"/>
          <cell r="I12"/>
          <cell r="J12"/>
          <cell r="K12">
            <v>0</v>
          </cell>
          <cell r="L12">
            <v>0</v>
          </cell>
          <cell r="M12"/>
          <cell r="N12"/>
        </row>
        <row r="13">
          <cell r="B13"/>
          <cell r="C13" t="str">
            <v/>
          </cell>
          <cell r="D13"/>
          <cell r="E13"/>
          <cell r="F13"/>
          <cell r="G13"/>
          <cell r="H13"/>
          <cell r="I13"/>
          <cell r="J13"/>
          <cell r="K13">
            <v>0</v>
          </cell>
          <cell r="L13">
            <v>0</v>
          </cell>
          <cell r="M13"/>
          <cell r="N13"/>
        </row>
        <row r="14">
          <cell r="B14"/>
          <cell r="C14" t="str">
            <v/>
          </cell>
          <cell r="D14"/>
          <cell r="E14"/>
          <cell r="F14"/>
          <cell r="G14"/>
          <cell r="H14"/>
          <cell r="I14"/>
          <cell r="J14"/>
          <cell r="K14">
            <v>0</v>
          </cell>
          <cell r="L14">
            <v>0</v>
          </cell>
          <cell r="M14"/>
          <cell r="N14"/>
        </row>
        <row r="15">
          <cell r="B15"/>
          <cell r="C15" t="str">
            <v/>
          </cell>
          <cell r="D15"/>
          <cell r="E15"/>
          <cell r="F15"/>
          <cell r="G15"/>
          <cell r="H15"/>
          <cell r="I15"/>
          <cell r="J15"/>
          <cell r="K15">
            <v>0</v>
          </cell>
          <cell r="L15">
            <v>0</v>
          </cell>
          <cell r="M15"/>
          <cell r="N15"/>
        </row>
        <row r="16">
          <cell r="B16"/>
          <cell r="C16" t="str">
            <v/>
          </cell>
          <cell r="D16"/>
          <cell r="E16"/>
          <cell r="F16"/>
          <cell r="G16"/>
          <cell r="H16"/>
          <cell r="I16"/>
          <cell r="J16"/>
          <cell r="K16">
            <v>0</v>
          </cell>
          <cell r="L16">
            <v>0</v>
          </cell>
          <cell r="M16"/>
          <cell r="N16"/>
        </row>
        <row r="17">
          <cell r="B17"/>
          <cell r="C17" t="str">
            <v/>
          </cell>
          <cell r="D17"/>
          <cell r="E17"/>
          <cell r="F17"/>
          <cell r="G17"/>
          <cell r="H17"/>
          <cell r="I17"/>
          <cell r="J17"/>
          <cell r="K17">
            <v>0</v>
          </cell>
          <cell r="L17">
            <v>0</v>
          </cell>
          <cell r="M17"/>
          <cell r="N17"/>
        </row>
        <row r="18">
          <cell r="B18"/>
          <cell r="C18" t="str">
            <v/>
          </cell>
          <cell r="D18"/>
          <cell r="E18"/>
          <cell r="F18"/>
          <cell r="G18"/>
          <cell r="H18"/>
          <cell r="I18"/>
          <cell r="J18"/>
          <cell r="K18">
            <v>0</v>
          </cell>
          <cell r="L18">
            <v>0</v>
          </cell>
          <cell r="M18"/>
          <cell r="N18"/>
        </row>
        <row r="19">
          <cell r="B19"/>
          <cell r="C19" t="str">
            <v/>
          </cell>
          <cell r="D19"/>
          <cell r="E19"/>
          <cell r="F19"/>
          <cell r="G19"/>
          <cell r="H19"/>
          <cell r="I19"/>
          <cell r="J19"/>
          <cell r="K19">
            <v>0</v>
          </cell>
          <cell r="L19">
            <v>0</v>
          </cell>
          <cell r="M19"/>
          <cell r="N19"/>
        </row>
        <row r="20">
          <cell r="B20"/>
          <cell r="C20" t="str">
            <v/>
          </cell>
          <cell r="D20"/>
          <cell r="E20"/>
          <cell r="F20"/>
          <cell r="G20"/>
          <cell r="H20"/>
          <cell r="I20"/>
          <cell r="J20"/>
          <cell r="K20">
            <v>0</v>
          </cell>
          <cell r="L20">
            <v>0</v>
          </cell>
          <cell r="M20"/>
          <cell r="N20"/>
        </row>
        <row r="21">
          <cell r="B21"/>
          <cell r="C21" t="str">
            <v/>
          </cell>
          <cell r="D21"/>
          <cell r="E21"/>
          <cell r="F21"/>
          <cell r="G21"/>
          <cell r="H21"/>
          <cell r="I21"/>
          <cell r="J21"/>
          <cell r="K21">
            <v>0</v>
          </cell>
          <cell r="L21">
            <v>0</v>
          </cell>
          <cell r="M21"/>
          <cell r="N21"/>
        </row>
        <row r="22">
          <cell r="B22"/>
          <cell r="C22" t="str">
            <v/>
          </cell>
          <cell r="D22"/>
          <cell r="E22"/>
          <cell r="F22"/>
          <cell r="G22"/>
          <cell r="H22"/>
          <cell r="I22"/>
          <cell r="J22"/>
          <cell r="K22">
            <v>0</v>
          </cell>
          <cell r="L22">
            <v>0</v>
          </cell>
          <cell r="M22"/>
          <cell r="N22"/>
        </row>
        <row r="23">
          <cell r="B23"/>
          <cell r="C23" t="str">
            <v/>
          </cell>
          <cell r="D23"/>
          <cell r="E23"/>
          <cell r="F23"/>
          <cell r="G23"/>
          <cell r="H23"/>
          <cell r="I23"/>
          <cell r="J23"/>
          <cell r="K23">
            <v>0</v>
          </cell>
          <cell r="L23">
            <v>0</v>
          </cell>
          <cell r="M23"/>
          <cell r="N23"/>
        </row>
        <row r="24">
          <cell r="B24"/>
          <cell r="C24" t="str">
            <v/>
          </cell>
          <cell r="D24"/>
          <cell r="E24"/>
          <cell r="F24"/>
          <cell r="G24"/>
          <cell r="H24"/>
          <cell r="I24"/>
          <cell r="J24"/>
          <cell r="K24">
            <v>0</v>
          </cell>
          <cell r="L24">
            <v>0</v>
          </cell>
          <cell r="M24"/>
          <cell r="N24"/>
        </row>
        <row r="25">
          <cell r="B25"/>
          <cell r="C25" t="str">
            <v/>
          </cell>
          <cell r="D25"/>
          <cell r="E25"/>
          <cell r="F25"/>
          <cell r="G25"/>
          <cell r="H25"/>
          <cell r="I25"/>
          <cell r="J25"/>
          <cell r="K25">
            <v>0</v>
          </cell>
          <cell r="L25">
            <v>0</v>
          </cell>
          <cell r="M25"/>
          <cell r="N25"/>
        </row>
        <row r="26">
          <cell r="B26"/>
          <cell r="C26" t="str">
            <v/>
          </cell>
          <cell r="D26"/>
          <cell r="E26"/>
          <cell r="F26"/>
          <cell r="G26"/>
          <cell r="H26"/>
          <cell r="I26"/>
          <cell r="J26"/>
          <cell r="K26">
            <v>0</v>
          </cell>
          <cell r="L26">
            <v>0</v>
          </cell>
          <cell r="M26"/>
          <cell r="N26"/>
        </row>
        <row r="27">
          <cell r="B27"/>
          <cell r="C27" t="str">
            <v/>
          </cell>
          <cell r="D27"/>
          <cell r="E27"/>
          <cell r="F27"/>
          <cell r="G27"/>
          <cell r="H27"/>
          <cell r="I27"/>
          <cell r="J27"/>
          <cell r="K27">
            <v>0</v>
          </cell>
          <cell r="L27">
            <v>0</v>
          </cell>
          <cell r="M27"/>
          <cell r="N27"/>
        </row>
        <row r="28">
          <cell r="B28"/>
          <cell r="C28" t="str">
            <v/>
          </cell>
          <cell r="D28"/>
          <cell r="E28"/>
          <cell r="F28"/>
          <cell r="G28"/>
          <cell r="H28"/>
          <cell r="I28"/>
          <cell r="J28"/>
          <cell r="K28">
            <v>0</v>
          </cell>
          <cell r="L28">
            <v>0</v>
          </cell>
          <cell r="M28"/>
          <cell r="N28"/>
        </row>
        <row r="29">
          <cell r="B29"/>
          <cell r="C29" t="str">
            <v/>
          </cell>
          <cell r="D29"/>
          <cell r="E29"/>
          <cell r="F29"/>
          <cell r="G29"/>
          <cell r="H29"/>
          <cell r="I29"/>
          <cell r="J29"/>
          <cell r="K29">
            <v>0</v>
          </cell>
          <cell r="L29">
            <v>0</v>
          </cell>
          <cell r="M29"/>
          <cell r="N29"/>
        </row>
        <row r="30">
          <cell r="B30"/>
          <cell r="C30" t="str">
            <v/>
          </cell>
          <cell r="D30"/>
          <cell r="E30"/>
          <cell r="F30"/>
          <cell r="G30"/>
          <cell r="H30"/>
          <cell r="I30"/>
          <cell r="J30"/>
          <cell r="K30">
            <v>0</v>
          </cell>
          <cell r="L30">
            <v>0</v>
          </cell>
          <cell r="M30"/>
          <cell r="N30"/>
        </row>
        <row r="31">
          <cell r="B31"/>
          <cell r="C31" t="str">
            <v/>
          </cell>
          <cell r="D31"/>
          <cell r="E31"/>
          <cell r="F31"/>
          <cell r="G31"/>
          <cell r="H31"/>
          <cell r="I31"/>
          <cell r="J31"/>
          <cell r="K31">
            <v>0</v>
          </cell>
          <cell r="L31">
            <v>0</v>
          </cell>
          <cell r="M31"/>
          <cell r="N31"/>
        </row>
        <row r="32">
          <cell r="B32"/>
          <cell r="C32" t="str">
            <v/>
          </cell>
          <cell r="D32"/>
          <cell r="E32"/>
          <cell r="F32"/>
          <cell r="G32"/>
          <cell r="H32"/>
          <cell r="I32"/>
          <cell r="J32"/>
          <cell r="K32">
            <v>0</v>
          </cell>
          <cell r="L32">
            <v>0</v>
          </cell>
          <cell r="M32"/>
          <cell r="N32"/>
        </row>
        <row r="33">
          <cell r="B33"/>
          <cell r="C33" t="str">
            <v/>
          </cell>
          <cell r="D33"/>
          <cell r="E33"/>
          <cell r="F33"/>
          <cell r="G33"/>
          <cell r="H33"/>
          <cell r="I33"/>
          <cell r="J33"/>
          <cell r="K33">
            <v>0</v>
          </cell>
          <cell r="L33">
            <v>0</v>
          </cell>
          <cell r="M33"/>
          <cell r="N33"/>
        </row>
        <row r="34">
          <cell r="B34"/>
          <cell r="C34" t="str">
            <v/>
          </cell>
          <cell r="D34"/>
          <cell r="E34"/>
          <cell r="F34"/>
          <cell r="G34"/>
          <cell r="H34"/>
          <cell r="I34"/>
          <cell r="J34"/>
          <cell r="K34">
            <v>0</v>
          </cell>
          <cell r="L34">
            <v>0</v>
          </cell>
          <cell r="M34"/>
          <cell r="N34"/>
        </row>
        <row r="35">
          <cell r="B35"/>
          <cell r="C35" t="str">
            <v/>
          </cell>
          <cell r="D35"/>
          <cell r="E35"/>
          <cell r="F35"/>
          <cell r="G35"/>
          <cell r="H35"/>
          <cell r="I35"/>
          <cell r="J35"/>
          <cell r="K35">
            <v>0</v>
          </cell>
          <cell r="L35">
            <v>0</v>
          </cell>
          <cell r="M35"/>
          <cell r="N35"/>
        </row>
        <row r="36">
          <cell r="B36"/>
          <cell r="C36" t="str">
            <v/>
          </cell>
          <cell r="D36"/>
          <cell r="E36"/>
          <cell r="F36"/>
          <cell r="G36"/>
          <cell r="H36"/>
          <cell r="I36"/>
          <cell r="J36"/>
          <cell r="K36">
            <v>0</v>
          </cell>
          <cell r="L36">
            <v>0</v>
          </cell>
          <cell r="M36"/>
          <cell r="N36"/>
        </row>
        <row r="37">
          <cell r="B37"/>
          <cell r="C37" t="str">
            <v/>
          </cell>
          <cell r="D37"/>
          <cell r="E37"/>
          <cell r="F37"/>
          <cell r="G37"/>
          <cell r="H37"/>
          <cell r="I37"/>
          <cell r="J37"/>
          <cell r="K37">
            <v>0</v>
          </cell>
          <cell r="L37">
            <v>0</v>
          </cell>
          <cell r="M37"/>
          <cell r="N37"/>
        </row>
        <row r="38">
          <cell r="B38"/>
          <cell r="C38" t="str">
            <v/>
          </cell>
          <cell r="D38"/>
          <cell r="E38"/>
          <cell r="F38"/>
          <cell r="G38"/>
          <cell r="H38"/>
          <cell r="I38"/>
          <cell r="J38"/>
          <cell r="K38">
            <v>0</v>
          </cell>
          <cell r="L38">
            <v>0</v>
          </cell>
          <cell r="M38"/>
          <cell r="N38"/>
        </row>
        <row r="39">
          <cell r="B39"/>
          <cell r="C39" t="str">
            <v/>
          </cell>
          <cell r="D39"/>
          <cell r="E39"/>
          <cell r="F39"/>
          <cell r="G39"/>
          <cell r="H39"/>
          <cell r="I39"/>
          <cell r="J39"/>
          <cell r="K39">
            <v>0</v>
          </cell>
          <cell r="L39">
            <v>0</v>
          </cell>
          <cell r="M39"/>
          <cell r="N39"/>
        </row>
        <row r="40">
          <cell r="B40"/>
          <cell r="C40" t="str">
            <v/>
          </cell>
          <cell r="D40"/>
          <cell r="E40"/>
          <cell r="F40"/>
          <cell r="G40"/>
          <cell r="H40"/>
          <cell r="I40"/>
          <cell r="J40"/>
          <cell r="K40">
            <v>0</v>
          </cell>
          <cell r="L40">
            <v>0</v>
          </cell>
          <cell r="M40"/>
          <cell r="N40"/>
        </row>
        <row r="41">
          <cell r="B41"/>
          <cell r="C41" t="str">
            <v/>
          </cell>
          <cell r="D41"/>
          <cell r="E41"/>
          <cell r="F41"/>
          <cell r="G41"/>
          <cell r="H41"/>
          <cell r="I41"/>
          <cell r="J41"/>
          <cell r="K41">
            <v>0</v>
          </cell>
          <cell r="L41">
            <v>0</v>
          </cell>
          <cell r="M41"/>
          <cell r="N41"/>
        </row>
        <row r="42">
          <cell r="B42"/>
          <cell r="C42" t="str">
            <v/>
          </cell>
          <cell r="D42"/>
          <cell r="E42"/>
          <cell r="F42"/>
          <cell r="G42"/>
          <cell r="H42"/>
          <cell r="I42"/>
          <cell r="J42"/>
          <cell r="K42">
            <v>0</v>
          </cell>
          <cell r="L42">
            <v>0</v>
          </cell>
          <cell r="M42"/>
          <cell r="N42"/>
        </row>
        <row r="43">
          <cell r="B43"/>
          <cell r="C43" t="str">
            <v/>
          </cell>
          <cell r="D43"/>
          <cell r="E43"/>
          <cell r="F43"/>
          <cell r="G43"/>
          <cell r="H43"/>
          <cell r="I43"/>
          <cell r="J43"/>
          <cell r="K43">
            <v>0</v>
          </cell>
          <cell r="L43">
            <v>0</v>
          </cell>
          <cell r="M43"/>
          <cell r="N43"/>
        </row>
        <row r="44">
          <cell r="B44"/>
          <cell r="C44" t="str">
            <v/>
          </cell>
          <cell r="D44"/>
          <cell r="E44"/>
          <cell r="F44"/>
          <cell r="G44"/>
          <cell r="H44"/>
          <cell r="I44"/>
          <cell r="J44"/>
          <cell r="K44">
            <v>0</v>
          </cell>
          <cell r="L44">
            <v>0</v>
          </cell>
          <cell r="M44"/>
          <cell r="N44"/>
        </row>
        <row r="45">
          <cell r="B45"/>
          <cell r="C45" t="str">
            <v/>
          </cell>
          <cell r="D45"/>
          <cell r="E45"/>
          <cell r="F45"/>
          <cell r="G45"/>
          <cell r="H45"/>
          <cell r="I45"/>
          <cell r="J45"/>
          <cell r="K45">
            <v>0</v>
          </cell>
          <cell r="L45">
            <v>0</v>
          </cell>
          <cell r="M45"/>
          <cell r="N45"/>
        </row>
        <row r="46">
          <cell r="B46"/>
          <cell r="C46" t="str">
            <v/>
          </cell>
          <cell r="D46"/>
          <cell r="E46"/>
          <cell r="F46"/>
          <cell r="G46"/>
          <cell r="H46"/>
          <cell r="I46"/>
          <cell r="J46"/>
          <cell r="K46">
            <v>0</v>
          </cell>
          <cell r="L46">
            <v>0</v>
          </cell>
          <cell r="M46"/>
          <cell r="N46"/>
        </row>
        <row r="47">
          <cell r="B47"/>
          <cell r="C47" t="str">
            <v/>
          </cell>
          <cell r="D47"/>
          <cell r="E47"/>
          <cell r="F47"/>
          <cell r="G47"/>
          <cell r="H47"/>
          <cell r="I47"/>
          <cell r="J47"/>
          <cell r="K47">
            <v>0</v>
          </cell>
          <cell r="L47">
            <v>0</v>
          </cell>
          <cell r="M47"/>
          <cell r="N47"/>
        </row>
        <row r="48">
          <cell r="B48"/>
          <cell r="C48" t="str">
            <v/>
          </cell>
          <cell r="D48"/>
          <cell r="E48"/>
          <cell r="F48"/>
          <cell r="G48"/>
          <cell r="H48"/>
          <cell r="I48"/>
          <cell r="J48"/>
          <cell r="K48">
            <v>0</v>
          </cell>
          <cell r="L48">
            <v>0</v>
          </cell>
          <cell r="M48"/>
          <cell r="N48"/>
        </row>
        <row r="49">
          <cell r="B49"/>
          <cell r="C49" t="str">
            <v/>
          </cell>
          <cell r="D49"/>
          <cell r="E49"/>
          <cell r="F49"/>
          <cell r="G49"/>
          <cell r="H49"/>
          <cell r="I49"/>
          <cell r="J49"/>
          <cell r="K49">
            <v>0</v>
          </cell>
          <cell r="L49">
            <v>0</v>
          </cell>
          <cell r="M49"/>
          <cell r="N49"/>
        </row>
        <row r="50">
          <cell r="B50"/>
          <cell r="C50" t="str">
            <v/>
          </cell>
          <cell r="D50"/>
          <cell r="E50"/>
          <cell r="F50"/>
          <cell r="G50"/>
          <cell r="H50"/>
          <cell r="I50"/>
          <cell r="J50"/>
          <cell r="K50">
            <v>0</v>
          </cell>
          <cell r="L50">
            <v>0</v>
          </cell>
          <cell r="M50"/>
          <cell r="N50"/>
        </row>
        <row r="51">
          <cell r="B51"/>
          <cell r="C51" t="str">
            <v/>
          </cell>
          <cell r="D51"/>
          <cell r="E51"/>
          <cell r="F51"/>
          <cell r="G51"/>
          <cell r="H51"/>
          <cell r="I51"/>
          <cell r="J51"/>
          <cell r="K51">
            <v>0</v>
          </cell>
          <cell r="L51">
            <v>0</v>
          </cell>
          <cell r="M51"/>
          <cell r="N51"/>
        </row>
        <row r="52">
          <cell r="B52"/>
          <cell r="C52" t="str">
            <v/>
          </cell>
          <cell r="D52"/>
          <cell r="E52"/>
          <cell r="F52"/>
          <cell r="G52"/>
          <cell r="H52"/>
          <cell r="I52"/>
          <cell r="J52"/>
          <cell r="K52">
            <v>0</v>
          </cell>
          <cell r="L52">
            <v>0</v>
          </cell>
          <cell r="M52"/>
          <cell r="N52"/>
        </row>
        <row r="53">
          <cell r="B53"/>
          <cell r="C53" t="str">
            <v/>
          </cell>
          <cell r="D53"/>
          <cell r="E53"/>
          <cell r="F53"/>
          <cell r="G53"/>
          <cell r="H53"/>
          <cell r="I53"/>
          <cell r="J53"/>
          <cell r="K53">
            <v>0</v>
          </cell>
          <cell r="L53">
            <v>0</v>
          </cell>
          <cell r="M53"/>
          <cell r="N53"/>
        </row>
        <row r="54">
          <cell r="B54"/>
          <cell r="C54" t="str">
            <v/>
          </cell>
          <cell r="D54"/>
          <cell r="E54"/>
          <cell r="F54"/>
          <cell r="G54"/>
          <cell r="H54"/>
          <cell r="I54"/>
          <cell r="J54"/>
          <cell r="K54">
            <v>0</v>
          </cell>
          <cell r="L54">
            <v>0</v>
          </cell>
          <cell r="M54"/>
          <cell r="N54"/>
        </row>
        <row r="55">
          <cell r="B55"/>
          <cell r="C55" t="str">
            <v/>
          </cell>
          <cell r="D55"/>
          <cell r="E55"/>
          <cell r="F55"/>
          <cell r="G55"/>
          <cell r="H55"/>
          <cell r="I55"/>
          <cell r="J55"/>
          <cell r="K55">
            <v>0</v>
          </cell>
          <cell r="L55">
            <v>0</v>
          </cell>
          <cell r="M55"/>
          <cell r="N55"/>
        </row>
        <row r="56">
          <cell r="B56"/>
          <cell r="C56" t="str">
            <v/>
          </cell>
          <cell r="D56"/>
          <cell r="E56"/>
          <cell r="F56"/>
          <cell r="G56"/>
          <cell r="H56"/>
          <cell r="I56"/>
          <cell r="J56"/>
          <cell r="K56">
            <v>0</v>
          </cell>
          <cell r="L56">
            <v>0</v>
          </cell>
          <cell r="M56"/>
          <cell r="N56"/>
        </row>
        <row r="57">
          <cell r="B57"/>
          <cell r="C57" t="str">
            <v/>
          </cell>
          <cell r="D57"/>
          <cell r="E57"/>
          <cell r="F57"/>
          <cell r="G57"/>
          <cell r="H57"/>
          <cell r="I57"/>
          <cell r="J57"/>
          <cell r="K57">
            <v>0</v>
          </cell>
          <cell r="L57">
            <v>0</v>
          </cell>
          <cell r="M57"/>
          <cell r="N57"/>
        </row>
        <row r="58">
          <cell r="B58"/>
          <cell r="C58" t="str">
            <v/>
          </cell>
          <cell r="D58"/>
          <cell r="E58"/>
          <cell r="F58"/>
          <cell r="G58"/>
          <cell r="H58"/>
          <cell r="I58"/>
          <cell r="J58"/>
          <cell r="K58">
            <v>0</v>
          </cell>
          <cell r="L58">
            <v>0</v>
          </cell>
          <cell r="M58"/>
          <cell r="N58"/>
        </row>
        <row r="59">
          <cell r="B59"/>
          <cell r="C59" t="str">
            <v/>
          </cell>
          <cell r="D59"/>
          <cell r="E59"/>
          <cell r="F59"/>
          <cell r="G59"/>
          <cell r="H59"/>
          <cell r="I59"/>
          <cell r="J59"/>
          <cell r="K59">
            <v>0</v>
          </cell>
          <cell r="L59">
            <v>0</v>
          </cell>
          <cell r="M59"/>
          <cell r="N59"/>
        </row>
        <row r="60">
          <cell r="B60"/>
          <cell r="C60" t="str">
            <v/>
          </cell>
          <cell r="D60"/>
          <cell r="E60"/>
          <cell r="F60"/>
          <cell r="G60"/>
          <cell r="H60"/>
          <cell r="I60"/>
          <cell r="J60"/>
          <cell r="K60">
            <v>0</v>
          </cell>
          <cell r="L60">
            <v>0</v>
          </cell>
          <cell r="M60"/>
          <cell r="N60"/>
        </row>
        <row r="61">
          <cell r="B61"/>
          <cell r="C61" t="str">
            <v/>
          </cell>
          <cell r="D61"/>
          <cell r="E61"/>
          <cell r="F61"/>
          <cell r="G61"/>
          <cell r="H61"/>
          <cell r="I61"/>
          <cell r="J61"/>
          <cell r="K61">
            <v>0</v>
          </cell>
          <cell r="L61">
            <v>0</v>
          </cell>
          <cell r="M61"/>
          <cell r="N61"/>
        </row>
        <row r="62">
          <cell r="B62"/>
          <cell r="C62" t="str">
            <v/>
          </cell>
          <cell r="D62"/>
          <cell r="E62"/>
          <cell r="F62"/>
          <cell r="G62"/>
          <cell r="H62"/>
          <cell r="I62"/>
          <cell r="J62"/>
          <cell r="K62">
            <v>0</v>
          </cell>
          <cell r="L62">
            <v>0</v>
          </cell>
          <cell r="M62"/>
          <cell r="N62"/>
        </row>
        <row r="63">
          <cell r="B63"/>
          <cell r="C63" t="str">
            <v/>
          </cell>
          <cell r="D63"/>
          <cell r="E63"/>
          <cell r="F63"/>
          <cell r="G63"/>
          <cell r="H63"/>
          <cell r="I63"/>
          <cell r="J63"/>
          <cell r="K63">
            <v>0</v>
          </cell>
          <cell r="L63">
            <v>0</v>
          </cell>
          <cell r="M63"/>
          <cell r="N63"/>
        </row>
        <row r="64">
          <cell r="B64"/>
          <cell r="C64" t="str">
            <v/>
          </cell>
          <cell r="D64"/>
          <cell r="E64"/>
          <cell r="F64"/>
          <cell r="G64"/>
          <cell r="H64"/>
          <cell r="I64"/>
          <cell r="J64"/>
          <cell r="K64">
            <v>0</v>
          </cell>
          <cell r="L64">
            <v>0</v>
          </cell>
          <cell r="M64"/>
          <cell r="N64"/>
        </row>
        <row r="65">
          <cell r="B65"/>
          <cell r="C65" t="str">
            <v/>
          </cell>
          <cell r="D65"/>
          <cell r="E65"/>
          <cell r="F65"/>
          <cell r="G65"/>
          <cell r="H65"/>
          <cell r="I65"/>
          <cell r="J65"/>
          <cell r="K65">
            <v>0</v>
          </cell>
          <cell r="L65">
            <v>0</v>
          </cell>
          <cell r="M65"/>
          <cell r="N65"/>
        </row>
        <row r="66">
          <cell r="B66"/>
          <cell r="C66" t="str">
            <v/>
          </cell>
          <cell r="D66"/>
          <cell r="E66"/>
          <cell r="F66"/>
          <cell r="G66"/>
          <cell r="H66"/>
          <cell r="I66"/>
          <cell r="J66"/>
          <cell r="K66">
            <v>0</v>
          </cell>
          <cell r="L66">
            <v>0</v>
          </cell>
          <cell r="M66"/>
          <cell r="N66"/>
        </row>
        <row r="67">
          <cell r="B67"/>
          <cell r="C67" t="str">
            <v/>
          </cell>
          <cell r="D67"/>
          <cell r="E67"/>
          <cell r="F67"/>
          <cell r="G67"/>
          <cell r="H67"/>
          <cell r="I67"/>
          <cell r="J67"/>
          <cell r="K67">
            <v>0</v>
          </cell>
          <cell r="L67">
            <v>0</v>
          </cell>
          <cell r="M67"/>
          <cell r="N67"/>
        </row>
        <row r="68">
          <cell r="B68"/>
          <cell r="C68" t="str">
            <v/>
          </cell>
          <cell r="D68"/>
          <cell r="E68"/>
          <cell r="F68"/>
          <cell r="G68"/>
          <cell r="H68"/>
          <cell r="I68"/>
          <cell r="J68"/>
          <cell r="K68">
            <v>0</v>
          </cell>
          <cell r="L68">
            <v>0</v>
          </cell>
          <cell r="M68"/>
          <cell r="N68"/>
        </row>
        <row r="69">
          <cell r="B69"/>
          <cell r="C69" t="str">
            <v/>
          </cell>
          <cell r="D69"/>
          <cell r="E69"/>
          <cell r="F69"/>
          <cell r="G69"/>
          <cell r="H69"/>
          <cell r="I69"/>
          <cell r="J69"/>
          <cell r="K69">
            <v>0</v>
          </cell>
          <cell r="L69">
            <v>0</v>
          </cell>
          <cell r="M69"/>
          <cell r="N69"/>
        </row>
        <row r="70">
          <cell r="B70"/>
          <cell r="C70" t="str">
            <v/>
          </cell>
          <cell r="D70"/>
          <cell r="E70"/>
          <cell r="F70"/>
          <cell r="G70"/>
          <cell r="H70"/>
          <cell r="I70"/>
          <cell r="J70"/>
          <cell r="K70">
            <v>0</v>
          </cell>
          <cell r="L70">
            <v>0</v>
          </cell>
          <cell r="M70"/>
          <cell r="N70"/>
        </row>
        <row r="71">
          <cell r="B71"/>
          <cell r="C71" t="str">
            <v/>
          </cell>
          <cell r="D71"/>
          <cell r="E71"/>
          <cell r="F71"/>
          <cell r="G71"/>
          <cell r="H71"/>
          <cell r="I71"/>
          <cell r="J71"/>
          <cell r="K71">
            <v>0</v>
          </cell>
          <cell r="L71">
            <v>0</v>
          </cell>
          <cell r="M71"/>
          <cell r="N71"/>
        </row>
        <row r="72">
          <cell r="B72"/>
          <cell r="C72" t="str">
            <v/>
          </cell>
          <cell r="D72"/>
          <cell r="E72"/>
          <cell r="F72"/>
          <cell r="G72"/>
          <cell r="H72"/>
          <cell r="I72"/>
          <cell r="J72"/>
          <cell r="K72">
            <v>0</v>
          </cell>
          <cell r="L72">
            <v>0</v>
          </cell>
          <cell r="M72"/>
          <cell r="N72"/>
        </row>
        <row r="73">
          <cell r="B73"/>
          <cell r="C73" t="str">
            <v/>
          </cell>
          <cell r="D73"/>
          <cell r="E73"/>
          <cell r="F73"/>
          <cell r="G73"/>
          <cell r="H73"/>
          <cell r="I73"/>
          <cell r="J73"/>
          <cell r="K73">
            <v>0</v>
          </cell>
          <cell r="L73">
            <v>0</v>
          </cell>
          <cell r="M73"/>
          <cell r="N73"/>
        </row>
        <row r="74">
          <cell r="B74"/>
          <cell r="C74" t="str">
            <v/>
          </cell>
          <cell r="D74"/>
          <cell r="E74"/>
          <cell r="F74"/>
          <cell r="G74"/>
          <cell r="H74"/>
          <cell r="I74"/>
          <cell r="J74"/>
          <cell r="K74">
            <v>0</v>
          </cell>
          <cell r="L74">
            <v>0</v>
          </cell>
          <cell r="M74"/>
          <cell r="N74"/>
        </row>
        <row r="75">
          <cell r="B75"/>
          <cell r="C75" t="str">
            <v/>
          </cell>
          <cell r="D75"/>
          <cell r="E75"/>
          <cell r="F75"/>
          <cell r="G75"/>
          <cell r="H75"/>
          <cell r="I75"/>
          <cell r="J75"/>
          <cell r="K75">
            <v>0</v>
          </cell>
          <cell r="L75">
            <v>0</v>
          </cell>
          <cell r="M75"/>
          <cell r="N75"/>
        </row>
        <row r="76">
          <cell r="B76"/>
          <cell r="C76" t="str">
            <v/>
          </cell>
          <cell r="D76"/>
          <cell r="E76"/>
          <cell r="F76"/>
          <cell r="G76"/>
          <cell r="H76"/>
          <cell r="I76"/>
          <cell r="J76"/>
          <cell r="K76">
            <v>0</v>
          </cell>
          <cell r="L76">
            <v>0</v>
          </cell>
          <cell r="M76"/>
          <cell r="N76"/>
        </row>
        <row r="77">
          <cell r="B77"/>
          <cell r="C77" t="str">
            <v/>
          </cell>
          <cell r="D77"/>
          <cell r="E77"/>
          <cell r="F77"/>
          <cell r="G77"/>
          <cell r="H77"/>
          <cell r="I77"/>
          <cell r="J77"/>
          <cell r="K77">
            <v>0</v>
          </cell>
          <cell r="L77">
            <v>0</v>
          </cell>
          <cell r="M77"/>
          <cell r="N77"/>
        </row>
        <row r="78">
          <cell r="B78"/>
          <cell r="C78" t="str">
            <v/>
          </cell>
          <cell r="D78"/>
          <cell r="E78"/>
          <cell r="F78"/>
          <cell r="G78"/>
          <cell r="H78"/>
          <cell r="I78"/>
          <cell r="J78"/>
          <cell r="K78">
            <v>0</v>
          </cell>
          <cell r="L78">
            <v>0</v>
          </cell>
          <cell r="M78"/>
          <cell r="N78"/>
        </row>
        <row r="79">
          <cell r="B79"/>
          <cell r="C79" t="str">
            <v/>
          </cell>
          <cell r="D79"/>
          <cell r="E79"/>
          <cell r="F79"/>
          <cell r="G79"/>
          <cell r="H79"/>
          <cell r="I79"/>
          <cell r="J79"/>
          <cell r="K79">
            <v>0</v>
          </cell>
          <cell r="L79">
            <v>0</v>
          </cell>
          <cell r="M79"/>
          <cell r="N79"/>
        </row>
        <row r="80">
          <cell r="B80"/>
          <cell r="C80" t="str">
            <v/>
          </cell>
          <cell r="D80"/>
          <cell r="E80"/>
          <cell r="F80"/>
          <cell r="G80"/>
          <cell r="H80"/>
          <cell r="I80"/>
          <cell r="J80"/>
          <cell r="K80">
            <v>0</v>
          </cell>
          <cell r="L80">
            <v>0</v>
          </cell>
          <cell r="M80"/>
          <cell r="N80"/>
        </row>
        <row r="81">
          <cell r="B81"/>
          <cell r="C81" t="str">
            <v/>
          </cell>
          <cell r="D81"/>
          <cell r="E81"/>
          <cell r="F81"/>
          <cell r="G81"/>
          <cell r="H81"/>
          <cell r="I81"/>
          <cell r="J81"/>
          <cell r="K81">
            <v>0</v>
          </cell>
          <cell r="L81">
            <v>0</v>
          </cell>
          <cell r="M81"/>
          <cell r="N81"/>
        </row>
        <row r="82">
          <cell r="B82"/>
          <cell r="C82" t="str">
            <v/>
          </cell>
          <cell r="D82"/>
          <cell r="E82"/>
          <cell r="F82"/>
          <cell r="G82"/>
          <cell r="H82"/>
          <cell r="I82"/>
          <cell r="J82"/>
          <cell r="K82">
            <v>0</v>
          </cell>
          <cell r="L82">
            <v>0</v>
          </cell>
          <cell r="M82"/>
          <cell r="N82"/>
        </row>
        <row r="83">
          <cell r="B83"/>
          <cell r="C83" t="str">
            <v/>
          </cell>
          <cell r="D83"/>
          <cell r="E83"/>
          <cell r="F83"/>
          <cell r="G83"/>
          <cell r="H83"/>
          <cell r="I83"/>
          <cell r="J83"/>
          <cell r="K83">
            <v>0</v>
          </cell>
          <cell r="L83">
            <v>0</v>
          </cell>
          <cell r="M83"/>
          <cell r="N83"/>
        </row>
        <row r="84">
          <cell r="B84"/>
          <cell r="C84" t="str">
            <v/>
          </cell>
          <cell r="D84"/>
          <cell r="E84"/>
          <cell r="F84"/>
          <cell r="G84"/>
          <cell r="H84"/>
          <cell r="I84"/>
          <cell r="J84"/>
          <cell r="K84">
            <v>0</v>
          </cell>
          <cell r="L84">
            <v>0</v>
          </cell>
          <cell r="M84"/>
          <cell r="N84"/>
        </row>
        <row r="85">
          <cell r="B85"/>
          <cell r="C85" t="str">
            <v/>
          </cell>
          <cell r="D85"/>
          <cell r="E85"/>
          <cell r="F85"/>
          <cell r="G85"/>
          <cell r="H85"/>
          <cell r="I85"/>
          <cell r="J85"/>
          <cell r="K85">
            <v>0</v>
          </cell>
          <cell r="L85">
            <v>0</v>
          </cell>
          <cell r="M85"/>
          <cell r="N85"/>
        </row>
        <row r="86">
          <cell r="B86"/>
          <cell r="C86" t="str">
            <v/>
          </cell>
          <cell r="D86"/>
          <cell r="E86"/>
          <cell r="F86"/>
          <cell r="G86"/>
          <cell r="H86"/>
          <cell r="I86"/>
          <cell r="J86"/>
          <cell r="K86">
            <v>0</v>
          </cell>
          <cell r="L86">
            <v>0</v>
          </cell>
          <cell r="M86"/>
          <cell r="N86"/>
        </row>
        <row r="87">
          <cell r="B87"/>
          <cell r="C87" t="str">
            <v/>
          </cell>
          <cell r="D87"/>
          <cell r="E87"/>
          <cell r="F87"/>
          <cell r="G87"/>
          <cell r="H87"/>
          <cell r="I87"/>
          <cell r="J87"/>
          <cell r="K87">
            <v>0</v>
          </cell>
          <cell r="L87">
            <v>0</v>
          </cell>
          <cell r="M87"/>
          <cell r="N87"/>
        </row>
        <row r="88">
          <cell r="B88"/>
          <cell r="C88" t="str">
            <v/>
          </cell>
          <cell r="D88"/>
          <cell r="E88"/>
          <cell r="F88"/>
          <cell r="G88"/>
          <cell r="H88"/>
          <cell r="I88"/>
          <cell r="J88"/>
          <cell r="K88">
            <v>0</v>
          </cell>
          <cell r="L88">
            <v>0</v>
          </cell>
          <cell r="M88"/>
          <cell r="N88"/>
        </row>
        <row r="89">
          <cell r="B89"/>
          <cell r="C89" t="str">
            <v/>
          </cell>
          <cell r="D89"/>
          <cell r="E89"/>
          <cell r="F89"/>
          <cell r="G89"/>
          <cell r="H89"/>
          <cell r="I89"/>
          <cell r="J89"/>
          <cell r="K89">
            <v>0</v>
          </cell>
          <cell r="L89">
            <v>0</v>
          </cell>
          <cell r="M89"/>
          <cell r="N89"/>
        </row>
        <row r="90">
          <cell r="B90"/>
          <cell r="C90" t="str">
            <v/>
          </cell>
          <cell r="D90"/>
          <cell r="E90"/>
          <cell r="F90"/>
          <cell r="G90"/>
          <cell r="H90"/>
          <cell r="I90"/>
          <cell r="J90"/>
          <cell r="K90">
            <v>0</v>
          </cell>
          <cell r="L90">
            <v>0</v>
          </cell>
          <cell r="M90"/>
          <cell r="N90"/>
        </row>
        <row r="91">
          <cell r="B91"/>
          <cell r="C91" t="str">
            <v/>
          </cell>
          <cell r="D91"/>
          <cell r="E91"/>
          <cell r="F91"/>
          <cell r="G91"/>
          <cell r="H91"/>
          <cell r="I91"/>
          <cell r="J91"/>
          <cell r="K91">
            <v>0</v>
          </cell>
          <cell r="L91">
            <v>0</v>
          </cell>
          <cell r="M91"/>
          <cell r="N91"/>
        </row>
        <row r="92">
          <cell r="B92"/>
          <cell r="C92" t="str">
            <v/>
          </cell>
          <cell r="D92"/>
          <cell r="E92"/>
          <cell r="F92"/>
          <cell r="G92"/>
          <cell r="H92"/>
          <cell r="I92"/>
          <cell r="J92"/>
          <cell r="K92">
            <v>0</v>
          </cell>
          <cell r="L92">
            <v>0</v>
          </cell>
          <cell r="M92"/>
          <cell r="N92"/>
        </row>
        <row r="93">
          <cell r="B93"/>
          <cell r="C93" t="str">
            <v/>
          </cell>
          <cell r="D93"/>
          <cell r="E93"/>
          <cell r="F93"/>
          <cell r="G93"/>
          <cell r="H93"/>
          <cell r="I93"/>
          <cell r="J93"/>
          <cell r="K93">
            <v>0</v>
          </cell>
          <cell r="L93">
            <v>0</v>
          </cell>
          <cell r="M93"/>
          <cell r="N93"/>
        </row>
        <row r="94">
          <cell r="B94"/>
          <cell r="C94" t="str">
            <v/>
          </cell>
          <cell r="D94"/>
          <cell r="E94"/>
          <cell r="F94"/>
          <cell r="G94"/>
          <cell r="H94"/>
          <cell r="I94"/>
          <cell r="J94"/>
          <cell r="K94">
            <v>0</v>
          </cell>
          <cell r="L94">
            <v>0</v>
          </cell>
          <cell r="M94"/>
          <cell r="N94"/>
        </row>
        <row r="95">
          <cell r="B95"/>
          <cell r="C95" t="str">
            <v/>
          </cell>
          <cell r="D95"/>
          <cell r="E95"/>
          <cell r="F95"/>
          <cell r="G95"/>
          <cell r="H95"/>
          <cell r="I95"/>
          <cell r="J95"/>
          <cell r="K95">
            <v>0</v>
          </cell>
          <cell r="L95">
            <v>0</v>
          </cell>
          <cell r="M95"/>
          <cell r="N95"/>
        </row>
        <row r="96">
          <cell r="B96"/>
          <cell r="C96" t="str">
            <v/>
          </cell>
          <cell r="D96"/>
          <cell r="E96"/>
          <cell r="F96"/>
          <cell r="G96"/>
          <cell r="H96"/>
          <cell r="I96"/>
          <cell r="J96"/>
          <cell r="K96">
            <v>0</v>
          </cell>
          <cell r="L96">
            <v>0</v>
          </cell>
          <cell r="M96"/>
          <cell r="N96"/>
        </row>
        <row r="97">
          <cell r="B97"/>
          <cell r="C97" t="str">
            <v/>
          </cell>
          <cell r="D97"/>
          <cell r="E97"/>
          <cell r="F97"/>
          <cell r="G97"/>
          <cell r="H97"/>
          <cell r="I97"/>
          <cell r="J97"/>
          <cell r="K97">
            <v>0</v>
          </cell>
          <cell r="L97">
            <v>0</v>
          </cell>
          <cell r="M97"/>
          <cell r="N97"/>
        </row>
        <row r="98">
          <cell r="B98"/>
          <cell r="C98" t="str">
            <v/>
          </cell>
          <cell r="D98"/>
          <cell r="E98"/>
          <cell r="F98"/>
          <cell r="G98"/>
          <cell r="H98"/>
          <cell r="I98"/>
          <cell r="J98"/>
          <cell r="K98">
            <v>0</v>
          </cell>
          <cell r="L98">
            <v>0</v>
          </cell>
          <cell r="M98"/>
          <cell r="N98"/>
        </row>
        <row r="99">
          <cell r="B99"/>
          <cell r="C99" t="str">
            <v/>
          </cell>
          <cell r="D99"/>
          <cell r="E99"/>
          <cell r="F99"/>
          <cell r="G99"/>
          <cell r="H99"/>
          <cell r="I99"/>
          <cell r="J99"/>
          <cell r="K99">
            <v>0</v>
          </cell>
          <cell r="L99">
            <v>0</v>
          </cell>
          <cell r="M99"/>
          <cell r="N99"/>
        </row>
        <row r="100">
          <cell r="B100"/>
          <cell r="C100" t="str">
            <v/>
          </cell>
          <cell r="D100"/>
          <cell r="E100"/>
          <cell r="F100"/>
          <cell r="G100"/>
          <cell r="H100"/>
          <cell r="I100"/>
          <cell r="J100"/>
          <cell r="K100">
            <v>0</v>
          </cell>
          <cell r="L100">
            <v>0</v>
          </cell>
          <cell r="M100"/>
          <cell r="N100"/>
        </row>
        <row r="101">
          <cell r="B101"/>
          <cell r="C101" t="str">
            <v/>
          </cell>
          <cell r="D101"/>
          <cell r="E101"/>
          <cell r="F101"/>
          <cell r="G101"/>
          <cell r="H101"/>
          <cell r="I101"/>
          <cell r="J101"/>
          <cell r="K101">
            <v>0</v>
          </cell>
          <cell r="L101">
            <v>0</v>
          </cell>
          <cell r="M101"/>
          <cell r="N101"/>
        </row>
        <row r="102">
          <cell r="B102"/>
          <cell r="C102" t="str">
            <v/>
          </cell>
          <cell r="D102"/>
          <cell r="E102"/>
          <cell r="F102"/>
          <cell r="G102"/>
          <cell r="H102"/>
          <cell r="I102"/>
          <cell r="J102"/>
          <cell r="K102">
            <v>0</v>
          </cell>
          <cell r="L102">
            <v>0</v>
          </cell>
          <cell r="M102"/>
          <cell r="N102"/>
        </row>
        <row r="103">
          <cell r="B103"/>
          <cell r="C103" t="str">
            <v/>
          </cell>
          <cell r="D103"/>
          <cell r="E103"/>
          <cell r="F103"/>
          <cell r="G103"/>
          <cell r="H103"/>
          <cell r="I103"/>
          <cell r="J103"/>
          <cell r="K103">
            <v>0</v>
          </cell>
          <cell r="L103">
            <v>0</v>
          </cell>
          <cell r="M103"/>
          <cell r="N103"/>
        </row>
        <row r="104">
          <cell r="B104"/>
          <cell r="C104" t="str">
            <v/>
          </cell>
          <cell r="D104"/>
          <cell r="E104"/>
          <cell r="F104"/>
          <cell r="G104"/>
          <cell r="H104"/>
          <cell r="I104"/>
          <cell r="J104"/>
          <cell r="K104">
            <v>0</v>
          </cell>
          <cell r="L104">
            <v>0</v>
          </cell>
          <cell r="M104"/>
          <cell r="N104"/>
        </row>
        <row r="105">
          <cell r="B105"/>
          <cell r="C105" t="str">
            <v/>
          </cell>
          <cell r="D105"/>
          <cell r="E105"/>
          <cell r="F105"/>
          <cell r="G105"/>
          <cell r="H105"/>
          <cell r="I105"/>
          <cell r="J105"/>
          <cell r="K105">
            <v>0</v>
          </cell>
          <cell r="L105">
            <v>0</v>
          </cell>
          <cell r="M105"/>
          <cell r="N105"/>
        </row>
        <row r="106">
          <cell r="B106"/>
          <cell r="C106" t="str">
            <v/>
          </cell>
          <cell r="D106"/>
          <cell r="E106"/>
          <cell r="F106"/>
          <cell r="G106"/>
          <cell r="H106"/>
          <cell r="I106"/>
          <cell r="J106"/>
          <cell r="K106">
            <v>0</v>
          </cell>
          <cell r="L106">
            <v>0</v>
          </cell>
          <cell r="M106"/>
          <cell r="N106"/>
        </row>
        <row r="107">
          <cell r="B107"/>
          <cell r="C107" t="str">
            <v/>
          </cell>
          <cell r="D107"/>
          <cell r="E107"/>
          <cell r="F107"/>
          <cell r="G107"/>
          <cell r="H107"/>
          <cell r="I107"/>
          <cell r="J107"/>
          <cell r="K107">
            <v>0</v>
          </cell>
          <cell r="L107">
            <v>0</v>
          </cell>
          <cell r="M107"/>
          <cell r="N107"/>
        </row>
        <row r="108">
          <cell r="B108"/>
          <cell r="C108" t="str">
            <v/>
          </cell>
          <cell r="D108"/>
          <cell r="E108"/>
          <cell r="F108"/>
          <cell r="G108"/>
          <cell r="H108"/>
          <cell r="I108"/>
          <cell r="J108"/>
          <cell r="K108">
            <v>0</v>
          </cell>
          <cell r="L108">
            <v>0</v>
          </cell>
          <cell r="M108"/>
          <cell r="N108"/>
        </row>
        <row r="109">
          <cell r="B109"/>
          <cell r="C109" t="str">
            <v/>
          </cell>
          <cell r="D109"/>
          <cell r="E109"/>
          <cell r="F109"/>
          <cell r="G109"/>
          <cell r="H109"/>
          <cell r="I109"/>
          <cell r="J109"/>
          <cell r="K109">
            <v>0</v>
          </cell>
          <cell r="L109">
            <v>0</v>
          </cell>
          <cell r="M109"/>
          <cell r="N109"/>
        </row>
        <row r="110">
          <cell r="B110"/>
          <cell r="C110" t="str">
            <v/>
          </cell>
          <cell r="D110"/>
          <cell r="E110"/>
          <cell r="F110"/>
          <cell r="G110"/>
          <cell r="H110"/>
          <cell r="I110"/>
          <cell r="J110"/>
          <cell r="K110">
            <v>0</v>
          </cell>
          <cell r="L110">
            <v>0</v>
          </cell>
          <cell r="M110"/>
          <cell r="N110"/>
        </row>
        <row r="111">
          <cell r="B111"/>
          <cell r="C111" t="str">
            <v/>
          </cell>
          <cell r="D111"/>
          <cell r="E111"/>
          <cell r="F111"/>
          <cell r="G111"/>
          <cell r="H111"/>
          <cell r="I111"/>
          <cell r="J111"/>
          <cell r="K111">
            <v>0</v>
          </cell>
          <cell r="L111">
            <v>0</v>
          </cell>
          <cell r="M111"/>
          <cell r="N111"/>
        </row>
        <row r="112">
          <cell r="B112"/>
          <cell r="C112" t="str">
            <v/>
          </cell>
          <cell r="D112"/>
          <cell r="E112"/>
          <cell r="F112"/>
          <cell r="G112"/>
          <cell r="H112"/>
          <cell r="I112"/>
          <cell r="J112"/>
          <cell r="K112">
            <v>0</v>
          </cell>
          <cell r="L112">
            <v>0</v>
          </cell>
          <cell r="M112"/>
          <cell r="N112"/>
        </row>
        <row r="113">
          <cell r="B113"/>
          <cell r="C113" t="str">
            <v/>
          </cell>
          <cell r="D113"/>
          <cell r="E113"/>
          <cell r="F113"/>
          <cell r="G113"/>
          <cell r="H113"/>
          <cell r="I113"/>
          <cell r="J113"/>
          <cell r="K113">
            <v>0</v>
          </cell>
          <cell r="L113">
            <v>0</v>
          </cell>
          <cell r="M113"/>
          <cell r="N113"/>
        </row>
        <row r="114">
          <cell r="B114"/>
          <cell r="C114" t="str">
            <v/>
          </cell>
          <cell r="D114"/>
          <cell r="E114"/>
          <cell r="F114"/>
          <cell r="G114"/>
          <cell r="H114"/>
          <cell r="I114"/>
          <cell r="J114"/>
          <cell r="K114">
            <v>0</v>
          </cell>
          <cell r="L114">
            <v>0</v>
          </cell>
          <cell r="M114"/>
          <cell r="N114"/>
        </row>
        <row r="115">
          <cell r="B115"/>
          <cell r="C115" t="str">
            <v/>
          </cell>
          <cell r="D115"/>
          <cell r="E115"/>
          <cell r="F115"/>
          <cell r="G115"/>
          <cell r="H115"/>
          <cell r="I115"/>
          <cell r="J115"/>
          <cell r="K115">
            <v>0</v>
          </cell>
          <cell r="L115">
            <v>0</v>
          </cell>
          <cell r="M115"/>
          <cell r="N115"/>
        </row>
        <row r="116">
          <cell r="B116"/>
          <cell r="C116" t="str">
            <v/>
          </cell>
          <cell r="D116"/>
          <cell r="E116"/>
          <cell r="F116"/>
          <cell r="G116"/>
          <cell r="H116"/>
          <cell r="I116"/>
          <cell r="J116"/>
          <cell r="K116">
            <v>0</v>
          </cell>
          <cell r="L116">
            <v>0</v>
          </cell>
          <cell r="M116"/>
          <cell r="N116"/>
        </row>
        <row r="117">
          <cell r="B117"/>
          <cell r="C117" t="str">
            <v/>
          </cell>
          <cell r="D117"/>
          <cell r="E117"/>
          <cell r="F117"/>
          <cell r="G117"/>
          <cell r="H117"/>
          <cell r="I117"/>
          <cell r="J117"/>
          <cell r="K117">
            <v>0</v>
          </cell>
          <cell r="L117">
            <v>0</v>
          </cell>
          <cell r="M117"/>
          <cell r="N117"/>
        </row>
        <row r="118">
          <cell r="B118"/>
          <cell r="C118" t="str">
            <v/>
          </cell>
          <cell r="D118"/>
          <cell r="E118"/>
          <cell r="F118"/>
          <cell r="G118"/>
          <cell r="H118"/>
          <cell r="I118"/>
          <cell r="J118"/>
          <cell r="K118">
            <v>0</v>
          </cell>
          <cell r="L118">
            <v>0</v>
          </cell>
          <cell r="M118"/>
          <cell r="N118"/>
        </row>
        <row r="119">
          <cell r="B119"/>
          <cell r="C119" t="str">
            <v/>
          </cell>
          <cell r="D119"/>
          <cell r="E119"/>
          <cell r="F119"/>
          <cell r="G119"/>
          <cell r="H119"/>
          <cell r="I119"/>
          <cell r="J119"/>
          <cell r="K119">
            <v>0</v>
          </cell>
          <cell r="L119">
            <v>0</v>
          </cell>
          <cell r="M119"/>
          <cell r="N119"/>
        </row>
        <row r="120">
          <cell r="B120"/>
          <cell r="C120" t="str">
            <v/>
          </cell>
          <cell r="D120"/>
          <cell r="E120"/>
          <cell r="F120"/>
          <cell r="G120"/>
          <cell r="H120"/>
          <cell r="I120"/>
          <cell r="J120"/>
          <cell r="K120">
            <v>0</v>
          </cell>
          <cell r="L120">
            <v>0</v>
          </cell>
          <cell r="M120"/>
          <cell r="N120"/>
        </row>
        <row r="121">
          <cell r="B121"/>
          <cell r="C121" t="str">
            <v/>
          </cell>
          <cell r="D121"/>
          <cell r="E121"/>
          <cell r="F121"/>
          <cell r="G121"/>
          <cell r="H121"/>
          <cell r="I121"/>
          <cell r="J121"/>
          <cell r="K121">
            <v>0</v>
          </cell>
          <cell r="L121">
            <v>0</v>
          </cell>
          <cell r="M121"/>
          <cell r="N121"/>
        </row>
        <row r="122">
          <cell r="B122"/>
          <cell r="C122" t="str">
            <v/>
          </cell>
          <cell r="D122"/>
          <cell r="E122"/>
          <cell r="F122"/>
          <cell r="G122"/>
          <cell r="H122"/>
          <cell r="I122"/>
          <cell r="J122"/>
          <cell r="K122">
            <v>0</v>
          </cell>
          <cell r="L122">
            <v>0</v>
          </cell>
          <cell r="M122"/>
          <cell r="N122"/>
        </row>
        <row r="123">
          <cell r="B123"/>
          <cell r="C123" t="str">
            <v/>
          </cell>
          <cell r="D123"/>
          <cell r="E123"/>
          <cell r="F123"/>
          <cell r="G123"/>
          <cell r="H123"/>
          <cell r="I123"/>
          <cell r="J123"/>
          <cell r="K123">
            <v>0</v>
          </cell>
          <cell r="L123">
            <v>0</v>
          </cell>
          <cell r="M123"/>
          <cell r="N123"/>
        </row>
        <row r="124">
          <cell r="B124"/>
          <cell r="C124" t="str">
            <v/>
          </cell>
          <cell r="D124"/>
          <cell r="E124"/>
          <cell r="F124"/>
          <cell r="G124"/>
          <cell r="H124"/>
          <cell r="I124"/>
          <cell r="J124"/>
          <cell r="K124">
            <v>0</v>
          </cell>
          <cell r="L124">
            <v>0</v>
          </cell>
          <cell r="M124"/>
          <cell r="N124"/>
        </row>
        <row r="125">
          <cell r="B125"/>
          <cell r="C125" t="str">
            <v/>
          </cell>
          <cell r="D125"/>
          <cell r="E125"/>
          <cell r="F125"/>
          <cell r="G125"/>
          <cell r="H125"/>
          <cell r="I125"/>
          <cell r="J125"/>
          <cell r="K125">
            <v>0</v>
          </cell>
          <cell r="L125">
            <v>0</v>
          </cell>
          <cell r="M125"/>
          <cell r="N125"/>
        </row>
        <row r="126">
          <cell r="B126"/>
          <cell r="C126" t="str">
            <v/>
          </cell>
          <cell r="D126"/>
          <cell r="E126"/>
          <cell r="F126"/>
          <cell r="G126"/>
          <cell r="H126"/>
          <cell r="I126"/>
          <cell r="J126"/>
          <cell r="K126">
            <v>0</v>
          </cell>
          <cell r="L126">
            <v>0</v>
          </cell>
          <cell r="M126"/>
          <cell r="N126"/>
        </row>
        <row r="127">
          <cell r="B127"/>
          <cell r="C127" t="str">
            <v/>
          </cell>
          <cell r="D127"/>
          <cell r="E127"/>
          <cell r="F127"/>
          <cell r="G127"/>
          <cell r="H127"/>
          <cell r="I127"/>
          <cell r="J127"/>
          <cell r="K127">
            <v>0</v>
          </cell>
          <cell r="L127">
            <v>0</v>
          </cell>
          <cell r="M127"/>
          <cell r="N127"/>
        </row>
        <row r="128">
          <cell r="B128"/>
          <cell r="C128" t="str">
            <v/>
          </cell>
          <cell r="D128"/>
          <cell r="E128"/>
          <cell r="F128"/>
          <cell r="G128"/>
          <cell r="H128"/>
          <cell r="I128"/>
          <cell r="J128"/>
          <cell r="K128">
            <v>0</v>
          </cell>
          <cell r="L128">
            <v>0</v>
          </cell>
          <cell r="M128"/>
          <cell r="N128"/>
        </row>
        <row r="129">
          <cell r="B129"/>
          <cell r="C129" t="str">
            <v/>
          </cell>
          <cell r="D129"/>
          <cell r="E129"/>
          <cell r="F129"/>
          <cell r="G129"/>
          <cell r="H129"/>
          <cell r="I129"/>
          <cell r="J129"/>
          <cell r="K129">
            <v>0</v>
          </cell>
          <cell r="L129">
            <v>0</v>
          </cell>
          <cell r="M129"/>
          <cell r="N129"/>
        </row>
        <row r="130">
          <cell r="B130"/>
          <cell r="C130" t="str">
            <v/>
          </cell>
          <cell r="D130"/>
          <cell r="E130"/>
          <cell r="F130"/>
          <cell r="G130"/>
          <cell r="H130"/>
          <cell r="I130"/>
          <cell r="J130"/>
          <cell r="K130">
            <v>0</v>
          </cell>
          <cell r="L130">
            <v>0</v>
          </cell>
          <cell r="M130"/>
          <cell r="N130"/>
        </row>
        <row r="131">
          <cell r="B131"/>
          <cell r="C131" t="str">
            <v/>
          </cell>
          <cell r="D131"/>
          <cell r="E131"/>
          <cell r="F131"/>
          <cell r="G131"/>
          <cell r="H131"/>
          <cell r="I131"/>
          <cell r="J131"/>
          <cell r="K131">
            <v>0</v>
          </cell>
          <cell r="L131">
            <v>0</v>
          </cell>
          <cell r="M131"/>
          <cell r="N131"/>
        </row>
        <row r="132">
          <cell r="B132"/>
          <cell r="C132" t="str">
            <v/>
          </cell>
          <cell r="D132"/>
          <cell r="E132"/>
          <cell r="F132"/>
          <cell r="G132"/>
          <cell r="H132"/>
          <cell r="I132"/>
          <cell r="J132"/>
          <cell r="K132">
            <v>0</v>
          </cell>
          <cell r="L132">
            <v>0</v>
          </cell>
          <cell r="M132"/>
          <cell r="N132"/>
        </row>
        <row r="133">
          <cell r="B133"/>
          <cell r="C133" t="str">
            <v/>
          </cell>
          <cell r="D133"/>
          <cell r="E133"/>
          <cell r="F133"/>
          <cell r="G133"/>
          <cell r="H133"/>
          <cell r="I133"/>
          <cell r="J133"/>
          <cell r="K133">
            <v>0</v>
          </cell>
          <cell r="L133">
            <v>0</v>
          </cell>
          <cell r="M133"/>
          <cell r="N133"/>
        </row>
        <row r="134">
          <cell r="B134"/>
          <cell r="C134" t="str">
            <v/>
          </cell>
          <cell r="D134"/>
          <cell r="E134"/>
          <cell r="F134"/>
          <cell r="G134"/>
          <cell r="H134"/>
          <cell r="I134"/>
          <cell r="J134"/>
          <cell r="K134">
            <v>0</v>
          </cell>
          <cell r="L134">
            <v>0</v>
          </cell>
          <cell r="M134"/>
          <cell r="N134"/>
        </row>
        <row r="135">
          <cell r="B135"/>
          <cell r="C135" t="str">
            <v/>
          </cell>
          <cell r="D135"/>
          <cell r="E135"/>
          <cell r="F135"/>
          <cell r="G135"/>
          <cell r="H135"/>
          <cell r="I135"/>
          <cell r="J135"/>
          <cell r="K135">
            <v>0</v>
          </cell>
          <cell r="L135">
            <v>0</v>
          </cell>
          <cell r="M135"/>
          <cell r="N135"/>
        </row>
        <row r="136">
          <cell r="B136"/>
          <cell r="C136" t="str">
            <v/>
          </cell>
          <cell r="D136"/>
          <cell r="E136"/>
          <cell r="F136"/>
          <cell r="G136"/>
          <cell r="H136"/>
          <cell r="I136"/>
          <cell r="J136"/>
          <cell r="K136">
            <v>0</v>
          </cell>
          <cell r="L136">
            <v>0</v>
          </cell>
          <cell r="M136"/>
          <cell r="N136"/>
        </row>
        <row r="137">
          <cell r="B137"/>
          <cell r="C137" t="str">
            <v/>
          </cell>
          <cell r="D137"/>
          <cell r="E137"/>
          <cell r="F137"/>
          <cell r="G137"/>
          <cell r="H137"/>
          <cell r="I137"/>
          <cell r="J137"/>
          <cell r="K137">
            <v>0</v>
          </cell>
          <cell r="L137">
            <v>0</v>
          </cell>
          <cell r="M137"/>
          <cell r="N137"/>
        </row>
        <row r="138">
          <cell r="B138"/>
          <cell r="C138" t="str">
            <v/>
          </cell>
          <cell r="D138"/>
          <cell r="E138"/>
          <cell r="F138"/>
          <cell r="G138"/>
          <cell r="H138"/>
          <cell r="I138"/>
          <cell r="J138"/>
          <cell r="K138">
            <v>0</v>
          </cell>
          <cell r="L138">
            <v>0</v>
          </cell>
          <cell r="M138"/>
          <cell r="N138"/>
        </row>
        <row r="139">
          <cell r="B139"/>
          <cell r="C139" t="str">
            <v/>
          </cell>
          <cell r="D139"/>
          <cell r="E139"/>
          <cell r="F139"/>
          <cell r="G139"/>
          <cell r="H139"/>
          <cell r="I139"/>
          <cell r="J139"/>
          <cell r="K139">
            <v>0</v>
          </cell>
          <cell r="L139">
            <v>0</v>
          </cell>
          <cell r="M139"/>
          <cell r="N139"/>
        </row>
        <row r="140">
          <cell r="B140"/>
          <cell r="C140" t="str">
            <v/>
          </cell>
          <cell r="D140"/>
          <cell r="E140"/>
          <cell r="F140"/>
          <cell r="G140"/>
          <cell r="H140"/>
          <cell r="I140"/>
          <cell r="J140"/>
          <cell r="K140">
            <v>0</v>
          </cell>
          <cell r="L140">
            <v>0</v>
          </cell>
          <cell r="M140"/>
          <cell r="N140"/>
        </row>
        <row r="141">
          <cell r="B141"/>
          <cell r="C141" t="str">
            <v/>
          </cell>
          <cell r="D141"/>
          <cell r="E141"/>
          <cell r="F141"/>
          <cell r="G141"/>
          <cell r="H141"/>
          <cell r="I141"/>
          <cell r="J141"/>
          <cell r="K141">
            <v>0</v>
          </cell>
          <cell r="L141">
            <v>0</v>
          </cell>
          <cell r="M141"/>
          <cell r="N141"/>
        </row>
        <row r="142">
          <cell r="B142"/>
          <cell r="C142" t="str">
            <v/>
          </cell>
          <cell r="D142"/>
          <cell r="E142"/>
          <cell r="F142"/>
          <cell r="G142"/>
          <cell r="H142"/>
          <cell r="I142"/>
          <cell r="J142"/>
          <cell r="K142">
            <v>0</v>
          </cell>
          <cell r="L142">
            <v>0</v>
          </cell>
          <cell r="M142"/>
          <cell r="N142"/>
        </row>
        <row r="143">
          <cell r="B143"/>
          <cell r="C143" t="str">
            <v/>
          </cell>
          <cell r="D143"/>
          <cell r="E143"/>
          <cell r="F143"/>
          <cell r="G143"/>
          <cell r="H143"/>
          <cell r="I143"/>
          <cell r="J143"/>
          <cell r="K143">
            <v>0</v>
          </cell>
          <cell r="L143">
            <v>0</v>
          </cell>
          <cell r="M143"/>
          <cell r="N143"/>
        </row>
        <row r="144">
          <cell r="B144"/>
          <cell r="C144" t="str">
            <v/>
          </cell>
          <cell r="D144"/>
          <cell r="E144"/>
          <cell r="F144"/>
          <cell r="G144"/>
          <cell r="H144"/>
          <cell r="I144"/>
          <cell r="J144"/>
          <cell r="K144">
            <v>0</v>
          </cell>
          <cell r="L144">
            <v>0</v>
          </cell>
          <cell r="M144"/>
          <cell r="N144"/>
        </row>
        <row r="145">
          <cell r="B145"/>
          <cell r="C145" t="str">
            <v/>
          </cell>
          <cell r="D145"/>
          <cell r="E145"/>
          <cell r="F145"/>
          <cell r="G145"/>
          <cell r="H145"/>
          <cell r="I145"/>
          <cell r="J145"/>
          <cell r="K145">
            <v>0</v>
          </cell>
          <cell r="L145">
            <v>0</v>
          </cell>
          <cell r="M145"/>
          <cell r="N145"/>
        </row>
        <row r="146">
          <cell r="B146"/>
          <cell r="C146" t="str">
            <v/>
          </cell>
          <cell r="D146"/>
          <cell r="E146"/>
          <cell r="F146"/>
          <cell r="G146"/>
          <cell r="H146"/>
          <cell r="I146"/>
          <cell r="J146"/>
          <cell r="K146">
            <v>0</v>
          </cell>
          <cell r="L146">
            <v>0</v>
          </cell>
          <cell r="M146"/>
          <cell r="N146"/>
        </row>
        <row r="147">
          <cell r="B147"/>
          <cell r="C147" t="str">
            <v/>
          </cell>
          <cell r="D147"/>
          <cell r="E147"/>
          <cell r="F147"/>
          <cell r="G147"/>
          <cell r="H147"/>
          <cell r="I147"/>
          <cell r="J147"/>
          <cell r="K147">
            <v>0</v>
          </cell>
          <cell r="L147">
            <v>0</v>
          </cell>
          <cell r="M147"/>
          <cell r="N147"/>
        </row>
        <row r="148">
          <cell r="B148"/>
          <cell r="C148" t="str">
            <v/>
          </cell>
          <cell r="D148"/>
          <cell r="E148"/>
          <cell r="F148"/>
          <cell r="G148"/>
          <cell r="H148"/>
          <cell r="I148"/>
          <cell r="J148"/>
          <cell r="K148">
            <v>0</v>
          </cell>
          <cell r="L148">
            <v>0</v>
          </cell>
          <cell r="M148"/>
          <cell r="N148"/>
        </row>
        <row r="149">
          <cell r="B149"/>
          <cell r="C149" t="str">
            <v/>
          </cell>
          <cell r="D149"/>
          <cell r="E149"/>
          <cell r="F149"/>
          <cell r="G149"/>
          <cell r="H149"/>
          <cell r="I149"/>
          <cell r="J149"/>
          <cell r="K149">
            <v>0</v>
          </cell>
          <cell r="L149">
            <v>0</v>
          </cell>
          <cell r="M149"/>
          <cell r="N149"/>
        </row>
        <row r="150">
          <cell r="B150"/>
          <cell r="C150" t="str">
            <v/>
          </cell>
          <cell r="D150"/>
          <cell r="E150"/>
          <cell r="F150"/>
          <cell r="G150"/>
          <cell r="H150"/>
          <cell r="I150"/>
          <cell r="J150"/>
          <cell r="K150">
            <v>0</v>
          </cell>
          <cell r="L150">
            <v>0</v>
          </cell>
          <cell r="M150"/>
          <cell r="N150"/>
        </row>
        <row r="151">
          <cell r="B151"/>
          <cell r="C151" t="str">
            <v/>
          </cell>
          <cell r="D151"/>
          <cell r="E151"/>
          <cell r="F151"/>
          <cell r="G151"/>
          <cell r="H151"/>
          <cell r="I151"/>
          <cell r="J151"/>
          <cell r="K151">
            <v>0</v>
          </cell>
          <cell r="L151">
            <v>0</v>
          </cell>
          <cell r="M151"/>
          <cell r="N151"/>
        </row>
        <row r="152">
          <cell r="B152"/>
          <cell r="C152" t="str">
            <v/>
          </cell>
          <cell r="D152"/>
          <cell r="E152"/>
          <cell r="F152"/>
          <cell r="G152"/>
          <cell r="H152"/>
          <cell r="I152"/>
          <cell r="J152"/>
          <cell r="K152">
            <v>0</v>
          </cell>
          <cell r="L152">
            <v>0</v>
          </cell>
          <cell r="M152"/>
          <cell r="N152"/>
        </row>
        <row r="153">
          <cell r="B153"/>
          <cell r="C153" t="str">
            <v/>
          </cell>
          <cell r="D153"/>
          <cell r="E153"/>
          <cell r="F153"/>
          <cell r="G153"/>
          <cell r="H153"/>
          <cell r="I153"/>
          <cell r="J153"/>
          <cell r="K153">
            <v>0</v>
          </cell>
          <cell r="L153">
            <v>0</v>
          </cell>
          <cell r="M153"/>
          <cell r="N153"/>
        </row>
        <row r="154">
          <cell r="B154"/>
          <cell r="C154" t="str">
            <v/>
          </cell>
          <cell r="D154"/>
          <cell r="E154"/>
          <cell r="F154"/>
          <cell r="G154"/>
          <cell r="H154"/>
          <cell r="I154"/>
          <cell r="J154"/>
          <cell r="K154">
            <v>0</v>
          </cell>
          <cell r="L154">
            <v>0</v>
          </cell>
          <cell r="M154"/>
          <cell r="N154"/>
        </row>
        <row r="155">
          <cell r="B155"/>
          <cell r="C155" t="str">
            <v/>
          </cell>
          <cell r="D155"/>
          <cell r="E155"/>
          <cell r="F155"/>
          <cell r="G155"/>
          <cell r="H155"/>
          <cell r="I155"/>
          <cell r="J155"/>
          <cell r="K155">
            <v>0</v>
          </cell>
          <cell r="L155">
            <v>0</v>
          </cell>
          <cell r="M155"/>
          <cell r="N155"/>
        </row>
        <row r="156">
          <cell r="B156"/>
          <cell r="C156" t="str">
            <v/>
          </cell>
          <cell r="D156"/>
          <cell r="E156"/>
          <cell r="F156"/>
          <cell r="G156"/>
          <cell r="H156"/>
          <cell r="I156"/>
          <cell r="J156"/>
          <cell r="K156">
            <v>0</v>
          </cell>
          <cell r="L156">
            <v>0</v>
          </cell>
          <cell r="M156"/>
          <cell r="N156"/>
        </row>
        <row r="157">
          <cell r="B157"/>
          <cell r="C157" t="str">
            <v/>
          </cell>
          <cell r="D157"/>
          <cell r="E157"/>
          <cell r="F157"/>
          <cell r="G157"/>
          <cell r="H157"/>
          <cell r="I157"/>
          <cell r="J157"/>
          <cell r="K157">
            <v>0</v>
          </cell>
          <cell r="L157">
            <v>0</v>
          </cell>
          <cell r="M157"/>
          <cell r="N157"/>
        </row>
        <row r="158">
          <cell r="B158"/>
          <cell r="C158" t="str">
            <v/>
          </cell>
          <cell r="D158"/>
          <cell r="E158"/>
          <cell r="F158"/>
          <cell r="G158"/>
          <cell r="H158"/>
          <cell r="I158"/>
          <cell r="J158"/>
          <cell r="K158">
            <v>0</v>
          </cell>
          <cell r="L158">
            <v>0</v>
          </cell>
          <cell r="M158"/>
          <cell r="N158"/>
        </row>
        <row r="159">
          <cell r="B159"/>
          <cell r="C159" t="str">
            <v/>
          </cell>
          <cell r="D159"/>
          <cell r="E159"/>
          <cell r="F159"/>
          <cell r="G159"/>
          <cell r="H159"/>
          <cell r="I159"/>
          <cell r="J159"/>
          <cell r="K159">
            <v>0</v>
          </cell>
          <cell r="L159">
            <v>0</v>
          </cell>
          <cell r="M159"/>
          <cell r="N159"/>
        </row>
        <row r="160">
          <cell r="B160"/>
          <cell r="C160" t="str">
            <v/>
          </cell>
          <cell r="D160"/>
          <cell r="E160"/>
          <cell r="F160"/>
          <cell r="G160"/>
          <cell r="H160"/>
          <cell r="I160"/>
          <cell r="J160"/>
          <cell r="K160">
            <v>0</v>
          </cell>
          <cell r="L160">
            <v>0</v>
          </cell>
          <cell r="M160"/>
          <cell r="N160"/>
        </row>
        <row r="161">
          <cell r="B161"/>
          <cell r="C161" t="str">
            <v/>
          </cell>
          <cell r="D161"/>
          <cell r="E161"/>
          <cell r="F161"/>
          <cell r="G161"/>
          <cell r="H161"/>
          <cell r="I161"/>
          <cell r="J161"/>
          <cell r="K161">
            <v>0</v>
          </cell>
          <cell r="L161">
            <v>0</v>
          </cell>
          <cell r="M161"/>
          <cell r="N161"/>
        </row>
        <row r="162">
          <cell r="B162"/>
          <cell r="C162" t="str">
            <v/>
          </cell>
          <cell r="D162"/>
          <cell r="E162"/>
          <cell r="F162"/>
          <cell r="G162"/>
          <cell r="H162"/>
          <cell r="I162"/>
          <cell r="J162"/>
          <cell r="K162">
            <v>0</v>
          </cell>
          <cell r="L162">
            <v>0</v>
          </cell>
          <cell r="M162"/>
          <cell r="N162"/>
        </row>
        <row r="163">
          <cell r="B163"/>
          <cell r="C163" t="str">
            <v/>
          </cell>
          <cell r="D163"/>
          <cell r="E163"/>
          <cell r="F163"/>
          <cell r="G163"/>
          <cell r="H163"/>
          <cell r="I163"/>
          <cell r="J163"/>
          <cell r="K163">
            <v>0</v>
          </cell>
          <cell r="L163">
            <v>0</v>
          </cell>
          <cell r="M163"/>
          <cell r="N163"/>
        </row>
        <row r="164">
          <cell r="B164"/>
          <cell r="C164" t="str">
            <v/>
          </cell>
          <cell r="D164"/>
          <cell r="E164"/>
          <cell r="F164"/>
          <cell r="G164"/>
          <cell r="H164"/>
          <cell r="I164"/>
          <cell r="J164"/>
          <cell r="K164">
            <v>0</v>
          </cell>
          <cell r="L164">
            <v>0</v>
          </cell>
          <cell r="M164"/>
          <cell r="N164"/>
        </row>
        <row r="165">
          <cell r="B165"/>
          <cell r="C165" t="str">
            <v/>
          </cell>
          <cell r="D165"/>
          <cell r="E165"/>
          <cell r="F165"/>
          <cell r="G165"/>
          <cell r="H165"/>
          <cell r="I165"/>
          <cell r="J165"/>
          <cell r="K165">
            <v>0</v>
          </cell>
          <cell r="L165">
            <v>0</v>
          </cell>
          <cell r="M165"/>
          <cell r="N165"/>
        </row>
        <row r="166">
          <cell r="B166"/>
          <cell r="C166" t="str">
            <v/>
          </cell>
          <cell r="D166"/>
          <cell r="E166"/>
          <cell r="F166"/>
          <cell r="G166"/>
          <cell r="H166"/>
          <cell r="I166"/>
          <cell r="J166"/>
          <cell r="K166">
            <v>0</v>
          </cell>
          <cell r="L166">
            <v>0</v>
          </cell>
          <cell r="M166"/>
          <cell r="N166"/>
        </row>
        <row r="167">
          <cell r="B167"/>
          <cell r="C167" t="str">
            <v/>
          </cell>
          <cell r="D167"/>
          <cell r="E167"/>
          <cell r="F167"/>
          <cell r="G167"/>
          <cell r="H167"/>
          <cell r="I167"/>
          <cell r="J167"/>
          <cell r="K167">
            <v>0</v>
          </cell>
          <cell r="L167">
            <v>0</v>
          </cell>
          <cell r="M167"/>
          <cell r="N167"/>
        </row>
        <row r="168">
          <cell r="B168"/>
          <cell r="C168" t="str">
            <v/>
          </cell>
          <cell r="D168"/>
          <cell r="E168"/>
          <cell r="F168"/>
          <cell r="G168"/>
          <cell r="H168"/>
          <cell r="I168"/>
          <cell r="J168"/>
          <cell r="K168">
            <v>0</v>
          </cell>
          <cell r="L168">
            <v>0</v>
          </cell>
          <cell r="M168"/>
          <cell r="N168"/>
        </row>
        <row r="169">
          <cell r="B169"/>
          <cell r="C169" t="str">
            <v/>
          </cell>
          <cell r="D169"/>
          <cell r="E169"/>
          <cell r="F169"/>
          <cell r="G169"/>
          <cell r="H169"/>
          <cell r="I169"/>
          <cell r="J169"/>
          <cell r="K169">
            <v>0</v>
          </cell>
          <cell r="L169">
            <v>0</v>
          </cell>
          <cell r="M169"/>
          <cell r="N169"/>
        </row>
        <row r="170">
          <cell r="B170"/>
          <cell r="C170" t="str">
            <v/>
          </cell>
          <cell r="D170"/>
          <cell r="E170"/>
          <cell r="F170"/>
          <cell r="G170"/>
          <cell r="H170"/>
          <cell r="I170"/>
          <cell r="J170"/>
          <cell r="K170">
            <v>0</v>
          </cell>
          <cell r="L170">
            <v>0</v>
          </cell>
          <cell r="M170"/>
          <cell r="N170"/>
        </row>
        <row r="171">
          <cell r="B171"/>
          <cell r="C171" t="str">
            <v/>
          </cell>
          <cell r="D171"/>
          <cell r="E171"/>
          <cell r="F171"/>
          <cell r="G171"/>
          <cell r="H171"/>
          <cell r="I171"/>
          <cell r="J171"/>
          <cell r="K171">
            <v>0</v>
          </cell>
          <cell r="L171">
            <v>0</v>
          </cell>
          <cell r="M171"/>
          <cell r="N171"/>
        </row>
        <row r="172">
          <cell r="B172"/>
          <cell r="C172" t="str">
            <v/>
          </cell>
          <cell r="D172"/>
          <cell r="E172"/>
          <cell r="F172"/>
          <cell r="G172"/>
          <cell r="H172"/>
          <cell r="I172"/>
          <cell r="J172"/>
          <cell r="K172">
            <v>0</v>
          </cell>
          <cell r="L172">
            <v>0</v>
          </cell>
          <cell r="M172"/>
          <cell r="N172"/>
        </row>
        <row r="173">
          <cell r="B173"/>
          <cell r="C173" t="str">
            <v/>
          </cell>
          <cell r="D173"/>
          <cell r="E173"/>
          <cell r="F173"/>
          <cell r="G173"/>
          <cell r="H173"/>
          <cell r="I173"/>
          <cell r="J173"/>
          <cell r="K173">
            <v>0</v>
          </cell>
          <cell r="L173">
            <v>0</v>
          </cell>
          <cell r="M173"/>
          <cell r="N173"/>
        </row>
        <row r="174">
          <cell r="B174"/>
          <cell r="C174" t="str">
            <v/>
          </cell>
          <cell r="D174"/>
          <cell r="E174"/>
          <cell r="F174"/>
          <cell r="G174"/>
          <cell r="H174"/>
          <cell r="I174"/>
          <cell r="J174"/>
          <cell r="K174">
            <v>0</v>
          </cell>
          <cell r="L174">
            <v>0</v>
          </cell>
          <cell r="M174"/>
          <cell r="N174"/>
        </row>
        <row r="175">
          <cell r="B175"/>
          <cell r="C175" t="str">
            <v/>
          </cell>
          <cell r="D175"/>
          <cell r="E175"/>
          <cell r="F175"/>
          <cell r="G175"/>
          <cell r="H175"/>
          <cell r="I175"/>
          <cell r="J175"/>
          <cell r="K175">
            <v>0</v>
          </cell>
          <cell r="L175">
            <v>0</v>
          </cell>
          <cell r="M175"/>
          <cell r="N175"/>
        </row>
        <row r="176">
          <cell r="B176"/>
          <cell r="C176" t="str">
            <v/>
          </cell>
          <cell r="D176"/>
          <cell r="E176"/>
          <cell r="F176"/>
          <cell r="G176"/>
          <cell r="H176"/>
          <cell r="I176"/>
          <cell r="J176"/>
          <cell r="K176">
            <v>0</v>
          </cell>
          <cell r="L176">
            <v>0</v>
          </cell>
          <cell r="M176"/>
          <cell r="N176"/>
        </row>
        <row r="177">
          <cell r="B177"/>
          <cell r="C177" t="str">
            <v/>
          </cell>
          <cell r="D177"/>
          <cell r="E177"/>
          <cell r="F177"/>
          <cell r="G177"/>
          <cell r="H177"/>
          <cell r="I177"/>
          <cell r="J177"/>
          <cell r="K177">
            <v>0</v>
          </cell>
          <cell r="L177">
            <v>0</v>
          </cell>
          <cell r="M177"/>
          <cell r="N177"/>
        </row>
        <row r="178">
          <cell r="B178"/>
          <cell r="C178" t="str">
            <v/>
          </cell>
          <cell r="D178"/>
          <cell r="E178"/>
          <cell r="F178"/>
          <cell r="G178"/>
          <cell r="H178"/>
          <cell r="I178"/>
          <cell r="J178"/>
          <cell r="K178">
            <v>0</v>
          </cell>
          <cell r="L178">
            <v>0</v>
          </cell>
          <cell r="M178"/>
          <cell r="N178"/>
        </row>
        <row r="179">
          <cell r="B179"/>
          <cell r="C179" t="str">
            <v/>
          </cell>
          <cell r="D179"/>
          <cell r="E179"/>
          <cell r="F179"/>
          <cell r="G179"/>
          <cell r="H179"/>
          <cell r="I179"/>
          <cell r="J179"/>
          <cell r="K179">
            <v>0</v>
          </cell>
          <cell r="L179">
            <v>0</v>
          </cell>
          <cell r="M179"/>
          <cell r="N179"/>
        </row>
        <row r="180">
          <cell r="B180"/>
          <cell r="C180" t="str">
            <v/>
          </cell>
          <cell r="D180"/>
          <cell r="E180"/>
          <cell r="F180"/>
          <cell r="G180"/>
          <cell r="H180"/>
          <cell r="I180"/>
          <cell r="J180"/>
          <cell r="K180">
            <v>0</v>
          </cell>
          <cell r="L180">
            <v>0</v>
          </cell>
          <cell r="M180"/>
          <cell r="N180"/>
        </row>
        <row r="181">
          <cell r="B181"/>
          <cell r="C181" t="str">
            <v/>
          </cell>
          <cell r="D181"/>
          <cell r="E181"/>
          <cell r="F181"/>
          <cell r="G181"/>
          <cell r="H181"/>
          <cell r="I181"/>
          <cell r="J181"/>
          <cell r="K181">
            <v>0</v>
          </cell>
          <cell r="L181">
            <v>0</v>
          </cell>
          <cell r="M181"/>
          <cell r="N181"/>
        </row>
        <row r="182">
          <cell r="B182"/>
          <cell r="C182" t="str">
            <v/>
          </cell>
          <cell r="D182"/>
          <cell r="E182"/>
          <cell r="F182"/>
          <cell r="G182"/>
          <cell r="H182"/>
          <cell r="I182"/>
          <cell r="J182"/>
          <cell r="K182">
            <v>0</v>
          </cell>
          <cell r="L182">
            <v>0</v>
          </cell>
          <cell r="M182"/>
          <cell r="N182"/>
        </row>
        <row r="183">
          <cell r="B183"/>
          <cell r="C183" t="str">
            <v/>
          </cell>
          <cell r="D183"/>
          <cell r="E183"/>
          <cell r="F183"/>
          <cell r="G183"/>
          <cell r="H183"/>
          <cell r="I183"/>
          <cell r="J183"/>
          <cell r="K183">
            <v>0</v>
          </cell>
          <cell r="L183">
            <v>0</v>
          </cell>
          <cell r="M183"/>
          <cell r="N183"/>
        </row>
        <row r="184">
          <cell r="B184"/>
          <cell r="C184" t="str">
            <v/>
          </cell>
          <cell r="D184"/>
          <cell r="E184"/>
          <cell r="F184"/>
          <cell r="G184"/>
          <cell r="H184"/>
          <cell r="I184"/>
          <cell r="J184"/>
          <cell r="K184">
            <v>0</v>
          </cell>
          <cell r="L184">
            <v>0</v>
          </cell>
          <cell r="M184"/>
          <cell r="N184"/>
        </row>
        <row r="185">
          <cell r="B185"/>
          <cell r="C185" t="str">
            <v/>
          </cell>
          <cell r="D185"/>
          <cell r="E185"/>
          <cell r="F185"/>
          <cell r="G185"/>
          <cell r="H185"/>
          <cell r="I185"/>
          <cell r="J185"/>
          <cell r="K185">
            <v>0</v>
          </cell>
          <cell r="L185">
            <v>0</v>
          </cell>
          <cell r="M185"/>
          <cell r="N185"/>
        </row>
        <row r="186">
          <cell r="B186"/>
          <cell r="C186" t="str">
            <v/>
          </cell>
          <cell r="D186"/>
          <cell r="E186"/>
          <cell r="F186"/>
          <cell r="G186"/>
          <cell r="H186"/>
          <cell r="I186"/>
          <cell r="J186"/>
          <cell r="K186">
            <v>0</v>
          </cell>
          <cell r="L186">
            <v>0</v>
          </cell>
          <cell r="M186"/>
          <cell r="N186"/>
        </row>
        <row r="187">
          <cell r="B187"/>
          <cell r="C187" t="str">
            <v/>
          </cell>
          <cell r="D187"/>
          <cell r="E187"/>
          <cell r="F187"/>
          <cell r="G187"/>
          <cell r="H187"/>
          <cell r="I187"/>
          <cell r="J187"/>
          <cell r="K187">
            <v>0</v>
          </cell>
          <cell r="L187">
            <v>0</v>
          </cell>
          <cell r="M187"/>
          <cell r="N187"/>
        </row>
        <row r="188">
          <cell r="B188"/>
          <cell r="C188" t="str">
            <v/>
          </cell>
          <cell r="D188"/>
          <cell r="E188"/>
          <cell r="F188"/>
          <cell r="G188"/>
          <cell r="H188"/>
          <cell r="I188"/>
          <cell r="J188"/>
          <cell r="K188">
            <v>0</v>
          </cell>
          <cell r="L188">
            <v>0</v>
          </cell>
          <cell r="M188"/>
          <cell r="N188"/>
        </row>
        <row r="189">
          <cell r="B189"/>
          <cell r="C189" t="str">
            <v/>
          </cell>
          <cell r="D189"/>
          <cell r="E189"/>
          <cell r="F189"/>
          <cell r="G189"/>
          <cell r="H189"/>
          <cell r="I189"/>
          <cell r="J189"/>
          <cell r="K189">
            <v>0</v>
          </cell>
          <cell r="L189">
            <v>0</v>
          </cell>
          <cell r="M189"/>
          <cell r="N189"/>
        </row>
        <row r="190">
          <cell r="B190"/>
          <cell r="C190" t="str">
            <v/>
          </cell>
          <cell r="D190"/>
          <cell r="E190"/>
          <cell r="F190"/>
          <cell r="G190"/>
          <cell r="H190"/>
          <cell r="I190"/>
          <cell r="J190"/>
          <cell r="K190">
            <v>0</v>
          </cell>
          <cell r="L190">
            <v>0</v>
          </cell>
          <cell r="M190"/>
          <cell r="N190"/>
        </row>
        <row r="191">
          <cell r="B191"/>
          <cell r="C191" t="str">
            <v/>
          </cell>
          <cell r="D191"/>
          <cell r="E191"/>
          <cell r="F191"/>
          <cell r="G191"/>
          <cell r="H191"/>
          <cell r="I191"/>
          <cell r="J191"/>
          <cell r="K191">
            <v>0</v>
          </cell>
          <cell r="L191">
            <v>0</v>
          </cell>
          <cell r="M191"/>
          <cell r="N191"/>
        </row>
        <row r="192">
          <cell r="B192"/>
          <cell r="C192" t="str">
            <v/>
          </cell>
          <cell r="D192"/>
          <cell r="E192"/>
          <cell r="F192"/>
          <cell r="G192"/>
          <cell r="H192"/>
          <cell r="I192"/>
          <cell r="J192"/>
          <cell r="K192">
            <v>0</v>
          </cell>
          <cell r="L192">
            <v>0</v>
          </cell>
          <cell r="M192"/>
          <cell r="N192"/>
        </row>
        <row r="193">
          <cell r="B193"/>
          <cell r="C193" t="str">
            <v/>
          </cell>
          <cell r="D193"/>
          <cell r="E193"/>
          <cell r="F193"/>
          <cell r="G193"/>
          <cell r="H193"/>
          <cell r="I193"/>
          <cell r="J193"/>
          <cell r="K193">
            <v>0</v>
          </cell>
          <cell r="L193">
            <v>0</v>
          </cell>
          <cell r="M193"/>
          <cell r="N193"/>
        </row>
        <row r="194">
          <cell r="B194"/>
          <cell r="C194" t="str">
            <v/>
          </cell>
          <cell r="D194"/>
          <cell r="E194"/>
          <cell r="F194"/>
          <cell r="G194"/>
          <cell r="H194"/>
          <cell r="I194"/>
          <cell r="J194"/>
          <cell r="K194">
            <v>0</v>
          </cell>
          <cell r="L194">
            <v>0</v>
          </cell>
          <cell r="M194"/>
          <cell r="N194"/>
        </row>
        <row r="195">
          <cell r="B195"/>
          <cell r="C195" t="str">
            <v/>
          </cell>
          <cell r="D195"/>
          <cell r="E195"/>
          <cell r="F195"/>
          <cell r="G195"/>
          <cell r="H195"/>
          <cell r="I195"/>
          <cell r="J195"/>
          <cell r="K195">
            <v>0</v>
          </cell>
          <cell r="L195">
            <v>0</v>
          </cell>
          <cell r="M195"/>
          <cell r="N195"/>
        </row>
        <row r="196">
          <cell r="B196"/>
          <cell r="C196" t="str">
            <v/>
          </cell>
          <cell r="D196"/>
          <cell r="E196"/>
          <cell r="F196"/>
          <cell r="G196"/>
          <cell r="H196"/>
          <cell r="I196"/>
          <cell r="J196"/>
          <cell r="K196">
            <v>0</v>
          </cell>
          <cell r="L196">
            <v>0</v>
          </cell>
          <cell r="M196"/>
          <cell r="N196"/>
        </row>
        <row r="197">
          <cell r="B197"/>
          <cell r="C197" t="str">
            <v/>
          </cell>
          <cell r="D197"/>
          <cell r="E197"/>
          <cell r="F197"/>
          <cell r="G197"/>
          <cell r="H197"/>
          <cell r="I197"/>
          <cell r="J197"/>
          <cell r="K197">
            <v>0</v>
          </cell>
          <cell r="L197">
            <v>0</v>
          </cell>
          <cell r="M197"/>
          <cell r="N197"/>
        </row>
        <row r="198">
          <cell r="B198"/>
          <cell r="C198" t="str">
            <v/>
          </cell>
          <cell r="D198"/>
          <cell r="E198"/>
          <cell r="F198"/>
          <cell r="G198"/>
          <cell r="H198"/>
          <cell r="I198"/>
          <cell r="J198"/>
          <cell r="K198">
            <v>0</v>
          </cell>
          <cell r="L198">
            <v>0</v>
          </cell>
          <cell r="M198"/>
          <cell r="N198"/>
        </row>
        <row r="199">
          <cell r="B199"/>
          <cell r="C199" t="str">
            <v/>
          </cell>
          <cell r="D199"/>
          <cell r="E199"/>
          <cell r="F199"/>
          <cell r="G199"/>
          <cell r="H199"/>
          <cell r="I199"/>
          <cell r="J199"/>
          <cell r="K199">
            <v>0</v>
          </cell>
          <cell r="L199">
            <v>0</v>
          </cell>
          <cell r="M199"/>
          <cell r="N199"/>
        </row>
        <row r="200">
          <cell r="B200"/>
          <cell r="C200" t="str">
            <v/>
          </cell>
          <cell r="D200"/>
          <cell r="E200"/>
          <cell r="F200"/>
          <cell r="G200"/>
          <cell r="H200"/>
          <cell r="I200"/>
          <cell r="J200"/>
          <cell r="K200">
            <v>0</v>
          </cell>
          <cell r="L200">
            <v>0</v>
          </cell>
          <cell r="M200"/>
          <cell r="N200"/>
        </row>
        <row r="201">
          <cell r="B201"/>
          <cell r="C201" t="str">
            <v/>
          </cell>
          <cell r="D201"/>
          <cell r="E201"/>
          <cell r="F201"/>
          <cell r="G201"/>
          <cell r="H201"/>
          <cell r="I201"/>
          <cell r="J201"/>
          <cell r="K201">
            <v>0</v>
          </cell>
          <cell r="L201">
            <v>0</v>
          </cell>
          <cell r="M201"/>
          <cell r="N201"/>
        </row>
        <row r="202">
          <cell r="B202"/>
          <cell r="C202" t="str">
            <v/>
          </cell>
          <cell r="D202"/>
          <cell r="E202"/>
          <cell r="F202"/>
          <cell r="G202"/>
          <cell r="H202"/>
          <cell r="I202"/>
          <cell r="J202"/>
          <cell r="K202">
            <v>0</v>
          </cell>
          <cell r="L202">
            <v>0</v>
          </cell>
          <cell r="M202"/>
          <cell r="N202"/>
        </row>
        <row r="203">
          <cell r="B203"/>
          <cell r="C203" t="str">
            <v/>
          </cell>
          <cell r="D203"/>
          <cell r="E203"/>
          <cell r="F203"/>
          <cell r="G203"/>
          <cell r="H203"/>
          <cell r="I203"/>
          <cell r="J203"/>
          <cell r="K203">
            <v>0</v>
          </cell>
          <cell r="L203">
            <v>0</v>
          </cell>
          <cell r="M203"/>
          <cell r="N203"/>
        </row>
        <row r="204">
          <cell r="B204"/>
          <cell r="C204" t="str">
            <v/>
          </cell>
          <cell r="D204"/>
          <cell r="E204"/>
          <cell r="F204"/>
          <cell r="G204"/>
          <cell r="H204"/>
          <cell r="I204"/>
          <cell r="J204"/>
          <cell r="K204">
            <v>0</v>
          </cell>
          <cell r="L204">
            <v>0</v>
          </cell>
          <cell r="M204"/>
          <cell r="N204"/>
        </row>
        <row r="205">
          <cell r="B205"/>
          <cell r="C205" t="str">
            <v/>
          </cell>
          <cell r="D205"/>
          <cell r="E205"/>
          <cell r="F205"/>
          <cell r="G205"/>
          <cell r="H205"/>
          <cell r="I205"/>
          <cell r="J205"/>
          <cell r="K205">
            <v>0</v>
          </cell>
          <cell r="L205">
            <v>0</v>
          </cell>
          <cell r="M205"/>
          <cell r="N205"/>
        </row>
        <row r="206">
          <cell r="B206"/>
          <cell r="C206" t="str">
            <v/>
          </cell>
          <cell r="D206"/>
          <cell r="E206"/>
          <cell r="F206"/>
          <cell r="G206"/>
          <cell r="H206"/>
          <cell r="I206"/>
          <cell r="J206"/>
          <cell r="K206">
            <v>0</v>
          </cell>
          <cell r="L206">
            <v>0</v>
          </cell>
          <cell r="M206"/>
          <cell r="N206"/>
        </row>
      </sheetData>
      <sheetData sheetId="6"/>
      <sheetData sheetId="7">
        <row r="7">
          <cell r="B7"/>
          <cell r="C7" t="str">
            <v xml:space="preserve"> </v>
          </cell>
          <cell r="D7"/>
          <cell r="E7"/>
          <cell r="F7"/>
          <cell r="G7"/>
          <cell r="H7"/>
          <cell r="I7"/>
          <cell r="J7"/>
          <cell r="K7">
            <v>0</v>
          </cell>
          <cell r="L7">
            <v>0</v>
          </cell>
          <cell r="M7">
            <v>12</v>
          </cell>
          <cell r="N7">
            <v>8</v>
          </cell>
          <cell r="O7">
            <v>2.5</v>
          </cell>
        </row>
        <row r="8">
          <cell r="B8"/>
          <cell r="C8" t="str">
            <v xml:space="preserve"> </v>
          </cell>
          <cell r="D8"/>
          <cell r="E8"/>
          <cell r="F8"/>
          <cell r="G8"/>
          <cell r="H8"/>
          <cell r="I8"/>
          <cell r="J8"/>
          <cell r="K8">
            <v>0</v>
          </cell>
          <cell r="L8">
            <v>0</v>
          </cell>
          <cell r="M8"/>
          <cell r="N8"/>
          <cell r="O8">
            <v>2.5</v>
          </cell>
        </row>
        <row r="9">
          <cell r="B9"/>
          <cell r="C9" t="str">
            <v xml:space="preserve"> </v>
          </cell>
          <cell r="D9"/>
          <cell r="E9"/>
          <cell r="F9"/>
          <cell r="G9"/>
          <cell r="H9"/>
          <cell r="I9"/>
          <cell r="J9"/>
          <cell r="K9">
            <v>0</v>
          </cell>
          <cell r="L9">
            <v>0</v>
          </cell>
          <cell r="M9"/>
          <cell r="N9"/>
          <cell r="O9">
            <v>2</v>
          </cell>
        </row>
        <row r="10">
          <cell r="B10"/>
          <cell r="C10" t="str">
            <v xml:space="preserve"> </v>
          </cell>
          <cell r="D10"/>
          <cell r="E10"/>
          <cell r="F10"/>
          <cell r="G10"/>
          <cell r="H10"/>
          <cell r="I10"/>
          <cell r="J10"/>
          <cell r="K10">
            <v>0</v>
          </cell>
          <cell r="L10">
            <v>0</v>
          </cell>
          <cell r="M10"/>
          <cell r="N10"/>
          <cell r="O10">
            <v>3.5</v>
          </cell>
        </row>
        <row r="11">
          <cell r="B11"/>
          <cell r="C11" t="str">
            <v xml:space="preserve"> </v>
          </cell>
          <cell r="D11"/>
          <cell r="E11"/>
          <cell r="F11"/>
          <cell r="G11"/>
          <cell r="H11"/>
          <cell r="I11"/>
          <cell r="J11"/>
          <cell r="K11">
            <v>0</v>
          </cell>
          <cell r="L11">
            <v>0</v>
          </cell>
          <cell r="M11"/>
          <cell r="N11"/>
          <cell r="O11">
            <v>2.5</v>
          </cell>
        </row>
        <row r="12">
          <cell r="B12"/>
          <cell r="C12" t="str">
            <v xml:space="preserve"> </v>
          </cell>
          <cell r="D12"/>
          <cell r="E12"/>
          <cell r="F12"/>
          <cell r="G12"/>
          <cell r="H12"/>
          <cell r="I12"/>
          <cell r="J12"/>
          <cell r="K12">
            <v>0</v>
          </cell>
          <cell r="L12">
            <v>0</v>
          </cell>
          <cell r="M12"/>
          <cell r="N12"/>
          <cell r="O12">
            <v>1.5</v>
          </cell>
        </row>
        <row r="13">
          <cell r="B13"/>
          <cell r="C13" t="str">
            <v xml:space="preserve"> </v>
          </cell>
          <cell r="D13"/>
          <cell r="E13"/>
          <cell r="F13"/>
          <cell r="G13"/>
          <cell r="H13"/>
          <cell r="I13"/>
          <cell r="J13"/>
          <cell r="K13">
            <v>0</v>
          </cell>
          <cell r="L13">
            <v>0</v>
          </cell>
          <cell r="M13"/>
          <cell r="N13"/>
          <cell r="O13">
            <v>4</v>
          </cell>
        </row>
        <row r="14">
          <cell r="B14"/>
          <cell r="C14" t="str">
            <v xml:space="preserve"> </v>
          </cell>
          <cell r="D14"/>
          <cell r="E14"/>
          <cell r="F14"/>
          <cell r="G14"/>
          <cell r="H14"/>
          <cell r="I14"/>
          <cell r="J14"/>
          <cell r="K14">
            <v>0</v>
          </cell>
          <cell r="L14">
            <v>0</v>
          </cell>
          <cell r="M14">
            <v>12</v>
          </cell>
          <cell r="N14"/>
          <cell r="O14"/>
        </row>
        <row r="15">
          <cell r="B15"/>
          <cell r="C15" t="str">
            <v xml:space="preserve"> </v>
          </cell>
          <cell r="D15"/>
          <cell r="E15"/>
          <cell r="F15"/>
          <cell r="G15"/>
          <cell r="H15"/>
          <cell r="I15"/>
          <cell r="J15"/>
          <cell r="K15">
            <v>0</v>
          </cell>
          <cell r="L15">
            <v>0</v>
          </cell>
          <cell r="M15">
            <v>12</v>
          </cell>
          <cell r="N15"/>
          <cell r="O15"/>
        </row>
        <row r="16">
          <cell r="B16"/>
          <cell r="C16" t="str">
            <v xml:space="preserve"> </v>
          </cell>
          <cell r="D16"/>
          <cell r="E16"/>
          <cell r="F16"/>
          <cell r="G16"/>
          <cell r="H16"/>
          <cell r="I16"/>
          <cell r="J16"/>
          <cell r="K16">
            <v>0</v>
          </cell>
          <cell r="L16">
            <v>0</v>
          </cell>
          <cell r="M16">
            <v>12</v>
          </cell>
          <cell r="N16"/>
          <cell r="O16"/>
        </row>
        <row r="17">
          <cell r="B17"/>
          <cell r="C17" t="str">
            <v xml:space="preserve"> </v>
          </cell>
          <cell r="D17"/>
          <cell r="E17"/>
          <cell r="F17"/>
          <cell r="G17"/>
          <cell r="H17"/>
          <cell r="I17"/>
          <cell r="J17"/>
          <cell r="K17">
            <v>0</v>
          </cell>
          <cell r="L17">
            <v>0</v>
          </cell>
          <cell r="M17">
            <v>12</v>
          </cell>
          <cell r="N17"/>
          <cell r="O17">
            <v>5</v>
          </cell>
        </row>
        <row r="18">
          <cell r="B18"/>
          <cell r="C18" t="str">
            <v xml:space="preserve"> </v>
          </cell>
          <cell r="D18"/>
          <cell r="E18"/>
          <cell r="F18"/>
          <cell r="G18"/>
          <cell r="H18"/>
          <cell r="I18"/>
          <cell r="J18"/>
          <cell r="K18">
            <v>0</v>
          </cell>
          <cell r="L18">
            <v>0</v>
          </cell>
          <cell r="M18">
            <v>12</v>
          </cell>
          <cell r="N18"/>
          <cell r="O18"/>
        </row>
        <row r="19">
          <cell r="B19"/>
          <cell r="C19" t="str">
            <v xml:space="preserve"> </v>
          </cell>
          <cell r="D19"/>
          <cell r="E19"/>
          <cell r="F19"/>
          <cell r="G19"/>
          <cell r="H19"/>
          <cell r="I19"/>
          <cell r="J19"/>
          <cell r="K19">
            <v>0</v>
          </cell>
          <cell r="L19">
            <v>0</v>
          </cell>
          <cell r="M19">
            <v>12</v>
          </cell>
          <cell r="N19"/>
          <cell r="O19"/>
        </row>
        <row r="20">
          <cell r="B20"/>
          <cell r="C20" t="str">
            <v xml:space="preserve"> </v>
          </cell>
          <cell r="D20"/>
          <cell r="E20"/>
          <cell r="F20"/>
          <cell r="G20"/>
          <cell r="H20"/>
          <cell r="I20"/>
          <cell r="J20"/>
          <cell r="K20">
            <v>0</v>
          </cell>
          <cell r="L20">
            <v>0</v>
          </cell>
          <cell r="M20">
            <v>10</v>
          </cell>
          <cell r="N20"/>
          <cell r="O20"/>
        </row>
        <row r="21">
          <cell r="B21"/>
          <cell r="C21" t="str">
            <v xml:space="preserve"> </v>
          </cell>
          <cell r="D21"/>
          <cell r="E21"/>
          <cell r="F21"/>
          <cell r="G21"/>
          <cell r="H21"/>
          <cell r="I21"/>
          <cell r="J21"/>
          <cell r="K21">
            <v>0</v>
          </cell>
          <cell r="L21">
            <v>0</v>
          </cell>
          <cell r="M21">
            <v>12</v>
          </cell>
          <cell r="N21"/>
          <cell r="O21"/>
        </row>
        <row r="22">
          <cell r="B22"/>
          <cell r="C22" t="str">
            <v xml:space="preserve"> </v>
          </cell>
          <cell r="D22"/>
          <cell r="E22"/>
          <cell r="F22"/>
          <cell r="G22"/>
          <cell r="H22"/>
          <cell r="I22"/>
          <cell r="J22"/>
          <cell r="K22">
            <v>0</v>
          </cell>
          <cell r="L22">
            <v>0</v>
          </cell>
          <cell r="M22"/>
          <cell r="N22"/>
          <cell r="O22"/>
        </row>
        <row r="23">
          <cell r="B23"/>
          <cell r="C23" t="str">
            <v xml:space="preserve"> </v>
          </cell>
          <cell r="D23"/>
          <cell r="E23"/>
          <cell r="F23"/>
          <cell r="G23"/>
          <cell r="H23"/>
          <cell r="I23"/>
          <cell r="J23"/>
          <cell r="K23">
            <v>0</v>
          </cell>
          <cell r="L23">
            <v>0</v>
          </cell>
          <cell r="M23"/>
          <cell r="N23"/>
          <cell r="O23"/>
        </row>
        <row r="24">
          <cell r="B24"/>
          <cell r="C24" t="str">
            <v xml:space="preserve"> </v>
          </cell>
          <cell r="D24"/>
          <cell r="E24"/>
          <cell r="F24"/>
          <cell r="G24"/>
          <cell r="H24"/>
          <cell r="I24"/>
          <cell r="J24"/>
          <cell r="K24">
            <v>0</v>
          </cell>
          <cell r="L24">
            <v>0</v>
          </cell>
          <cell r="M24"/>
          <cell r="N24"/>
          <cell r="O24"/>
        </row>
        <row r="25">
          <cell r="B25"/>
          <cell r="C25" t="str">
            <v xml:space="preserve"> </v>
          </cell>
          <cell r="D25"/>
          <cell r="E25"/>
          <cell r="F25"/>
          <cell r="G25"/>
          <cell r="H25"/>
          <cell r="I25"/>
          <cell r="J25"/>
          <cell r="K25">
            <v>0</v>
          </cell>
          <cell r="L25">
            <v>0</v>
          </cell>
          <cell r="M25"/>
          <cell r="N25"/>
          <cell r="O25"/>
        </row>
        <row r="26">
          <cell r="B26"/>
          <cell r="C26" t="str">
            <v xml:space="preserve"> </v>
          </cell>
          <cell r="D26"/>
          <cell r="E26"/>
          <cell r="F26"/>
          <cell r="G26"/>
          <cell r="H26"/>
          <cell r="I26"/>
          <cell r="J26"/>
          <cell r="K26">
            <v>0</v>
          </cell>
          <cell r="L26">
            <v>0</v>
          </cell>
          <cell r="M26"/>
          <cell r="N26"/>
          <cell r="O26"/>
        </row>
        <row r="27">
          <cell r="B27"/>
          <cell r="C27" t="str">
            <v xml:space="preserve"> </v>
          </cell>
          <cell r="D27"/>
          <cell r="E27"/>
          <cell r="F27"/>
          <cell r="G27"/>
          <cell r="H27"/>
          <cell r="I27"/>
          <cell r="J27"/>
          <cell r="K27">
            <v>0</v>
          </cell>
          <cell r="L27">
            <v>0</v>
          </cell>
          <cell r="M27"/>
          <cell r="N27"/>
          <cell r="O27"/>
        </row>
        <row r="28">
          <cell r="B28"/>
          <cell r="C28" t="str">
            <v xml:space="preserve"> </v>
          </cell>
          <cell r="D28"/>
          <cell r="E28"/>
          <cell r="F28"/>
          <cell r="G28"/>
          <cell r="H28"/>
          <cell r="I28"/>
          <cell r="J28"/>
          <cell r="K28">
            <v>0</v>
          </cell>
          <cell r="L28">
            <v>0</v>
          </cell>
          <cell r="M28"/>
          <cell r="N28"/>
          <cell r="O28"/>
        </row>
        <row r="29">
          <cell r="B29"/>
          <cell r="C29" t="str">
            <v xml:space="preserve"> </v>
          </cell>
          <cell r="D29"/>
          <cell r="E29"/>
          <cell r="F29"/>
          <cell r="G29"/>
          <cell r="H29"/>
          <cell r="I29"/>
          <cell r="J29"/>
          <cell r="K29">
            <v>0</v>
          </cell>
          <cell r="L29">
            <v>0</v>
          </cell>
          <cell r="M29"/>
          <cell r="N29"/>
          <cell r="O29"/>
        </row>
        <row r="30">
          <cell r="B30"/>
          <cell r="C30" t="str">
            <v xml:space="preserve"> </v>
          </cell>
          <cell r="D30"/>
          <cell r="E30"/>
          <cell r="F30"/>
          <cell r="G30"/>
          <cell r="H30"/>
          <cell r="I30"/>
          <cell r="J30"/>
          <cell r="K30">
            <v>0</v>
          </cell>
          <cell r="L30">
            <v>0</v>
          </cell>
          <cell r="M30"/>
          <cell r="N30"/>
          <cell r="O30"/>
        </row>
        <row r="31">
          <cell r="B31"/>
          <cell r="C31" t="str">
            <v xml:space="preserve"> </v>
          </cell>
          <cell r="D31"/>
          <cell r="E31"/>
          <cell r="F31"/>
          <cell r="G31"/>
          <cell r="H31"/>
          <cell r="I31"/>
          <cell r="J31"/>
          <cell r="K31">
            <v>0</v>
          </cell>
          <cell r="L31">
            <v>0</v>
          </cell>
          <cell r="M31"/>
          <cell r="N31"/>
          <cell r="O31"/>
        </row>
        <row r="32">
          <cell r="B32"/>
          <cell r="C32" t="str">
            <v xml:space="preserve"> </v>
          </cell>
          <cell r="D32"/>
          <cell r="E32"/>
          <cell r="F32"/>
          <cell r="G32"/>
          <cell r="H32"/>
          <cell r="I32"/>
          <cell r="J32"/>
          <cell r="K32">
            <v>0</v>
          </cell>
          <cell r="L32">
            <v>0</v>
          </cell>
          <cell r="M32"/>
          <cell r="N32"/>
          <cell r="O32"/>
        </row>
        <row r="33">
          <cell r="B33"/>
          <cell r="C33" t="str">
            <v xml:space="preserve"> </v>
          </cell>
          <cell r="D33"/>
          <cell r="E33"/>
          <cell r="F33"/>
          <cell r="G33"/>
          <cell r="H33"/>
          <cell r="I33"/>
          <cell r="J33"/>
          <cell r="K33">
            <v>0</v>
          </cell>
          <cell r="L33">
            <v>0</v>
          </cell>
          <cell r="M33"/>
          <cell r="N33"/>
          <cell r="O33"/>
        </row>
        <row r="34">
          <cell r="B34"/>
          <cell r="C34" t="str">
            <v xml:space="preserve"> </v>
          </cell>
          <cell r="D34"/>
          <cell r="E34"/>
          <cell r="F34"/>
          <cell r="G34"/>
          <cell r="H34"/>
          <cell r="I34"/>
          <cell r="J34"/>
          <cell r="K34">
            <v>0</v>
          </cell>
          <cell r="L34">
            <v>0</v>
          </cell>
          <cell r="M34"/>
          <cell r="N34"/>
          <cell r="O34"/>
        </row>
        <row r="35">
          <cell r="B35"/>
          <cell r="C35" t="str">
            <v xml:space="preserve"> </v>
          </cell>
          <cell r="D35"/>
          <cell r="E35"/>
          <cell r="F35"/>
          <cell r="G35"/>
          <cell r="H35"/>
          <cell r="I35"/>
          <cell r="J35"/>
          <cell r="K35">
            <v>0</v>
          </cell>
          <cell r="L35">
            <v>0</v>
          </cell>
          <cell r="M35"/>
          <cell r="N35"/>
          <cell r="O35"/>
        </row>
        <row r="36">
          <cell r="B36"/>
          <cell r="C36" t="str">
            <v xml:space="preserve"> </v>
          </cell>
          <cell r="D36"/>
          <cell r="E36"/>
          <cell r="F36"/>
          <cell r="G36"/>
          <cell r="H36"/>
          <cell r="I36"/>
          <cell r="J36"/>
          <cell r="K36">
            <v>0</v>
          </cell>
          <cell r="L36">
            <v>0</v>
          </cell>
          <cell r="M36"/>
          <cell r="N36"/>
          <cell r="O36"/>
        </row>
        <row r="37">
          <cell r="B37"/>
          <cell r="C37" t="str">
            <v xml:space="preserve"> </v>
          </cell>
          <cell r="D37"/>
          <cell r="E37"/>
          <cell r="F37"/>
          <cell r="G37"/>
          <cell r="H37"/>
          <cell r="I37"/>
          <cell r="J37"/>
          <cell r="K37">
            <v>0</v>
          </cell>
          <cell r="L37">
            <v>0</v>
          </cell>
          <cell r="M37"/>
          <cell r="N37"/>
          <cell r="O37"/>
        </row>
        <row r="38">
          <cell r="B38"/>
          <cell r="C38" t="str">
            <v xml:space="preserve"> </v>
          </cell>
          <cell r="D38"/>
          <cell r="E38"/>
          <cell r="F38"/>
          <cell r="G38"/>
          <cell r="H38"/>
          <cell r="I38"/>
          <cell r="J38"/>
          <cell r="K38">
            <v>0</v>
          </cell>
          <cell r="L38">
            <v>0</v>
          </cell>
          <cell r="M38"/>
          <cell r="N38"/>
          <cell r="O38"/>
        </row>
        <row r="39">
          <cell r="B39"/>
          <cell r="C39" t="str">
            <v xml:space="preserve"> </v>
          </cell>
          <cell r="D39"/>
          <cell r="E39"/>
          <cell r="F39"/>
          <cell r="G39"/>
          <cell r="H39"/>
          <cell r="I39"/>
          <cell r="J39"/>
          <cell r="K39">
            <v>0</v>
          </cell>
          <cell r="L39">
            <v>0</v>
          </cell>
          <cell r="M39"/>
          <cell r="N39"/>
          <cell r="O39"/>
        </row>
        <row r="40">
          <cell r="B40"/>
          <cell r="C40" t="str">
            <v xml:space="preserve"> </v>
          </cell>
          <cell r="D40"/>
          <cell r="E40"/>
          <cell r="F40"/>
          <cell r="G40"/>
          <cell r="H40"/>
          <cell r="I40"/>
          <cell r="J40"/>
          <cell r="K40">
            <v>0</v>
          </cell>
          <cell r="L40">
            <v>0</v>
          </cell>
          <cell r="M40"/>
          <cell r="N40"/>
          <cell r="O40"/>
        </row>
        <row r="41">
          <cell r="B41"/>
          <cell r="C41" t="str">
            <v xml:space="preserve"> </v>
          </cell>
          <cell r="D41"/>
          <cell r="E41"/>
          <cell r="F41"/>
          <cell r="G41"/>
          <cell r="H41"/>
          <cell r="I41"/>
          <cell r="J41"/>
          <cell r="K41">
            <v>0</v>
          </cell>
          <cell r="L41">
            <v>0</v>
          </cell>
          <cell r="M41"/>
          <cell r="N41"/>
          <cell r="O41"/>
        </row>
        <row r="42">
          <cell r="B42"/>
          <cell r="C42" t="str">
            <v xml:space="preserve"> </v>
          </cell>
          <cell r="D42"/>
          <cell r="E42"/>
          <cell r="F42"/>
          <cell r="G42"/>
          <cell r="H42"/>
          <cell r="I42"/>
          <cell r="J42"/>
          <cell r="K42">
            <v>0</v>
          </cell>
          <cell r="L42">
            <v>0</v>
          </cell>
          <cell r="M42"/>
          <cell r="N42"/>
          <cell r="O42"/>
        </row>
        <row r="43">
          <cell r="B43"/>
          <cell r="C43" t="str">
            <v xml:space="preserve"> </v>
          </cell>
          <cell r="D43"/>
          <cell r="E43"/>
          <cell r="F43"/>
          <cell r="G43"/>
          <cell r="H43"/>
          <cell r="I43"/>
          <cell r="J43"/>
          <cell r="K43">
            <v>0</v>
          </cell>
          <cell r="L43">
            <v>0</v>
          </cell>
          <cell r="M43"/>
          <cell r="N43"/>
          <cell r="O43"/>
        </row>
        <row r="44">
          <cell r="B44"/>
          <cell r="C44" t="str">
            <v xml:space="preserve"> </v>
          </cell>
          <cell r="D44"/>
          <cell r="E44"/>
          <cell r="F44"/>
          <cell r="G44"/>
          <cell r="H44"/>
          <cell r="I44"/>
          <cell r="J44"/>
          <cell r="K44">
            <v>0</v>
          </cell>
          <cell r="L44">
            <v>0</v>
          </cell>
          <cell r="M44"/>
          <cell r="N44"/>
          <cell r="O44"/>
        </row>
        <row r="45">
          <cell r="B45"/>
          <cell r="C45" t="str">
            <v xml:space="preserve"> </v>
          </cell>
          <cell r="D45"/>
          <cell r="E45"/>
          <cell r="F45"/>
          <cell r="G45"/>
          <cell r="H45"/>
          <cell r="I45"/>
          <cell r="J45"/>
          <cell r="K45">
            <v>0</v>
          </cell>
          <cell r="L45">
            <v>0</v>
          </cell>
          <cell r="M45"/>
          <cell r="N45"/>
          <cell r="O45"/>
        </row>
        <row r="46">
          <cell r="B46"/>
          <cell r="C46" t="str">
            <v xml:space="preserve"> </v>
          </cell>
          <cell r="D46"/>
          <cell r="E46"/>
          <cell r="F46"/>
          <cell r="G46"/>
          <cell r="H46"/>
          <cell r="I46"/>
          <cell r="J46"/>
          <cell r="K46">
            <v>0</v>
          </cell>
          <cell r="L46">
            <v>0</v>
          </cell>
          <cell r="M46"/>
          <cell r="N46"/>
          <cell r="O46"/>
        </row>
        <row r="47">
          <cell r="B47"/>
          <cell r="C47" t="str">
            <v xml:space="preserve"> </v>
          </cell>
          <cell r="D47"/>
          <cell r="E47"/>
          <cell r="F47"/>
          <cell r="G47"/>
          <cell r="H47"/>
          <cell r="I47"/>
          <cell r="J47"/>
          <cell r="K47">
            <v>0</v>
          </cell>
          <cell r="L47">
            <v>0</v>
          </cell>
          <cell r="M47"/>
          <cell r="N47"/>
          <cell r="O47"/>
        </row>
        <row r="48">
          <cell r="B48"/>
          <cell r="C48" t="str">
            <v xml:space="preserve"> </v>
          </cell>
          <cell r="D48"/>
          <cell r="E48"/>
          <cell r="F48"/>
          <cell r="G48"/>
          <cell r="H48"/>
          <cell r="I48"/>
          <cell r="J48"/>
          <cell r="K48">
            <v>0</v>
          </cell>
          <cell r="L48">
            <v>0</v>
          </cell>
          <cell r="M48"/>
          <cell r="N48"/>
          <cell r="O48"/>
        </row>
        <row r="49">
          <cell r="B49"/>
          <cell r="C49" t="str">
            <v xml:space="preserve"> </v>
          </cell>
          <cell r="D49"/>
          <cell r="E49"/>
          <cell r="F49"/>
          <cell r="G49"/>
          <cell r="H49"/>
          <cell r="I49"/>
          <cell r="J49"/>
          <cell r="K49">
            <v>0</v>
          </cell>
          <cell r="L49">
            <v>0</v>
          </cell>
          <cell r="M49"/>
          <cell r="N49"/>
          <cell r="O49"/>
        </row>
        <row r="50">
          <cell r="B50"/>
          <cell r="C50" t="str">
            <v xml:space="preserve"> </v>
          </cell>
          <cell r="D50"/>
          <cell r="E50"/>
          <cell r="F50"/>
          <cell r="G50"/>
          <cell r="H50"/>
          <cell r="I50"/>
          <cell r="J50"/>
          <cell r="K50">
            <v>0</v>
          </cell>
          <cell r="L50">
            <v>0</v>
          </cell>
          <cell r="M50"/>
          <cell r="N50"/>
          <cell r="O50"/>
        </row>
        <row r="51">
          <cell r="B51"/>
          <cell r="C51" t="str">
            <v xml:space="preserve"> </v>
          </cell>
          <cell r="D51"/>
          <cell r="E51"/>
          <cell r="F51"/>
          <cell r="G51"/>
          <cell r="H51"/>
          <cell r="I51"/>
          <cell r="J51"/>
          <cell r="K51">
            <v>0</v>
          </cell>
          <cell r="L51">
            <v>0</v>
          </cell>
          <cell r="M51"/>
          <cell r="N51"/>
          <cell r="O51"/>
        </row>
        <row r="52">
          <cell r="B52"/>
          <cell r="C52" t="str">
            <v xml:space="preserve"> </v>
          </cell>
          <cell r="D52"/>
          <cell r="E52"/>
          <cell r="F52"/>
          <cell r="G52"/>
          <cell r="H52"/>
          <cell r="I52"/>
          <cell r="J52"/>
          <cell r="K52">
            <v>0</v>
          </cell>
          <cell r="L52">
            <v>0</v>
          </cell>
          <cell r="M52"/>
          <cell r="N52"/>
          <cell r="O52"/>
        </row>
        <row r="53">
          <cell r="B53"/>
          <cell r="C53" t="str">
            <v xml:space="preserve"> </v>
          </cell>
          <cell r="D53"/>
          <cell r="E53"/>
          <cell r="F53"/>
          <cell r="G53"/>
          <cell r="H53"/>
          <cell r="I53"/>
          <cell r="J53"/>
          <cell r="K53">
            <v>0</v>
          </cell>
          <cell r="L53">
            <v>0</v>
          </cell>
          <cell r="M53"/>
          <cell r="N53"/>
          <cell r="O53"/>
        </row>
        <row r="54">
          <cell r="B54"/>
          <cell r="C54" t="str">
            <v xml:space="preserve"> </v>
          </cell>
          <cell r="D54"/>
          <cell r="E54"/>
          <cell r="F54"/>
          <cell r="G54"/>
          <cell r="H54"/>
          <cell r="I54"/>
          <cell r="J54"/>
          <cell r="K54">
            <v>0</v>
          </cell>
          <cell r="L54">
            <v>0</v>
          </cell>
          <cell r="M54"/>
          <cell r="N54"/>
          <cell r="O54"/>
        </row>
        <row r="55">
          <cell r="B55"/>
          <cell r="C55" t="str">
            <v xml:space="preserve"> </v>
          </cell>
          <cell r="D55"/>
          <cell r="E55"/>
          <cell r="F55"/>
          <cell r="G55"/>
          <cell r="H55"/>
          <cell r="I55"/>
          <cell r="J55"/>
          <cell r="K55">
            <v>0</v>
          </cell>
          <cell r="L55">
            <v>0</v>
          </cell>
          <cell r="M55"/>
          <cell r="N55"/>
          <cell r="O55"/>
        </row>
        <row r="56">
          <cell r="B56"/>
          <cell r="C56" t="str">
            <v xml:space="preserve"> </v>
          </cell>
          <cell r="D56"/>
          <cell r="E56"/>
          <cell r="F56"/>
          <cell r="G56"/>
          <cell r="H56"/>
          <cell r="I56"/>
          <cell r="J56"/>
          <cell r="K56">
            <v>0</v>
          </cell>
          <cell r="L56">
            <v>0</v>
          </cell>
          <cell r="M56"/>
          <cell r="N56"/>
          <cell r="O56"/>
        </row>
        <row r="57">
          <cell r="B57"/>
          <cell r="C57" t="str">
            <v xml:space="preserve"> </v>
          </cell>
          <cell r="D57"/>
          <cell r="E57"/>
          <cell r="F57"/>
          <cell r="G57"/>
          <cell r="H57"/>
          <cell r="I57"/>
          <cell r="J57"/>
          <cell r="K57">
            <v>0</v>
          </cell>
          <cell r="L57">
            <v>0</v>
          </cell>
          <cell r="M57"/>
          <cell r="N57"/>
          <cell r="O57"/>
        </row>
        <row r="58">
          <cell r="B58"/>
          <cell r="C58" t="str">
            <v xml:space="preserve"> </v>
          </cell>
          <cell r="D58"/>
          <cell r="E58"/>
          <cell r="F58"/>
          <cell r="G58"/>
          <cell r="H58"/>
          <cell r="I58"/>
          <cell r="J58"/>
          <cell r="K58">
            <v>0</v>
          </cell>
          <cell r="L58">
            <v>0</v>
          </cell>
          <cell r="M58"/>
          <cell r="N58"/>
          <cell r="O58"/>
        </row>
        <row r="59">
          <cell r="B59"/>
          <cell r="C59" t="str">
            <v xml:space="preserve"> </v>
          </cell>
          <cell r="D59"/>
          <cell r="E59"/>
          <cell r="F59"/>
          <cell r="G59"/>
          <cell r="H59"/>
          <cell r="I59"/>
          <cell r="J59"/>
          <cell r="K59">
            <v>0</v>
          </cell>
          <cell r="L59">
            <v>0</v>
          </cell>
          <cell r="M59"/>
          <cell r="N59"/>
          <cell r="O59"/>
        </row>
        <row r="60">
          <cell r="B60"/>
          <cell r="C60" t="str">
            <v xml:space="preserve"> </v>
          </cell>
          <cell r="D60"/>
          <cell r="E60"/>
          <cell r="F60"/>
          <cell r="G60"/>
          <cell r="H60"/>
          <cell r="I60"/>
          <cell r="J60"/>
          <cell r="K60">
            <v>0</v>
          </cell>
          <cell r="L60">
            <v>0</v>
          </cell>
          <cell r="M60"/>
          <cell r="N60"/>
          <cell r="O60"/>
        </row>
        <row r="61">
          <cell r="B61"/>
          <cell r="C61" t="str">
            <v xml:space="preserve"> </v>
          </cell>
          <cell r="D61"/>
          <cell r="E61"/>
          <cell r="F61"/>
          <cell r="G61"/>
          <cell r="H61"/>
          <cell r="I61"/>
          <cell r="J61"/>
          <cell r="K61">
            <v>0</v>
          </cell>
          <cell r="L61">
            <v>0</v>
          </cell>
          <cell r="M61"/>
          <cell r="N61"/>
          <cell r="O61"/>
        </row>
        <row r="62">
          <cell r="B62"/>
          <cell r="C62" t="str">
            <v xml:space="preserve"> </v>
          </cell>
          <cell r="D62"/>
          <cell r="E62"/>
          <cell r="F62"/>
          <cell r="G62"/>
          <cell r="H62"/>
          <cell r="I62"/>
          <cell r="J62"/>
          <cell r="K62">
            <v>0</v>
          </cell>
          <cell r="L62">
            <v>0</v>
          </cell>
          <cell r="M62"/>
          <cell r="N62"/>
          <cell r="O62"/>
        </row>
        <row r="63">
          <cell r="B63"/>
          <cell r="C63" t="str">
            <v xml:space="preserve"> </v>
          </cell>
          <cell r="D63"/>
          <cell r="E63"/>
          <cell r="F63"/>
          <cell r="G63"/>
          <cell r="H63"/>
          <cell r="I63"/>
          <cell r="J63"/>
          <cell r="K63">
            <v>0</v>
          </cell>
          <cell r="L63">
            <v>0</v>
          </cell>
          <cell r="M63"/>
          <cell r="N63"/>
          <cell r="O63"/>
        </row>
        <row r="64">
          <cell r="B64"/>
          <cell r="C64" t="str">
            <v xml:space="preserve"> </v>
          </cell>
          <cell r="D64"/>
          <cell r="E64"/>
          <cell r="F64"/>
          <cell r="G64"/>
          <cell r="H64"/>
          <cell r="I64"/>
          <cell r="J64"/>
          <cell r="K64">
            <v>0</v>
          </cell>
          <cell r="L64">
            <v>0</v>
          </cell>
          <cell r="M64"/>
          <cell r="N64"/>
          <cell r="O64"/>
        </row>
        <row r="65">
          <cell r="B65"/>
          <cell r="C65" t="str">
            <v xml:space="preserve"> </v>
          </cell>
          <cell r="D65"/>
          <cell r="E65"/>
          <cell r="F65"/>
          <cell r="G65"/>
          <cell r="H65"/>
          <cell r="I65"/>
          <cell r="J65"/>
          <cell r="K65">
            <v>0</v>
          </cell>
          <cell r="L65">
            <v>0</v>
          </cell>
          <cell r="M65"/>
          <cell r="N65"/>
          <cell r="O65"/>
        </row>
        <row r="66">
          <cell r="B66"/>
          <cell r="C66" t="str">
            <v xml:space="preserve"> </v>
          </cell>
          <cell r="D66"/>
          <cell r="E66"/>
          <cell r="F66"/>
          <cell r="G66"/>
          <cell r="H66"/>
          <cell r="I66"/>
          <cell r="J66"/>
          <cell r="K66">
            <v>0</v>
          </cell>
          <cell r="L66">
            <v>0</v>
          </cell>
          <cell r="M66"/>
          <cell r="N66"/>
          <cell r="O66"/>
        </row>
        <row r="67">
          <cell r="B67"/>
          <cell r="C67" t="str">
            <v xml:space="preserve"> </v>
          </cell>
          <cell r="D67"/>
          <cell r="E67"/>
          <cell r="F67"/>
          <cell r="G67"/>
          <cell r="H67"/>
          <cell r="I67"/>
          <cell r="J67"/>
          <cell r="K67">
            <v>0</v>
          </cell>
          <cell r="L67">
            <v>0</v>
          </cell>
          <cell r="M67"/>
          <cell r="N67"/>
          <cell r="O67"/>
        </row>
        <row r="68">
          <cell r="B68"/>
          <cell r="C68" t="str">
            <v xml:space="preserve"> </v>
          </cell>
          <cell r="D68"/>
          <cell r="E68"/>
          <cell r="F68"/>
          <cell r="G68"/>
          <cell r="H68"/>
          <cell r="I68"/>
          <cell r="J68"/>
          <cell r="K68">
            <v>0</v>
          </cell>
          <cell r="L68">
            <v>0</v>
          </cell>
          <cell r="M68"/>
          <cell r="N68"/>
          <cell r="O68"/>
        </row>
        <row r="69">
          <cell r="B69"/>
          <cell r="C69" t="str">
            <v xml:space="preserve"> </v>
          </cell>
          <cell r="D69"/>
          <cell r="E69"/>
          <cell r="F69"/>
          <cell r="G69"/>
          <cell r="H69"/>
          <cell r="I69"/>
          <cell r="J69"/>
          <cell r="K69">
            <v>0</v>
          </cell>
          <cell r="L69">
            <v>0</v>
          </cell>
          <cell r="M69"/>
          <cell r="N69"/>
          <cell r="O69"/>
        </row>
        <row r="70">
          <cell r="B70"/>
          <cell r="C70" t="str">
            <v xml:space="preserve"> </v>
          </cell>
          <cell r="D70"/>
          <cell r="E70"/>
          <cell r="F70"/>
          <cell r="G70"/>
          <cell r="H70"/>
          <cell r="I70"/>
          <cell r="J70"/>
          <cell r="K70">
            <v>0</v>
          </cell>
          <cell r="L70">
            <v>0</v>
          </cell>
          <cell r="M70"/>
          <cell r="N70"/>
          <cell r="O70"/>
        </row>
        <row r="71">
          <cell r="B71"/>
          <cell r="C71" t="str">
            <v xml:space="preserve"> </v>
          </cell>
          <cell r="D71"/>
          <cell r="E71"/>
          <cell r="F71"/>
          <cell r="G71"/>
          <cell r="H71"/>
          <cell r="I71"/>
          <cell r="J71"/>
          <cell r="K71">
            <v>0</v>
          </cell>
          <cell r="L71">
            <v>0</v>
          </cell>
          <cell r="M71"/>
          <cell r="N71"/>
          <cell r="O71"/>
        </row>
        <row r="72">
          <cell r="B72"/>
          <cell r="C72" t="str">
            <v xml:space="preserve"> </v>
          </cell>
          <cell r="D72"/>
          <cell r="E72"/>
          <cell r="F72"/>
          <cell r="G72"/>
          <cell r="H72"/>
          <cell r="I72"/>
          <cell r="J72"/>
          <cell r="K72">
            <v>0</v>
          </cell>
          <cell r="L72">
            <v>0</v>
          </cell>
          <cell r="M72"/>
          <cell r="N72"/>
          <cell r="O72"/>
        </row>
        <row r="73">
          <cell r="B73"/>
          <cell r="C73" t="str">
            <v xml:space="preserve"> </v>
          </cell>
          <cell r="D73"/>
          <cell r="E73"/>
          <cell r="F73"/>
          <cell r="G73"/>
          <cell r="H73"/>
          <cell r="I73"/>
          <cell r="J73"/>
          <cell r="K73">
            <v>0</v>
          </cell>
          <cell r="L73">
            <v>0</v>
          </cell>
          <cell r="M73"/>
          <cell r="N73"/>
          <cell r="O73"/>
        </row>
        <row r="74">
          <cell r="B74"/>
          <cell r="C74" t="str">
            <v xml:space="preserve"> </v>
          </cell>
          <cell r="D74"/>
          <cell r="E74"/>
          <cell r="F74"/>
          <cell r="G74"/>
          <cell r="H74"/>
          <cell r="I74"/>
          <cell r="J74"/>
          <cell r="K74">
            <v>0</v>
          </cell>
          <cell r="L74">
            <v>0</v>
          </cell>
          <cell r="M74"/>
          <cell r="N74"/>
          <cell r="O74"/>
        </row>
        <row r="75">
          <cell r="B75"/>
          <cell r="C75" t="str">
            <v xml:space="preserve"> </v>
          </cell>
          <cell r="D75"/>
          <cell r="E75"/>
          <cell r="F75"/>
          <cell r="G75"/>
          <cell r="H75"/>
          <cell r="I75"/>
          <cell r="J75"/>
          <cell r="K75">
            <v>0</v>
          </cell>
          <cell r="L75">
            <v>0</v>
          </cell>
          <cell r="M75"/>
          <cell r="N75"/>
          <cell r="O75"/>
        </row>
        <row r="76">
          <cell r="B76"/>
          <cell r="C76" t="str">
            <v xml:space="preserve"> </v>
          </cell>
          <cell r="D76"/>
          <cell r="E76"/>
          <cell r="F76"/>
          <cell r="G76"/>
          <cell r="H76"/>
          <cell r="I76"/>
          <cell r="J76"/>
          <cell r="K76">
            <v>0</v>
          </cell>
          <cell r="L76">
            <v>0</v>
          </cell>
          <cell r="M76"/>
          <cell r="N76"/>
          <cell r="O76"/>
        </row>
        <row r="77">
          <cell r="B77"/>
          <cell r="C77" t="str">
            <v xml:space="preserve"> </v>
          </cell>
          <cell r="D77"/>
          <cell r="E77"/>
          <cell r="F77"/>
          <cell r="G77"/>
          <cell r="H77"/>
          <cell r="I77"/>
          <cell r="J77"/>
          <cell r="K77">
            <v>0</v>
          </cell>
          <cell r="L77">
            <v>0</v>
          </cell>
          <cell r="M77"/>
          <cell r="N77"/>
          <cell r="O77"/>
        </row>
        <row r="78">
          <cell r="B78"/>
          <cell r="C78" t="str">
            <v xml:space="preserve"> </v>
          </cell>
          <cell r="D78"/>
          <cell r="E78"/>
          <cell r="F78"/>
          <cell r="G78"/>
          <cell r="H78"/>
          <cell r="I78"/>
          <cell r="J78"/>
          <cell r="K78">
            <v>0</v>
          </cell>
          <cell r="L78">
            <v>0</v>
          </cell>
          <cell r="M78"/>
          <cell r="N78"/>
          <cell r="O78"/>
        </row>
        <row r="79">
          <cell r="B79"/>
          <cell r="C79" t="str">
            <v xml:space="preserve"> </v>
          </cell>
          <cell r="D79"/>
          <cell r="E79"/>
          <cell r="F79"/>
          <cell r="G79"/>
          <cell r="H79"/>
          <cell r="I79"/>
          <cell r="J79"/>
          <cell r="K79">
            <v>0</v>
          </cell>
          <cell r="L79">
            <v>0</v>
          </cell>
          <cell r="M79"/>
          <cell r="N79"/>
          <cell r="O79"/>
        </row>
        <row r="80">
          <cell r="B80"/>
          <cell r="C80" t="str">
            <v xml:space="preserve"> </v>
          </cell>
          <cell r="D80"/>
          <cell r="E80"/>
          <cell r="F80"/>
          <cell r="G80"/>
          <cell r="H80"/>
          <cell r="I80"/>
          <cell r="J80"/>
          <cell r="K80">
            <v>0</v>
          </cell>
          <cell r="L80">
            <v>0</v>
          </cell>
          <cell r="M80"/>
          <cell r="N80"/>
          <cell r="O80"/>
        </row>
        <row r="81">
          <cell r="B81"/>
          <cell r="C81" t="str">
            <v xml:space="preserve"> </v>
          </cell>
          <cell r="D81"/>
          <cell r="E81"/>
          <cell r="F81"/>
          <cell r="G81"/>
          <cell r="H81"/>
          <cell r="I81"/>
          <cell r="J81"/>
          <cell r="K81">
            <v>0</v>
          </cell>
          <cell r="L81">
            <v>0</v>
          </cell>
          <cell r="M81"/>
          <cell r="N81"/>
          <cell r="O81"/>
        </row>
        <row r="82">
          <cell r="B82"/>
          <cell r="C82" t="str">
            <v xml:space="preserve"> </v>
          </cell>
          <cell r="D82"/>
          <cell r="E82"/>
          <cell r="F82"/>
          <cell r="G82"/>
          <cell r="H82"/>
          <cell r="I82"/>
          <cell r="J82"/>
          <cell r="K82">
            <v>0</v>
          </cell>
          <cell r="L82">
            <v>0</v>
          </cell>
          <cell r="M82"/>
          <cell r="N82"/>
          <cell r="O82"/>
        </row>
        <row r="83">
          <cell r="B83"/>
          <cell r="C83" t="str">
            <v xml:space="preserve"> </v>
          </cell>
          <cell r="D83"/>
          <cell r="E83"/>
          <cell r="F83"/>
          <cell r="G83"/>
          <cell r="H83"/>
          <cell r="I83"/>
          <cell r="J83"/>
          <cell r="K83">
            <v>0</v>
          </cell>
          <cell r="L83">
            <v>0</v>
          </cell>
          <cell r="M83"/>
          <cell r="N83"/>
          <cell r="O83"/>
        </row>
        <row r="84">
          <cell r="B84"/>
          <cell r="C84" t="str">
            <v xml:space="preserve"> </v>
          </cell>
          <cell r="D84"/>
          <cell r="E84"/>
          <cell r="F84"/>
          <cell r="G84"/>
          <cell r="H84"/>
          <cell r="I84"/>
          <cell r="J84"/>
          <cell r="K84">
            <v>0</v>
          </cell>
          <cell r="L84">
            <v>0</v>
          </cell>
          <cell r="M84"/>
          <cell r="N84"/>
          <cell r="O84"/>
        </row>
        <row r="85">
          <cell r="B85"/>
          <cell r="C85" t="str">
            <v xml:space="preserve"> </v>
          </cell>
          <cell r="D85"/>
          <cell r="E85"/>
          <cell r="F85"/>
          <cell r="G85"/>
          <cell r="H85"/>
          <cell r="I85"/>
          <cell r="J85"/>
          <cell r="K85">
            <v>0</v>
          </cell>
          <cell r="L85">
            <v>0</v>
          </cell>
          <cell r="M85"/>
          <cell r="N85"/>
          <cell r="O85"/>
        </row>
        <row r="86">
          <cell r="B86"/>
          <cell r="C86" t="str">
            <v xml:space="preserve"> </v>
          </cell>
          <cell r="D86"/>
          <cell r="E86"/>
          <cell r="F86"/>
          <cell r="G86"/>
          <cell r="H86"/>
          <cell r="I86"/>
          <cell r="J86"/>
          <cell r="K86">
            <v>0</v>
          </cell>
          <cell r="L86">
            <v>0</v>
          </cell>
          <cell r="M86"/>
          <cell r="N86"/>
          <cell r="O86"/>
        </row>
        <row r="87">
          <cell r="B87"/>
          <cell r="C87" t="str">
            <v xml:space="preserve"> </v>
          </cell>
          <cell r="D87"/>
          <cell r="E87"/>
          <cell r="F87"/>
          <cell r="G87"/>
          <cell r="H87"/>
          <cell r="I87"/>
          <cell r="J87"/>
          <cell r="K87">
            <v>0</v>
          </cell>
          <cell r="L87">
            <v>0</v>
          </cell>
          <cell r="M87"/>
          <cell r="N87"/>
          <cell r="O87"/>
        </row>
        <row r="88">
          <cell r="B88"/>
          <cell r="C88" t="str">
            <v xml:space="preserve"> </v>
          </cell>
          <cell r="D88"/>
          <cell r="E88"/>
          <cell r="F88"/>
          <cell r="G88"/>
          <cell r="H88"/>
          <cell r="I88"/>
          <cell r="J88"/>
          <cell r="K88">
            <v>0</v>
          </cell>
          <cell r="L88">
            <v>0</v>
          </cell>
          <cell r="M88"/>
          <cell r="N88"/>
          <cell r="O88"/>
        </row>
        <row r="89">
          <cell r="B89"/>
          <cell r="C89" t="str">
            <v xml:space="preserve"> </v>
          </cell>
          <cell r="D89"/>
          <cell r="E89"/>
          <cell r="F89"/>
          <cell r="G89"/>
          <cell r="H89"/>
          <cell r="I89"/>
          <cell r="J89"/>
          <cell r="K89">
            <v>0</v>
          </cell>
          <cell r="L89">
            <v>0</v>
          </cell>
          <cell r="M89"/>
          <cell r="N89"/>
          <cell r="O89"/>
        </row>
        <row r="90">
          <cell r="B90"/>
          <cell r="C90" t="str">
            <v xml:space="preserve"> </v>
          </cell>
          <cell r="D90"/>
          <cell r="E90"/>
          <cell r="F90"/>
          <cell r="G90"/>
          <cell r="H90"/>
          <cell r="I90"/>
          <cell r="J90"/>
          <cell r="K90">
            <v>0</v>
          </cell>
          <cell r="L90">
            <v>0</v>
          </cell>
          <cell r="M90"/>
          <cell r="N90"/>
          <cell r="O90"/>
        </row>
        <row r="91">
          <cell r="B91"/>
          <cell r="C91" t="str">
            <v xml:space="preserve"> </v>
          </cell>
          <cell r="D91"/>
          <cell r="E91"/>
          <cell r="F91"/>
          <cell r="G91"/>
          <cell r="H91"/>
          <cell r="I91"/>
          <cell r="J91"/>
          <cell r="K91">
            <v>0</v>
          </cell>
          <cell r="L91">
            <v>0</v>
          </cell>
          <cell r="M91"/>
          <cell r="N91"/>
          <cell r="O91"/>
        </row>
        <row r="92">
          <cell r="B92"/>
          <cell r="C92" t="str">
            <v xml:space="preserve"> </v>
          </cell>
          <cell r="D92"/>
          <cell r="E92"/>
          <cell r="F92"/>
          <cell r="G92"/>
          <cell r="H92"/>
          <cell r="I92"/>
          <cell r="J92"/>
          <cell r="K92">
            <v>0</v>
          </cell>
          <cell r="L92">
            <v>0</v>
          </cell>
          <cell r="M92"/>
          <cell r="N92"/>
          <cell r="O92"/>
        </row>
        <row r="93">
          <cell r="B93"/>
          <cell r="C93" t="str">
            <v xml:space="preserve"> </v>
          </cell>
          <cell r="D93"/>
          <cell r="E93"/>
          <cell r="F93"/>
          <cell r="G93"/>
          <cell r="H93"/>
          <cell r="I93"/>
          <cell r="J93"/>
          <cell r="K93">
            <v>0</v>
          </cell>
          <cell r="L93">
            <v>0</v>
          </cell>
          <cell r="M93"/>
          <cell r="N93"/>
          <cell r="O93"/>
        </row>
        <row r="94">
          <cell r="B94"/>
          <cell r="C94" t="str">
            <v xml:space="preserve"> </v>
          </cell>
          <cell r="D94"/>
          <cell r="E94"/>
          <cell r="F94"/>
          <cell r="G94"/>
          <cell r="H94"/>
          <cell r="I94"/>
          <cell r="J94"/>
          <cell r="K94">
            <v>0</v>
          </cell>
          <cell r="L94">
            <v>0</v>
          </cell>
          <cell r="M94"/>
          <cell r="N94"/>
          <cell r="O94"/>
        </row>
        <row r="95">
          <cell r="B95"/>
          <cell r="C95" t="str">
            <v xml:space="preserve"> </v>
          </cell>
          <cell r="D95"/>
          <cell r="E95"/>
          <cell r="F95"/>
          <cell r="G95"/>
          <cell r="H95"/>
          <cell r="I95"/>
          <cell r="J95"/>
          <cell r="K95">
            <v>0</v>
          </cell>
          <cell r="L95">
            <v>0</v>
          </cell>
          <cell r="M95"/>
          <cell r="N95"/>
          <cell r="O95"/>
        </row>
        <row r="96">
          <cell r="B96"/>
          <cell r="C96" t="str">
            <v xml:space="preserve"> </v>
          </cell>
          <cell r="D96"/>
          <cell r="E96"/>
          <cell r="F96"/>
          <cell r="G96"/>
          <cell r="H96"/>
          <cell r="I96"/>
          <cell r="J96"/>
          <cell r="K96">
            <v>0</v>
          </cell>
          <cell r="L96">
            <v>0</v>
          </cell>
          <cell r="M96"/>
          <cell r="N96"/>
          <cell r="O96"/>
        </row>
        <row r="97">
          <cell r="B97"/>
          <cell r="C97" t="str">
            <v xml:space="preserve"> </v>
          </cell>
          <cell r="D97"/>
          <cell r="E97"/>
          <cell r="F97"/>
          <cell r="G97"/>
          <cell r="H97"/>
          <cell r="I97"/>
          <cell r="J97"/>
          <cell r="K97">
            <v>0</v>
          </cell>
          <cell r="L97">
            <v>0</v>
          </cell>
          <cell r="M97"/>
          <cell r="N97"/>
          <cell r="O97"/>
        </row>
        <row r="98">
          <cell r="B98"/>
          <cell r="C98" t="str">
            <v xml:space="preserve"> </v>
          </cell>
          <cell r="D98"/>
          <cell r="E98"/>
          <cell r="F98"/>
          <cell r="G98"/>
          <cell r="H98"/>
          <cell r="I98"/>
          <cell r="J98"/>
          <cell r="K98">
            <v>0</v>
          </cell>
          <cell r="L98">
            <v>0</v>
          </cell>
          <cell r="M98"/>
          <cell r="N98"/>
          <cell r="O98"/>
        </row>
        <row r="99">
          <cell r="B99"/>
          <cell r="C99" t="str">
            <v xml:space="preserve"> </v>
          </cell>
          <cell r="D99"/>
          <cell r="E99"/>
          <cell r="F99"/>
          <cell r="G99"/>
          <cell r="H99"/>
          <cell r="I99"/>
          <cell r="J99"/>
          <cell r="K99">
            <v>0</v>
          </cell>
          <cell r="L99">
            <v>0</v>
          </cell>
          <cell r="M99"/>
          <cell r="N99"/>
          <cell r="O99"/>
        </row>
        <row r="100">
          <cell r="B100"/>
          <cell r="C100" t="str">
            <v xml:space="preserve"> </v>
          </cell>
          <cell r="D100"/>
          <cell r="E100"/>
          <cell r="F100"/>
          <cell r="G100"/>
          <cell r="H100"/>
          <cell r="I100"/>
          <cell r="J100"/>
          <cell r="K100">
            <v>0</v>
          </cell>
          <cell r="L100">
            <v>0</v>
          </cell>
          <cell r="M100"/>
          <cell r="N100"/>
          <cell r="O100"/>
        </row>
        <row r="101">
          <cell r="B101"/>
          <cell r="C101" t="str">
            <v xml:space="preserve"> </v>
          </cell>
          <cell r="D101"/>
          <cell r="E101"/>
          <cell r="F101"/>
          <cell r="G101"/>
          <cell r="H101"/>
          <cell r="I101"/>
          <cell r="J101"/>
          <cell r="K101">
            <v>0</v>
          </cell>
          <cell r="L101">
            <v>0</v>
          </cell>
          <cell r="M101"/>
          <cell r="N101"/>
          <cell r="O101"/>
        </row>
        <row r="102">
          <cell r="B102"/>
          <cell r="C102" t="str">
            <v xml:space="preserve"> </v>
          </cell>
          <cell r="D102"/>
          <cell r="E102"/>
          <cell r="F102"/>
          <cell r="G102"/>
          <cell r="H102"/>
          <cell r="I102"/>
          <cell r="J102"/>
          <cell r="K102">
            <v>0</v>
          </cell>
          <cell r="L102">
            <v>0</v>
          </cell>
          <cell r="M102"/>
          <cell r="N102"/>
          <cell r="O102"/>
        </row>
        <row r="103">
          <cell r="B103"/>
          <cell r="C103" t="str">
            <v xml:space="preserve"> </v>
          </cell>
          <cell r="D103"/>
          <cell r="E103"/>
          <cell r="F103"/>
          <cell r="G103"/>
          <cell r="H103"/>
          <cell r="I103"/>
          <cell r="J103"/>
          <cell r="K103">
            <v>0</v>
          </cell>
          <cell r="L103">
            <v>0</v>
          </cell>
          <cell r="M103"/>
          <cell r="N103"/>
          <cell r="O103"/>
        </row>
        <row r="104">
          <cell r="B104"/>
          <cell r="C104" t="str">
            <v xml:space="preserve"> </v>
          </cell>
          <cell r="D104"/>
          <cell r="E104"/>
          <cell r="F104"/>
          <cell r="G104"/>
          <cell r="H104"/>
          <cell r="I104"/>
          <cell r="J104"/>
          <cell r="K104">
            <v>0</v>
          </cell>
          <cell r="L104">
            <v>0</v>
          </cell>
          <cell r="M104"/>
          <cell r="N104"/>
          <cell r="O104"/>
        </row>
        <row r="105">
          <cell r="B105"/>
          <cell r="C105" t="str">
            <v xml:space="preserve"> </v>
          </cell>
          <cell r="D105"/>
          <cell r="E105"/>
          <cell r="F105"/>
          <cell r="G105"/>
          <cell r="H105"/>
          <cell r="I105"/>
          <cell r="J105"/>
          <cell r="K105">
            <v>0</v>
          </cell>
          <cell r="L105">
            <v>0</v>
          </cell>
          <cell r="M105"/>
          <cell r="N105"/>
          <cell r="O105"/>
        </row>
        <row r="106">
          <cell r="B106"/>
          <cell r="C106" t="str">
            <v xml:space="preserve"> </v>
          </cell>
          <cell r="D106"/>
          <cell r="E106"/>
          <cell r="F106"/>
          <cell r="G106"/>
          <cell r="H106"/>
          <cell r="I106"/>
          <cell r="J106"/>
          <cell r="K106">
            <v>0</v>
          </cell>
          <cell r="L106">
            <v>0</v>
          </cell>
          <cell r="M106"/>
          <cell r="N106"/>
          <cell r="O106"/>
        </row>
        <row r="107">
          <cell r="B107"/>
          <cell r="C107" t="str">
            <v xml:space="preserve"> </v>
          </cell>
          <cell r="D107"/>
          <cell r="E107"/>
          <cell r="F107"/>
          <cell r="G107"/>
          <cell r="H107"/>
          <cell r="I107"/>
          <cell r="J107"/>
          <cell r="K107">
            <v>0</v>
          </cell>
          <cell r="L107">
            <v>0</v>
          </cell>
          <cell r="M107"/>
          <cell r="N107"/>
          <cell r="O107"/>
        </row>
        <row r="108">
          <cell r="B108"/>
          <cell r="C108" t="str">
            <v xml:space="preserve"> </v>
          </cell>
          <cell r="D108"/>
          <cell r="E108"/>
          <cell r="F108"/>
          <cell r="G108"/>
          <cell r="H108"/>
          <cell r="I108"/>
          <cell r="J108"/>
          <cell r="K108">
            <v>0</v>
          </cell>
          <cell r="L108">
            <v>0</v>
          </cell>
          <cell r="M108"/>
          <cell r="N108"/>
          <cell r="O108"/>
        </row>
        <row r="109">
          <cell r="B109"/>
          <cell r="C109" t="str">
            <v xml:space="preserve"> </v>
          </cell>
          <cell r="D109"/>
          <cell r="E109"/>
          <cell r="F109"/>
          <cell r="G109"/>
          <cell r="H109"/>
          <cell r="I109"/>
          <cell r="J109"/>
          <cell r="K109">
            <v>0</v>
          </cell>
          <cell r="L109">
            <v>0</v>
          </cell>
          <cell r="M109"/>
          <cell r="N109"/>
          <cell r="O109"/>
        </row>
        <row r="110">
          <cell r="B110"/>
          <cell r="C110" t="str">
            <v xml:space="preserve"> </v>
          </cell>
          <cell r="D110"/>
          <cell r="E110"/>
          <cell r="F110"/>
          <cell r="G110"/>
          <cell r="H110"/>
          <cell r="I110"/>
          <cell r="J110"/>
          <cell r="K110">
            <v>0</v>
          </cell>
          <cell r="L110">
            <v>0</v>
          </cell>
          <cell r="M110"/>
          <cell r="N110"/>
          <cell r="O110"/>
        </row>
        <row r="111">
          <cell r="B111"/>
          <cell r="C111" t="str">
            <v xml:space="preserve"> </v>
          </cell>
          <cell r="D111"/>
          <cell r="E111"/>
          <cell r="F111"/>
          <cell r="G111"/>
          <cell r="H111"/>
          <cell r="I111"/>
          <cell r="J111"/>
          <cell r="K111">
            <v>0</v>
          </cell>
          <cell r="L111">
            <v>0</v>
          </cell>
          <cell r="M111"/>
          <cell r="N111"/>
          <cell r="O111"/>
        </row>
        <row r="112">
          <cell r="B112"/>
          <cell r="C112" t="str">
            <v xml:space="preserve"> </v>
          </cell>
          <cell r="D112"/>
          <cell r="E112"/>
          <cell r="F112"/>
          <cell r="G112"/>
          <cell r="H112"/>
          <cell r="I112"/>
          <cell r="J112"/>
          <cell r="K112">
            <v>0</v>
          </cell>
          <cell r="L112">
            <v>0</v>
          </cell>
          <cell r="M112"/>
          <cell r="N112"/>
          <cell r="O112"/>
        </row>
        <row r="113">
          <cell r="B113"/>
          <cell r="C113" t="str">
            <v xml:space="preserve"> </v>
          </cell>
          <cell r="D113"/>
          <cell r="E113"/>
          <cell r="F113"/>
          <cell r="G113"/>
          <cell r="H113"/>
          <cell r="I113"/>
          <cell r="J113"/>
          <cell r="K113">
            <v>0</v>
          </cell>
          <cell r="L113">
            <v>0</v>
          </cell>
          <cell r="M113"/>
          <cell r="N113"/>
          <cell r="O113"/>
        </row>
        <row r="114">
          <cell r="B114"/>
          <cell r="C114" t="str">
            <v xml:space="preserve"> </v>
          </cell>
          <cell r="D114"/>
          <cell r="E114"/>
          <cell r="F114"/>
          <cell r="G114"/>
          <cell r="H114"/>
          <cell r="I114"/>
          <cell r="J114"/>
          <cell r="K114">
            <v>0</v>
          </cell>
          <cell r="L114">
            <v>0</v>
          </cell>
          <cell r="M114"/>
          <cell r="N114"/>
          <cell r="O114"/>
        </row>
        <row r="115">
          <cell r="B115"/>
          <cell r="C115" t="str">
            <v xml:space="preserve"> </v>
          </cell>
          <cell r="D115"/>
          <cell r="E115"/>
          <cell r="F115"/>
          <cell r="G115"/>
          <cell r="H115"/>
          <cell r="I115"/>
          <cell r="J115"/>
          <cell r="K115">
            <v>0</v>
          </cell>
          <cell r="L115">
            <v>0</v>
          </cell>
          <cell r="M115"/>
          <cell r="N115"/>
          <cell r="O115"/>
        </row>
        <row r="116">
          <cell r="B116"/>
          <cell r="C116" t="str">
            <v xml:space="preserve"> </v>
          </cell>
          <cell r="D116"/>
          <cell r="E116"/>
          <cell r="F116"/>
          <cell r="G116"/>
          <cell r="H116"/>
          <cell r="I116"/>
          <cell r="J116"/>
          <cell r="K116">
            <v>0</v>
          </cell>
          <cell r="L116">
            <v>0</v>
          </cell>
          <cell r="M116"/>
          <cell r="N116"/>
          <cell r="O116"/>
        </row>
        <row r="117">
          <cell r="B117"/>
          <cell r="C117" t="str">
            <v xml:space="preserve"> </v>
          </cell>
          <cell r="D117"/>
          <cell r="E117"/>
          <cell r="F117"/>
          <cell r="G117"/>
          <cell r="H117"/>
          <cell r="I117"/>
          <cell r="J117"/>
          <cell r="K117">
            <v>0</v>
          </cell>
          <cell r="L117">
            <v>0</v>
          </cell>
          <cell r="M117"/>
          <cell r="N117"/>
          <cell r="O117"/>
        </row>
        <row r="118">
          <cell r="B118"/>
          <cell r="C118" t="str">
            <v xml:space="preserve"> </v>
          </cell>
          <cell r="D118"/>
          <cell r="E118"/>
          <cell r="F118"/>
          <cell r="G118"/>
          <cell r="H118"/>
          <cell r="I118"/>
          <cell r="J118"/>
          <cell r="K118">
            <v>0</v>
          </cell>
          <cell r="L118">
            <v>0</v>
          </cell>
          <cell r="M118"/>
          <cell r="N118"/>
          <cell r="O118"/>
        </row>
        <row r="119">
          <cell r="B119"/>
          <cell r="C119" t="str">
            <v xml:space="preserve"> </v>
          </cell>
          <cell r="D119"/>
          <cell r="E119"/>
          <cell r="F119"/>
          <cell r="G119"/>
          <cell r="H119"/>
          <cell r="I119"/>
          <cell r="J119"/>
          <cell r="K119">
            <v>0</v>
          </cell>
          <cell r="L119">
            <v>0</v>
          </cell>
          <cell r="M119"/>
          <cell r="N119"/>
          <cell r="O119"/>
        </row>
        <row r="120">
          <cell r="B120"/>
          <cell r="C120" t="str">
            <v xml:space="preserve"> </v>
          </cell>
          <cell r="D120"/>
          <cell r="E120"/>
          <cell r="F120"/>
          <cell r="G120"/>
          <cell r="H120"/>
          <cell r="I120"/>
          <cell r="J120"/>
          <cell r="K120">
            <v>0</v>
          </cell>
          <cell r="L120">
            <v>0</v>
          </cell>
          <cell r="M120"/>
          <cell r="N120"/>
          <cell r="O120"/>
        </row>
        <row r="121">
          <cell r="B121"/>
          <cell r="C121" t="str">
            <v xml:space="preserve"> </v>
          </cell>
          <cell r="D121"/>
          <cell r="E121"/>
          <cell r="F121"/>
          <cell r="G121"/>
          <cell r="H121"/>
          <cell r="I121"/>
          <cell r="J121"/>
          <cell r="K121">
            <v>0</v>
          </cell>
          <cell r="L121">
            <v>0</v>
          </cell>
          <cell r="M121"/>
          <cell r="N121"/>
          <cell r="O121"/>
        </row>
        <row r="122">
          <cell r="B122"/>
          <cell r="C122" t="str">
            <v xml:space="preserve"> </v>
          </cell>
          <cell r="D122"/>
          <cell r="E122"/>
          <cell r="F122"/>
          <cell r="G122"/>
          <cell r="H122"/>
          <cell r="I122"/>
          <cell r="J122"/>
          <cell r="K122">
            <v>0</v>
          </cell>
          <cell r="L122">
            <v>0</v>
          </cell>
          <cell r="M122"/>
          <cell r="N122"/>
          <cell r="O122"/>
        </row>
        <row r="123">
          <cell r="B123"/>
          <cell r="C123" t="str">
            <v xml:space="preserve"> </v>
          </cell>
          <cell r="D123"/>
          <cell r="E123"/>
          <cell r="F123"/>
          <cell r="G123"/>
          <cell r="H123"/>
          <cell r="I123"/>
          <cell r="J123"/>
          <cell r="K123">
            <v>0</v>
          </cell>
          <cell r="L123">
            <v>0</v>
          </cell>
          <cell r="M123"/>
          <cell r="N123"/>
          <cell r="O123"/>
        </row>
        <row r="124">
          <cell r="B124"/>
          <cell r="C124" t="str">
            <v xml:space="preserve"> </v>
          </cell>
          <cell r="D124"/>
          <cell r="E124"/>
          <cell r="F124"/>
          <cell r="G124"/>
          <cell r="H124"/>
          <cell r="I124"/>
          <cell r="J124"/>
          <cell r="K124">
            <v>0</v>
          </cell>
          <cell r="L124">
            <v>0</v>
          </cell>
          <cell r="M124"/>
          <cell r="N124"/>
          <cell r="O124"/>
        </row>
        <row r="125">
          <cell r="B125"/>
          <cell r="C125" t="str">
            <v xml:space="preserve"> </v>
          </cell>
          <cell r="D125"/>
          <cell r="E125"/>
          <cell r="F125"/>
          <cell r="G125"/>
          <cell r="H125"/>
          <cell r="I125"/>
          <cell r="J125"/>
          <cell r="K125">
            <v>0</v>
          </cell>
          <cell r="L125">
            <v>0</v>
          </cell>
          <cell r="M125"/>
          <cell r="N125"/>
          <cell r="O125"/>
        </row>
        <row r="126">
          <cell r="B126"/>
          <cell r="C126" t="str">
            <v xml:space="preserve"> </v>
          </cell>
          <cell r="D126"/>
          <cell r="E126"/>
          <cell r="F126"/>
          <cell r="G126"/>
          <cell r="H126"/>
          <cell r="I126"/>
          <cell r="J126"/>
          <cell r="K126">
            <v>0</v>
          </cell>
          <cell r="L126">
            <v>0</v>
          </cell>
          <cell r="M126"/>
          <cell r="N126"/>
          <cell r="O126"/>
        </row>
        <row r="127">
          <cell r="B127"/>
          <cell r="C127" t="str">
            <v xml:space="preserve"> </v>
          </cell>
          <cell r="D127"/>
          <cell r="E127"/>
          <cell r="F127"/>
          <cell r="G127"/>
          <cell r="H127"/>
          <cell r="I127"/>
          <cell r="J127"/>
          <cell r="K127">
            <v>0</v>
          </cell>
          <cell r="L127">
            <v>0</v>
          </cell>
          <cell r="M127"/>
          <cell r="N127"/>
          <cell r="O127"/>
        </row>
        <row r="128">
          <cell r="B128"/>
          <cell r="C128" t="str">
            <v xml:space="preserve"> </v>
          </cell>
          <cell r="D128"/>
          <cell r="E128"/>
          <cell r="F128"/>
          <cell r="G128"/>
          <cell r="H128"/>
          <cell r="I128"/>
          <cell r="J128"/>
          <cell r="K128">
            <v>0</v>
          </cell>
          <cell r="L128">
            <v>0</v>
          </cell>
          <cell r="M128"/>
          <cell r="N128"/>
          <cell r="O128"/>
        </row>
        <row r="129">
          <cell r="B129"/>
          <cell r="C129" t="str">
            <v xml:space="preserve"> </v>
          </cell>
          <cell r="D129"/>
          <cell r="E129"/>
          <cell r="F129"/>
          <cell r="G129"/>
          <cell r="H129"/>
          <cell r="I129"/>
          <cell r="J129"/>
          <cell r="K129">
            <v>0</v>
          </cell>
          <cell r="L129">
            <v>0</v>
          </cell>
          <cell r="M129"/>
          <cell r="N129"/>
          <cell r="O129"/>
        </row>
        <row r="130">
          <cell r="B130"/>
          <cell r="C130" t="str">
            <v xml:space="preserve"> </v>
          </cell>
          <cell r="D130"/>
          <cell r="E130"/>
          <cell r="F130"/>
          <cell r="G130"/>
          <cell r="H130"/>
          <cell r="I130"/>
          <cell r="J130"/>
          <cell r="K130">
            <v>0</v>
          </cell>
          <cell r="L130">
            <v>0</v>
          </cell>
          <cell r="M130"/>
          <cell r="N130"/>
          <cell r="O130"/>
        </row>
        <row r="131">
          <cell r="B131"/>
          <cell r="C131" t="str">
            <v xml:space="preserve"> </v>
          </cell>
          <cell r="D131"/>
          <cell r="E131"/>
          <cell r="F131"/>
          <cell r="G131"/>
          <cell r="H131"/>
          <cell r="I131"/>
          <cell r="J131"/>
          <cell r="K131">
            <v>0</v>
          </cell>
          <cell r="L131">
            <v>0</v>
          </cell>
          <cell r="M131"/>
          <cell r="N131"/>
          <cell r="O131"/>
        </row>
        <row r="132">
          <cell r="B132"/>
          <cell r="C132" t="str">
            <v xml:space="preserve"> </v>
          </cell>
          <cell r="D132"/>
          <cell r="E132"/>
          <cell r="F132"/>
          <cell r="G132"/>
          <cell r="H132"/>
          <cell r="I132"/>
          <cell r="J132"/>
          <cell r="K132">
            <v>0</v>
          </cell>
          <cell r="L132">
            <v>0</v>
          </cell>
          <cell r="M132"/>
          <cell r="N132"/>
          <cell r="O132"/>
        </row>
        <row r="133">
          <cell r="B133"/>
          <cell r="C133" t="str">
            <v xml:space="preserve"> </v>
          </cell>
          <cell r="D133"/>
          <cell r="E133"/>
          <cell r="F133"/>
          <cell r="G133"/>
          <cell r="H133"/>
          <cell r="I133"/>
          <cell r="J133"/>
          <cell r="K133">
            <v>0</v>
          </cell>
          <cell r="L133">
            <v>0</v>
          </cell>
          <cell r="M133"/>
          <cell r="N133"/>
          <cell r="O133"/>
        </row>
        <row r="134">
          <cell r="B134"/>
          <cell r="C134" t="str">
            <v xml:space="preserve"> </v>
          </cell>
          <cell r="D134"/>
          <cell r="E134"/>
          <cell r="F134"/>
          <cell r="G134"/>
          <cell r="H134"/>
          <cell r="I134"/>
          <cell r="J134"/>
          <cell r="K134">
            <v>0</v>
          </cell>
          <cell r="L134">
            <v>0</v>
          </cell>
          <cell r="M134"/>
          <cell r="N134"/>
          <cell r="O134"/>
        </row>
        <row r="135">
          <cell r="B135"/>
          <cell r="C135" t="str">
            <v xml:space="preserve"> </v>
          </cell>
          <cell r="D135"/>
          <cell r="E135"/>
          <cell r="F135"/>
          <cell r="G135"/>
          <cell r="H135"/>
          <cell r="I135"/>
          <cell r="J135"/>
          <cell r="K135">
            <v>0</v>
          </cell>
          <cell r="L135">
            <v>0</v>
          </cell>
          <cell r="M135"/>
          <cell r="N135"/>
          <cell r="O135"/>
        </row>
        <row r="136">
          <cell r="B136"/>
          <cell r="C136" t="str">
            <v xml:space="preserve"> </v>
          </cell>
          <cell r="D136"/>
          <cell r="E136"/>
          <cell r="F136"/>
          <cell r="G136"/>
          <cell r="H136"/>
          <cell r="I136"/>
          <cell r="J136"/>
          <cell r="K136">
            <v>0</v>
          </cell>
          <cell r="L136">
            <v>0</v>
          </cell>
          <cell r="M136"/>
          <cell r="N136"/>
          <cell r="O136"/>
        </row>
        <row r="137">
          <cell r="B137"/>
          <cell r="C137" t="str">
            <v xml:space="preserve"> </v>
          </cell>
          <cell r="D137"/>
          <cell r="E137"/>
          <cell r="F137"/>
          <cell r="G137"/>
          <cell r="H137"/>
          <cell r="I137"/>
          <cell r="J137"/>
          <cell r="K137">
            <v>0</v>
          </cell>
          <cell r="L137">
            <v>0</v>
          </cell>
          <cell r="M137"/>
          <cell r="N137"/>
          <cell r="O137"/>
        </row>
        <row r="138">
          <cell r="B138"/>
          <cell r="C138" t="str">
            <v xml:space="preserve"> </v>
          </cell>
          <cell r="D138"/>
          <cell r="E138"/>
          <cell r="F138"/>
          <cell r="G138"/>
          <cell r="H138"/>
          <cell r="I138"/>
          <cell r="J138"/>
          <cell r="K138">
            <v>0</v>
          </cell>
          <cell r="L138">
            <v>0</v>
          </cell>
          <cell r="M138"/>
          <cell r="N138"/>
          <cell r="O138"/>
        </row>
        <row r="139">
          <cell r="B139"/>
          <cell r="C139" t="str">
            <v xml:space="preserve"> </v>
          </cell>
          <cell r="D139"/>
          <cell r="E139"/>
          <cell r="F139"/>
          <cell r="G139"/>
          <cell r="H139"/>
          <cell r="I139"/>
          <cell r="J139"/>
          <cell r="K139">
            <v>0</v>
          </cell>
          <cell r="L139">
            <v>0</v>
          </cell>
          <cell r="M139"/>
          <cell r="N139"/>
          <cell r="O139"/>
        </row>
        <row r="140">
          <cell r="B140"/>
          <cell r="C140" t="str">
            <v xml:space="preserve"> </v>
          </cell>
          <cell r="D140"/>
          <cell r="E140"/>
          <cell r="F140"/>
          <cell r="G140"/>
          <cell r="H140"/>
          <cell r="I140"/>
          <cell r="J140"/>
          <cell r="K140">
            <v>0</v>
          </cell>
          <cell r="L140">
            <v>0</v>
          </cell>
          <cell r="M140"/>
          <cell r="N140"/>
          <cell r="O140"/>
        </row>
        <row r="141">
          <cell r="B141"/>
          <cell r="C141" t="str">
            <v xml:space="preserve"> </v>
          </cell>
          <cell r="D141"/>
          <cell r="E141"/>
          <cell r="F141"/>
          <cell r="G141"/>
          <cell r="H141"/>
          <cell r="I141"/>
          <cell r="J141"/>
          <cell r="K141">
            <v>0</v>
          </cell>
          <cell r="L141">
            <v>0</v>
          </cell>
          <cell r="M141"/>
          <cell r="N141"/>
          <cell r="O141"/>
        </row>
        <row r="142">
          <cell r="B142"/>
          <cell r="C142" t="str">
            <v xml:space="preserve"> </v>
          </cell>
          <cell r="D142"/>
          <cell r="E142"/>
          <cell r="F142"/>
          <cell r="G142"/>
          <cell r="H142"/>
          <cell r="I142"/>
          <cell r="J142"/>
          <cell r="K142">
            <v>0</v>
          </cell>
          <cell r="L142">
            <v>0</v>
          </cell>
          <cell r="M142"/>
          <cell r="N142"/>
          <cell r="O142"/>
        </row>
        <row r="143">
          <cell r="B143"/>
          <cell r="C143" t="str">
            <v xml:space="preserve"> </v>
          </cell>
          <cell r="D143"/>
          <cell r="E143"/>
          <cell r="F143"/>
          <cell r="G143"/>
          <cell r="H143"/>
          <cell r="I143"/>
          <cell r="J143"/>
          <cell r="K143">
            <v>0</v>
          </cell>
          <cell r="L143">
            <v>0</v>
          </cell>
          <cell r="M143"/>
          <cell r="N143"/>
          <cell r="O143"/>
        </row>
        <row r="144">
          <cell r="B144"/>
          <cell r="C144" t="str">
            <v xml:space="preserve"> </v>
          </cell>
          <cell r="D144"/>
          <cell r="E144"/>
          <cell r="F144"/>
          <cell r="G144"/>
          <cell r="H144"/>
          <cell r="I144"/>
          <cell r="J144"/>
          <cell r="K144">
            <v>0</v>
          </cell>
          <cell r="L144">
            <v>0</v>
          </cell>
          <cell r="M144"/>
          <cell r="N144"/>
          <cell r="O144"/>
        </row>
        <row r="145">
          <cell r="B145"/>
          <cell r="C145" t="str">
            <v xml:space="preserve"> </v>
          </cell>
          <cell r="D145"/>
          <cell r="E145"/>
          <cell r="F145"/>
          <cell r="G145"/>
          <cell r="H145"/>
          <cell r="I145"/>
          <cell r="J145"/>
          <cell r="K145">
            <v>0</v>
          </cell>
          <cell r="L145">
            <v>0</v>
          </cell>
          <cell r="M145"/>
          <cell r="N145"/>
          <cell r="O145"/>
        </row>
        <row r="146">
          <cell r="B146"/>
          <cell r="C146" t="str">
            <v xml:space="preserve"> </v>
          </cell>
          <cell r="D146"/>
          <cell r="E146"/>
          <cell r="F146"/>
          <cell r="G146"/>
          <cell r="H146"/>
          <cell r="I146"/>
          <cell r="J146"/>
          <cell r="K146">
            <v>0</v>
          </cell>
          <cell r="L146">
            <v>0</v>
          </cell>
          <cell r="M146"/>
          <cell r="N146"/>
          <cell r="O146"/>
        </row>
        <row r="147">
          <cell r="B147"/>
          <cell r="C147" t="str">
            <v xml:space="preserve"> </v>
          </cell>
          <cell r="D147"/>
          <cell r="E147"/>
          <cell r="F147"/>
          <cell r="G147"/>
          <cell r="H147"/>
          <cell r="I147"/>
          <cell r="J147"/>
          <cell r="K147">
            <v>0</v>
          </cell>
          <cell r="L147">
            <v>0</v>
          </cell>
          <cell r="M147"/>
          <cell r="N147"/>
          <cell r="O147"/>
        </row>
        <row r="148">
          <cell r="B148"/>
          <cell r="C148" t="str">
            <v xml:space="preserve"> </v>
          </cell>
          <cell r="D148"/>
          <cell r="E148"/>
          <cell r="F148"/>
          <cell r="G148"/>
          <cell r="H148"/>
          <cell r="I148"/>
          <cell r="J148"/>
          <cell r="K148">
            <v>0</v>
          </cell>
          <cell r="L148">
            <v>0</v>
          </cell>
          <cell r="M148"/>
          <cell r="N148"/>
          <cell r="O148"/>
        </row>
        <row r="149">
          <cell r="B149"/>
          <cell r="C149" t="str">
            <v xml:space="preserve"> </v>
          </cell>
          <cell r="D149"/>
          <cell r="E149"/>
          <cell r="F149"/>
          <cell r="G149"/>
          <cell r="H149"/>
          <cell r="I149"/>
          <cell r="J149"/>
          <cell r="K149">
            <v>0</v>
          </cell>
          <cell r="L149">
            <v>0</v>
          </cell>
          <cell r="M149"/>
          <cell r="N149"/>
          <cell r="O149"/>
        </row>
        <row r="150">
          <cell r="B150"/>
          <cell r="C150" t="str">
            <v xml:space="preserve"> </v>
          </cell>
          <cell r="D150"/>
          <cell r="E150"/>
          <cell r="F150"/>
          <cell r="G150"/>
          <cell r="H150"/>
          <cell r="I150"/>
          <cell r="J150"/>
          <cell r="K150">
            <v>0</v>
          </cell>
          <cell r="L150">
            <v>0</v>
          </cell>
          <cell r="M150"/>
          <cell r="N150"/>
          <cell r="O150"/>
        </row>
        <row r="151">
          <cell r="B151"/>
          <cell r="C151" t="str">
            <v xml:space="preserve"> </v>
          </cell>
          <cell r="D151"/>
          <cell r="E151"/>
          <cell r="F151"/>
          <cell r="G151"/>
          <cell r="H151"/>
          <cell r="I151"/>
          <cell r="J151"/>
          <cell r="K151">
            <v>0</v>
          </cell>
          <cell r="L151">
            <v>0</v>
          </cell>
          <cell r="M151"/>
          <cell r="N151"/>
          <cell r="O151"/>
        </row>
        <row r="152">
          <cell r="B152"/>
          <cell r="C152" t="str">
            <v xml:space="preserve"> </v>
          </cell>
          <cell r="D152"/>
          <cell r="E152"/>
          <cell r="F152"/>
          <cell r="G152"/>
          <cell r="H152"/>
          <cell r="I152"/>
          <cell r="J152"/>
          <cell r="K152">
            <v>0</v>
          </cell>
          <cell r="L152">
            <v>0</v>
          </cell>
          <cell r="M152"/>
          <cell r="N152"/>
          <cell r="O152"/>
        </row>
        <row r="153">
          <cell r="B153"/>
          <cell r="C153" t="str">
            <v xml:space="preserve"> </v>
          </cell>
          <cell r="D153"/>
          <cell r="E153"/>
          <cell r="F153"/>
          <cell r="G153"/>
          <cell r="H153"/>
          <cell r="I153"/>
          <cell r="J153"/>
          <cell r="K153">
            <v>0</v>
          </cell>
          <cell r="L153">
            <v>0</v>
          </cell>
          <cell r="M153"/>
          <cell r="N153"/>
          <cell r="O153"/>
        </row>
        <row r="154">
          <cell r="B154"/>
          <cell r="C154" t="str">
            <v xml:space="preserve"> </v>
          </cell>
          <cell r="D154"/>
          <cell r="E154"/>
          <cell r="F154"/>
          <cell r="G154"/>
          <cell r="H154"/>
          <cell r="I154"/>
          <cell r="J154"/>
          <cell r="K154">
            <v>0</v>
          </cell>
          <cell r="L154">
            <v>0</v>
          </cell>
          <cell r="M154"/>
          <cell r="N154"/>
          <cell r="O154"/>
        </row>
        <row r="155">
          <cell r="B155"/>
          <cell r="C155" t="str">
            <v xml:space="preserve"> </v>
          </cell>
          <cell r="D155"/>
          <cell r="E155"/>
          <cell r="F155"/>
          <cell r="G155"/>
          <cell r="H155"/>
          <cell r="I155"/>
          <cell r="J155"/>
          <cell r="K155">
            <v>0</v>
          </cell>
          <cell r="L155">
            <v>0</v>
          </cell>
          <cell r="M155"/>
          <cell r="N155"/>
          <cell r="O155"/>
        </row>
        <row r="156">
          <cell r="B156"/>
          <cell r="C156" t="str">
            <v xml:space="preserve"> </v>
          </cell>
          <cell r="D156"/>
          <cell r="E156"/>
          <cell r="F156"/>
          <cell r="G156"/>
          <cell r="H156"/>
          <cell r="I156"/>
          <cell r="J156"/>
          <cell r="K156">
            <v>0</v>
          </cell>
          <cell r="L156">
            <v>0</v>
          </cell>
          <cell r="M156"/>
          <cell r="N156"/>
          <cell r="O156"/>
        </row>
        <row r="157">
          <cell r="B157"/>
          <cell r="C157" t="str">
            <v xml:space="preserve"> </v>
          </cell>
          <cell r="D157"/>
          <cell r="E157"/>
          <cell r="F157"/>
          <cell r="G157"/>
          <cell r="H157"/>
          <cell r="I157"/>
          <cell r="J157"/>
          <cell r="K157">
            <v>0</v>
          </cell>
          <cell r="L157">
            <v>0</v>
          </cell>
          <cell r="M157"/>
          <cell r="N157"/>
          <cell r="O157"/>
        </row>
        <row r="158">
          <cell r="B158"/>
          <cell r="C158" t="str">
            <v xml:space="preserve"> </v>
          </cell>
          <cell r="D158"/>
          <cell r="E158"/>
          <cell r="F158"/>
          <cell r="G158"/>
          <cell r="H158"/>
          <cell r="I158"/>
          <cell r="J158"/>
          <cell r="K158">
            <v>0</v>
          </cell>
          <cell r="L158">
            <v>0</v>
          </cell>
          <cell r="M158"/>
          <cell r="N158"/>
          <cell r="O158"/>
        </row>
        <row r="159">
          <cell r="B159"/>
          <cell r="C159" t="str">
            <v xml:space="preserve"> </v>
          </cell>
          <cell r="D159"/>
          <cell r="E159"/>
          <cell r="F159"/>
          <cell r="G159"/>
          <cell r="H159"/>
          <cell r="I159"/>
          <cell r="J159"/>
          <cell r="K159">
            <v>0</v>
          </cell>
          <cell r="L159">
            <v>0</v>
          </cell>
          <cell r="M159"/>
          <cell r="N159"/>
          <cell r="O159"/>
        </row>
        <row r="160">
          <cell r="B160"/>
          <cell r="C160" t="str">
            <v xml:space="preserve"> </v>
          </cell>
          <cell r="D160"/>
          <cell r="E160"/>
          <cell r="F160"/>
          <cell r="G160"/>
          <cell r="H160"/>
          <cell r="I160"/>
          <cell r="J160"/>
          <cell r="K160">
            <v>0</v>
          </cell>
          <cell r="L160">
            <v>0</v>
          </cell>
          <cell r="M160"/>
          <cell r="N160"/>
          <cell r="O160"/>
        </row>
        <row r="161">
          <cell r="B161"/>
          <cell r="C161" t="str">
            <v xml:space="preserve"> </v>
          </cell>
          <cell r="D161"/>
          <cell r="E161"/>
          <cell r="F161"/>
          <cell r="G161"/>
          <cell r="H161"/>
          <cell r="I161"/>
          <cell r="J161"/>
          <cell r="K161">
            <v>0</v>
          </cell>
          <cell r="L161">
            <v>0</v>
          </cell>
          <cell r="M161"/>
          <cell r="N161"/>
          <cell r="O161"/>
        </row>
        <row r="162">
          <cell r="B162"/>
          <cell r="C162" t="str">
            <v xml:space="preserve"> </v>
          </cell>
          <cell r="D162"/>
          <cell r="E162"/>
          <cell r="F162"/>
          <cell r="G162"/>
          <cell r="H162"/>
          <cell r="I162"/>
          <cell r="J162"/>
          <cell r="K162">
            <v>0</v>
          </cell>
          <cell r="L162">
            <v>0</v>
          </cell>
          <cell r="M162"/>
          <cell r="N162"/>
          <cell r="O162"/>
        </row>
        <row r="163">
          <cell r="B163"/>
          <cell r="C163" t="str">
            <v xml:space="preserve"> </v>
          </cell>
          <cell r="D163"/>
          <cell r="E163"/>
          <cell r="F163"/>
          <cell r="G163"/>
          <cell r="H163"/>
          <cell r="I163"/>
          <cell r="J163"/>
          <cell r="K163">
            <v>0</v>
          </cell>
          <cell r="L163">
            <v>0</v>
          </cell>
          <cell r="M163"/>
          <cell r="N163"/>
          <cell r="O163"/>
        </row>
        <row r="164">
          <cell r="B164"/>
          <cell r="C164" t="str">
            <v xml:space="preserve"> </v>
          </cell>
          <cell r="D164"/>
          <cell r="E164"/>
          <cell r="F164"/>
          <cell r="G164"/>
          <cell r="H164"/>
          <cell r="I164"/>
          <cell r="J164"/>
          <cell r="K164">
            <v>0</v>
          </cell>
          <cell r="L164">
            <v>0</v>
          </cell>
          <cell r="M164"/>
          <cell r="N164"/>
          <cell r="O164"/>
        </row>
        <row r="165">
          <cell r="B165"/>
          <cell r="C165" t="str">
            <v xml:space="preserve"> </v>
          </cell>
          <cell r="D165"/>
          <cell r="E165"/>
          <cell r="F165"/>
          <cell r="G165"/>
          <cell r="H165"/>
          <cell r="I165"/>
          <cell r="J165"/>
          <cell r="K165">
            <v>0</v>
          </cell>
          <cell r="L165">
            <v>0</v>
          </cell>
          <cell r="M165"/>
          <cell r="N165"/>
          <cell r="O165"/>
        </row>
        <row r="166">
          <cell r="B166"/>
          <cell r="C166" t="str">
            <v xml:space="preserve"> </v>
          </cell>
          <cell r="D166"/>
          <cell r="E166"/>
          <cell r="F166"/>
          <cell r="G166"/>
          <cell r="H166"/>
          <cell r="I166"/>
          <cell r="J166"/>
          <cell r="K166">
            <v>0</v>
          </cell>
          <cell r="L166">
            <v>0</v>
          </cell>
          <cell r="M166"/>
          <cell r="N166"/>
          <cell r="O166"/>
        </row>
        <row r="167">
          <cell r="B167"/>
          <cell r="C167" t="str">
            <v xml:space="preserve"> </v>
          </cell>
          <cell r="D167"/>
          <cell r="E167"/>
          <cell r="F167"/>
          <cell r="G167"/>
          <cell r="H167"/>
          <cell r="I167"/>
          <cell r="J167"/>
          <cell r="K167">
            <v>0</v>
          </cell>
          <cell r="L167">
            <v>0</v>
          </cell>
          <cell r="M167"/>
          <cell r="N167"/>
          <cell r="O167"/>
        </row>
        <row r="168">
          <cell r="B168"/>
          <cell r="C168" t="str">
            <v xml:space="preserve"> </v>
          </cell>
          <cell r="D168"/>
          <cell r="E168"/>
          <cell r="F168"/>
          <cell r="G168"/>
          <cell r="H168"/>
          <cell r="I168"/>
          <cell r="J168"/>
          <cell r="K168">
            <v>0</v>
          </cell>
          <cell r="L168">
            <v>0</v>
          </cell>
          <cell r="M168"/>
          <cell r="N168"/>
          <cell r="O168"/>
        </row>
        <row r="169">
          <cell r="B169"/>
          <cell r="C169" t="str">
            <v xml:space="preserve"> </v>
          </cell>
          <cell r="D169"/>
          <cell r="E169"/>
          <cell r="F169"/>
          <cell r="G169"/>
          <cell r="H169"/>
          <cell r="I169"/>
          <cell r="J169"/>
          <cell r="K169">
            <v>0</v>
          </cell>
          <cell r="L169">
            <v>0</v>
          </cell>
          <cell r="M169"/>
          <cell r="N169"/>
          <cell r="O169"/>
        </row>
        <row r="170">
          <cell r="B170"/>
          <cell r="C170" t="str">
            <v xml:space="preserve"> </v>
          </cell>
          <cell r="D170"/>
          <cell r="E170"/>
          <cell r="F170"/>
          <cell r="G170"/>
          <cell r="H170"/>
          <cell r="I170"/>
          <cell r="J170"/>
          <cell r="K170">
            <v>0</v>
          </cell>
          <cell r="L170">
            <v>0</v>
          </cell>
          <cell r="M170"/>
          <cell r="N170"/>
          <cell r="O170"/>
        </row>
        <row r="171">
          <cell r="B171"/>
          <cell r="C171" t="str">
            <v xml:space="preserve"> </v>
          </cell>
          <cell r="D171"/>
          <cell r="E171"/>
          <cell r="F171"/>
          <cell r="G171"/>
          <cell r="H171"/>
          <cell r="I171"/>
          <cell r="J171"/>
          <cell r="K171">
            <v>0</v>
          </cell>
          <cell r="L171">
            <v>0</v>
          </cell>
          <cell r="M171"/>
          <cell r="N171"/>
          <cell r="O171"/>
        </row>
        <row r="172">
          <cell r="B172"/>
          <cell r="C172" t="str">
            <v xml:space="preserve"> </v>
          </cell>
          <cell r="D172"/>
          <cell r="E172"/>
          <cell r="F172"/>
          <cell r="G172"/>
          <cell r="H172"/>
          <cell r="I172"/>
          <cell r="J172"/>
          <cell r="K172">
            <v>0</v>
          </cell>
          <cell r="L172">
            <v>0</v>
          </cell>
          <cell r="M172"/>
          <cell r="N172"/>
          <cell r="O172"/>
        </row>
        <row r="173">
          <cell r="B173"/>
          <cell r="C173" t="str">
            <v xml:space="preserve"> </v>
          </cell>
          <cell r="D173"/>
          <cell r="E173"/>
          <cell r="F173"/>
          <cell r="G173"/>
          <cell r="H173"/>
          <cell r="I173"/>
          <cell r="J173"/>
          <cell r="K173">
            <v>0</v>
          </cell>
          <cell r="L173">
            <v>0</v>
          </cell>
          <cell r="M173"/>
          <cell r="N173"/>
          <cell r="O173"/>
        </row>
        <row r="174">
          <cell r="B174"/>
          <cell r="C174" t="str">
            <v xml:space="preserve"> </v>
          </cell>
          <cell r="D174"/>
          <cell r="E174"/>
          <cell r="F174"/>
          <cell r="G174"/>
          <cell r="H174"/>
          <cell r="I174"/>
          <cell r="J174"/>
          <cell r="K174">
            <v>0</v>
          </cell>
          <cell r="L174">
            <v>0</v>
          </cell>
          <cell r="M174"/>
          <cell r="N174"/>
          <cell r="O174"/>
        </row>
        <row r="175">
          <cell r="B175"/>
          <cell r="C175" t="str">
            <v xml:space="preserve"> </v>
          </cell>
          <cell r="D175"/>
          <cell r="E175"/>
          <cell r="F175"/>
          <cell r="G175"/>
          <cell r="H175"/>
          <cell r="I175"/>
          <cell r="J175"/>
          <cell r="K175">
            <v>0</v>
          </cell>
          <cell r="L175">
            <v>0</v>
          </cell>
          <cell r="M175"/>
          <cell r="N175"/>
          <cell r="O175"/>
        </row>
        <row r="176">
          <cell r="B176"/>
          <cell r="C176" t="str">
            <v xml:space="preserve"> </v>
          </cell>
          <cell r="D176"/>
          <cell r="E176"/>
          <cell r="F176"/>
          <cell r="G176"/>
          <cell r="H176"/>
          <cell r="I176"/>
          <cell r="J176"/>
          <cell r="K176">
            <v>0</v>
          </cell>
          <cell r="L176">
            <v>0</v>
          </cell>
          <cell r="M176"/>
          <cell r="N176"/>
          <cell r="O176"/>
        </row>
        <row r="177">
          <cell r="B177"/>
          <cell r="C177" t="str">
            <v xml:space="preserve"> </v>
          </cell>
          <cell r="D177"/>
          <cell r="E177"/>
          <cell r="F177"/>
          <cell r="G177"/>
          <cell r="H177"/>
          <cell r="I177"/>
          <cell r="J177"/>
          <cell r="K177">
            <v>0</v>
          </cell>
          <cell r="L177">
            <v>0</v>
          </cell>
          <cell r="M177"/>
          <cell r="N177"/>
          <cell r="O177"/>
        </row>
        <row r="178">
          <cell r="B178"/>
          <cell r="C178" t="str">
            <v xml:space="preserve"> </v>
          </cell>
          <cell r="D178"/>
          <cell r="E178"/>
          <cell r="F178"/>
          <cell r="G178"/>
          <cell r="H178"/>
          <cell r="I178"/>
          <cell r="J178"/>
          <cell r="K178">
            <v>0</v>
          </cell>
          <cell r="L178">
            <v>0</v>
          </cell>
          <cell r="M178"/>
          <cell r="N178"/>
          <cell r="O178"/>
        </row>
        <row r="179">
          <cell r="B179"/>
          <cell r="C179" t="str">
            <v xml:space="preserve"> </v>
          </cell>
          <cell r="D179"/>
          <cell r="E179"/>
          <cell r="F179"/>
          <cell r="G179"/>
          <cell r="H179"/>
          <cell r="I179"/>
          <cell r="J179"/>
          <cell r="K179">
            <v>0</v>
          </cell>
          <cell r="L179">
            <v>0</v>
          </cell>
          <cell r="M179"/>
          <cell r="N179"/>
          <cell r="O179"/>
        </row>
        <row r="180">
          <cell r="B180"/>
          <cell r="C180" t="str">
            <v xml:space="preserve"> </v>
          </cell>
          <cell r="D180"/>
          <cell r="E180"/>
          <cell r="F180"/>
          <cell r="G180"/>
          <cell r="H180"/>
          <cell r="I180"/>
          <cell r="J180"/>
          <cell r="K180">
            <v>0</v>
          </cell>
          <cell r="L180">
            <v>0</v>
          </cell>
          <cell r="M180"/>
          <cell r="N180"/>
          <cell r="O180"/>
        </row>
        <row r="181">
          <cell r="B181"/>
          <cell r="C181" t="str">
            <v xml:space="preserve"> </v>
          </cell>
          <cell r="D181"/>
          <cell r="E181"/>
          <cell r="F181"/>
          <cell r="G181"/>
          <cell r="H181"/>
          <cell r="I181"/>
          <cell r="J181"/>
          <cell r="K181">
            <v>0</v>
          </cell>
          <cell r="L181">
            <v>0</v>
          </cell>
          <cell r="M181"/>
          <cell r="N181"/>
          <cell r="O181"/>
        </row>
        <row r="182">
          <cell r="B182"/>
          <cell r="C182" t="str">
            <v xml:space="preserve"> </v>
          </cell>
          <cell r="D182"/>
          <cell r="E182"/>
          <cell r="F182"/>
          <cell r="G182"/>
          <cell r="H182"/>
          <cell r="I182"/>
          <cell r="J182"/>
          <cell r="K182">
            <v>0</v>
          </cell>
          <cell r="L182">
            <v>0</v>
          </cell>
          <cell r="M182"/>
          <cell r="N182"/>
          <cell r="O182"/>
        </row>
        <row r="183">
          <cell r="B183"/>
          <cell r="C183" t="str">
            <v xml:space="preserve"> </v>
          </cell>
          <cell r="D183"/>
          <cell r="E183"/>
          <cell r="F183"/>
          <cell r="G183"/>
          <cell r="H183"/>
          <cell r="I183"/>
          <cell r="J183"/>
          <cell r="K183">
            <v>0</v>
          </cell>
          <cell r="L183">
            <v>0</v>
          </cell>
          <cell r="M183"/>
          <cell r="N183"/>
          <cell r="O183"/>
        </row>
        <row r="184">
          <cell r="B184"/>
          <cell r="C184" t="str">
            <v xml:space="preserve"> </v>
          </cell>
          <cell r="D184"/>
          <cell r="E184"/>
          <cell r="F184"/>
          <cell r="G184"/>
          <cell r="H184"/>
          <cell r="I184"/>
          <cell r="J184"/>
          <cell r="K184">
            <v>0</v>
          </cell>
          <cell r="L184">
            <v>0</v>
          </cell>
          <cell r="M184"/>
          <cell r="N184"/>
          <cell r="O184"/>
        </row>
        <row r="185">
          <cell r="B185"/>
          <cell r="C185" t="str">
            <v xml:space="preserve"> </v>
          </cell>
          <cell r="D185"/>
          <cell r="E185"/>
          <cell r="F185"/>
          <cell r="G185"/>
          <cell r="H185"/>
          <cell r="I185"/>
          <cell r="J185"/>
          <cell r="K185">
            <v>0</v>
          </cell>
          <cell r="L185">
            <v>0</v>
          </cell>
          <cell r="M185"/>
          <cell r="N185"/>
          <cell r="O185"/>
        </row>
        <row r="186">
          <cell r="B186"/>
          <cell r="C186" t="str">
            <v xml:space="preserve"> </v>
          </cell>
          <cell r="D186"/>
          <cell r="E186"/>
          <cell r="F186"/>
          <cell r="G186"/>
          <cell r="H186"/>
          <cell r="I186"/>
          <cell r="J186"/>
          <cell r="K186">
            <v>0</v>
          </cell>
          <cell r="L186">
            <v>0</v>
          </cell>
          <cell r="M186"/>
          <cell r="N186"/>
          <cell r="O186"/>
        </row>
        <row r="187">
          <cell r="B187"/>
          <cell r="C187" t="str">
            <v xml:space="preserve"> </v>
          </cell>
          <cell r="D187"/>
          <cell r="E187"/>
          <cell r="F187"/>
          <cell r="G187"/>
          <cell r="H187"/>
          <cell r="I187"/>
          <cell r="J187"/>
          <cell r="K187">
            <v>0</v>
          </cell>
          <cell r="L187">
            <v>0</v>
          </cell>
          <cell r="M187"/>
          <cell r="N187"/>
          <cell r="O187"/>
        </row>
        <row r="188">
          <cell r="B188"/>
          <cell r="C188" t="str">
            <v xml:space="preserve"> </v>
          </cell>
          <cell r="D188"/>
          <cell r="E188"/>
          <cell r="F188"/>
          <cell r="G188"/>
          <cell r="H188"/>
          <cell r="I188"/>
          <cell r="J188"/>
          <cell r="K188">
            <v>0</v>
          </cell>
          <cell r="L188">
            <v>0</v>
          </cell>
          <cell r="M188"/>
          <cell r="N188"/>
          <cell r="O188"/>
        </row>
        <row r="189">
          <cell r="B189"/>
          <cell r="C189" t="str">
            <v xml:space="preserve"> </v>
          </cell>
          <cell r="D189"/>
          <cell r="E189"/>
          <cell r="F189"/>
          <cell r="G189"/>
          <cell r="H189"/>
          <cell r="I189"/>
          <cell r="J189"/>
          <cell r="K189">
            <v>0</v>
          </cell>
          <cell r="L189">
            <v>0</v>
          </cell>
          <cell r="M189"/>
          <cell r="N189"/>
          <cell r="O189"/>
        </row>
        <row r="190">
          <cell r="B190"/>
          <cell r="C190" t="str">
            <v xml:space="preserve"> </v>
          </cell>
          <cell r="D190"/>
          <cell r="E190"/>
          <cell r="F190"/>
          <cell r="G190"/>
          <cell r="H190"/>
          <cell r="I190"/>
          <cell r="J190"/>
          <cell r="K190">
            <v>0</v>
          </cell>
          <cell r="L190">
            <v>0</v>
          </cell>
          <cell r="M190"/>
          <cell r="N190"/>
          <cell r="O190"/>
        </row>
        <row r="191">
          <cell r="B191"/>
          <cell r="C191" t="str">
            <v xml:space="preserve"> </v>
          </cell>
          <cell r="D191"/>
          <cell r="E191"/>
          <cell r="F191"/>
          <cell r="G191"/>
          <cell r="H191"/>
          <cell r="I191"/>
          <cell r="J191"/>
          <cell r="K191">
            <v>0</v>
          </cell>
          <cell r="L191">
            <v>0</v>
          </cell>
          <cell r="M191"/>
          <cell r="N191"/>
          <cell r="O191"/>
        </row>
        <row r="192">
          <cell r="B192"/>
          <cell r="C192" t="str">
            <v xml:space="preserve"> </v>
          </cell>
          <cell r="D192"/>
          <cell r="E192"/>
          <cell r="F192"/>
          <cell r="G192"/>
          <cell r="H192"/>
          <cell r="I192"/>
          <cell r="J192"/>
          <cell r="K192">
            <v>0</v>
          </cell>
          <cell r="L192">
            <v>0</v>
          </cell>
          <cell r="M192"/>
          <cell r="N192"/>
          <cell r="O192"/>
        </row>
        <row r="193">
          <cell r="B193"/>
          <cell r="C193" t="str">
            <v xml:space="preserve"> </v>
          </cell>
          <cell r="D193"/>
          <cell r="E193"/>
          <cell r="F193"/>
          <cell r="G193"/>
          <cell r="H193"/>
          <cell r="I193"/>
          <cell r="J193"/>
          <cell r="K193">
            <v>0</v>
          </cell>
          <cell r="L193">
            <v>0</v>
          </cell>
          <cell r="M193"/>
          <cell r="N193"/>
          <cell r="O193"/>
        </row>
        <row r="194">
          <cell r="B194"/>
          <cell r="C194" t="str">
            <v xml:space="preserve"> </v>
          </cell>
          <cell r="D194"/>
          <cell r="E194"/>
          <cell r="F194"/>
          <cell r="G194"/>
          <cell r="H194"/>
          <cell r="I194"/>
          <cell r="J194"/>
          <cell r="K194">
            <v>0</v>
          </cell>
          <cell r="L194">
            <v>0</v>
          </cell>
          <cell r="M194"/>
          <cell r="N194"/>
          <cell r="O194"/>
        </row>
        <row r="195">
          <cell r="B195"/>
          <cell r="C195" t="str">
            <v xml:space="preserve"> </v>
          </cell>
          <cell r="D195"/>
          <cell r="E195"/>
          <cell r="F195"/>
          <cell r="G195"/>
          <cell r="H195"/>
          <cell r="I195"/>
          <cell r="J195"/>
          <cell r="K195">
            <v>0</v>
          </cell>
          <cell r="L195">
            <v>0</v>
          </cell>
          <cell r="M195"/>
          <cell r="N195"/>
          <cell r="O195"/>
        </row>
        <row r="196">
          <cell r="B196"/>
          <cell r="C196" t="str">
            <v xml:space="preserve"> </v>
          </cell>
          <cell r="D196"/>
          <cell r="E196"/>
          <cell r="F196"/>
          <cell r="G196"/>
          <cell r="H196"/>
          <cell r="I196"/>
          <cell r="J196"/>
          <cell r="K196">
            <v>0</v>
          </cell>
          <cell r="L196">
            <v>0</v>
          </cell>
          <cell r="M196"/>
          <cell r="N196"/>
          <cell r="O196"/>
        </row>
        <row r="197">
          <cell r="B197"/>
          <cell r="C197" t="str">
            <v xml:space="preserve"> </v>
          </cell>
          <cell r="D197"/>
          <cell r="E197"/>
          <cell r="F197"/>
          <cell r="G197"/>
          <cell r="H197"/>
          <cell r="I197"/>
          <cell r="J197"/>
          <cell r="K197">
            <v>0</v>
          </cell>
          <cell r="L197">
            <v>0</v>
          </cell>
          <cell r="M197"/>
          <cell r="N197"/>
          <cell r="O197"/>
        </row>
        <row r="198">
          <cell r="B198"/>
          <cell r="C198" t="str">
            <v xml:space="preserve"> </v>
          </cell>
          <cell r="D198"/>
          <cell r="E198"/>
          <cell r="F198"/>
          <cell r="G198"/>
          <cell r="H198"/>
          <cell r="I198"/>
          <cell r="J198"/>
          <cell r="K198">
            <v>0</v>
          </cell>
          <cell r="L198">
            <v>0</v>
          </cell>
          <cell r="M198"/>
          <cell r="N198"/>
          <cell r="O198"/>
        </row>
        <row r="199">
          <cell r="B199"/>
          <cell r="C199" t="str">
            <v xml:space="preserve"> </v>
          </cell>
          <cell r="D199"/>
          <cell r="E199"/>
          <cell r="F199"/>
          <cell r="G199"/>
          <cell r="H199"/>
          <cell r="I199"/>
          <cell r="J199"/>
          <cell r="K199">
            <v>0</v>
          </cell>
          <cell r="L199">
            <v>0</v>
          </cell>
          <cell r="M199"/>
          <cell r="N199"/>
          <cell r="O199"/>
        </row>
        <row r="200">
          <cell r="B200"/>
          <cell r="C200" t="str">
            <v xml:space="preserve"> </v>
          </cell>
          <cell r="D200"/>
          <cell r="E200"/>
          <cell r="F200"/>
          <cell r="G200"/>
          <cell r="H200"/>
          <cell r="I200"/>
          <cell r="J200"/>
          <cell r="K200">
            <v>0</v>
          </cell>
          <cell r="L200">
            <v>0</v>
          </cell>
          <cell r="M200"/>
          <cell r="N200"/>
          <cell r="O200"/>
        </row>
        <row r="201">
          <cell r="B201"/>
          <cell r="C201" t="str">
            <v xml:space="preserve"> </v>
          </cell>
          <cell r="D201"/>
          <cell r="E201"/>
          <cell r="F201"/>
          <cell r="G201"/>
          <cell r="H201"/>
          <cell r="I201"/>
          <cell r="J201"/>
          <cell r="K201">
            <v>0</v>
          </cell>
          <cell r="L201">
            <v>0</v>
          </cell>
          <cell r="M201"/>
          <cell r="N201"/>
          <cell r="O201"/>
        </row>
        <row r="202">
          <cell r="B202"/>
          <cell r="C202" t="str">
            <v xml:space="preserve"> </v>
          </cell>
          <cell r="D202"/>
          <cell r="E202"/>
          <cell r="F202"/>
          <cell r="G202"/>
          <cell r="H202"/>
          <cell r="I202"/>
          <cell r="J202"/>
          <cell r="K202">
            <v>0</v>
          </cell>
          <cell r="L202">
            <v>0</v>
          </cell>
          <cell r="M202"/>
          <cell r="N202"/>
          <cell r="O202"/>
        </row>
        <row r="203">
          <cell r="B203"/>
          <cell r="C203" t="str">
            <v xml:space="preserve"> </v>
          </cell>
          <cell r="D203"/>
          <cell r="E203"/>
          <cell r="F203"/>
          <cell r="G203"/>
          <cell r="H203"/>
          <cell r="I203"/>
          <cell r="J203"/>
          <cell r="K203">
            <v>0</v>
          </cell>
          <cell r="L203">
            <v>0</v>
          </cell>
          <cell r="M203"/>
          <cell r="N203"/>
          <cell r="O203"/>
        </row>
        <row r="204">
          <cell r="B204"/>
          <cell r="C204" t="str">
            <v xml:space="preserve"> </v>
          </cell>
          <cell r="D204"/>
          <cell r="E204"/>
          <cell r="F204"/>
          <cell r="G204"/>
          <cell r="H204"/>
          <cell r="I204"/>
          <cell r="J204"/>
          <cell r="K204">
            <v>0</v>
          </cell>
          <cell r="L204">
            <v>0</v>
          </cell>
          <cell r="M204"/>
          <cell r="N204"/>
          <cell r="O204"/>
        </row>
        <row r="205">
          <cell r="B205"/>
          <cell r="C205" t="str">
            <v xml:space="preserve"> </v>
          </cell>
          <cell r="D205"/>
          <cell r="E205"/>
          <cell r="F205"/>
          <cell r="G205"/>
          <cell r="H205"/>
          <cell r="I205"/>
          <cell r="J205"/>
          <cell r="K205">
            <v>0</v>
          </cell>
          <cell r="L205">
            <v>0</v>
          </cell>
          <cell r="M205"/>
          <cell r="N205"/>
          <cell r="O205"/>
        </row>
        <row r="206">
          <cell r="B206"/>
          <cell r="C206" t="str">
            <v xml:space="preserve"> </v>
          </cell>
          <cell r="D206"/>
          <cell r="E206"/>
          <cell r="F206"/>
          <cell r="G206"/>
          <cell r="H206"/>
          <cell r="I206"/>
          <cell r="J206"/>
          <cell r="K206">
            <v>0</v>
          </cell>
          <cell r="L206">
            <v>0</v>
          </cell>
          <cell r="M206"/>
          <cell r="N206"/>
          <cell r="O206"/>
        </row>
      </sheetData>
      <sheetData sheetId="8"/>
      <sheetData sheetId="9">
        <row r="7">
          <cell r="B7"/>
          <cell r="C7" t="e">
            <v>#VALUE!</v>
          </cell>
          <cell r="D7"/>
          <cell r="E7"/>
          <cell r="F7"/>
          <cell r="G7"/>
          <cell r="H7"/>
          <cell r="I7"/>
          <cell r="J7"/>
          <cell r="K7">
            <v>0</v>
          </cell>
          <cell r="L7">
            <v>0</v>
          </cell>
          <cell r="M7">
            <v>12</v>
          </cell>
          <cell r="N7">
            <v>8</v>
          </cell>
          <cell r="O7">
            <v>4</v>
          </cell>
        </row>
        <row r="8">
          <cell r="B8"/>
          <cell r="C8"/>
          <cell r="D8"/>
          <cell r="E8"/>
          <cell r="F8"/>
          <cell r="G8"/>
          <cell r="H8"/>
          <cell r="I8"/>
          <cell r="J8"/>
          <cell r="K8">
            <v>0</v>
          </cell>
          <cell r="L8">
            <v>0</v>
          </cell>
          <cell r="M8"/>
          <cell r="N8"/>
          <cell r="O8"/>
        </row>
        <row r="9">
          <cell r="B9"/>
          <cell r="C9"/>
          <cell r="D9"/>
          <cell r="E9"/>
          <cell r="F9"/>
          <cell r="G9"/>
          <cell r="H9"/>
          <cell r="I9"/>
          <cell r="J9"/>
          <cell r="K9">
            <v>0</v>
          </cell>
          <cell r="L9">
            <v>0</v>
          </cell>
          <cell r="M9"/>
          <cell r="N9"/>
          <cell r="O9"/>
        </row>
        <row r="10">
          <cell r="B10"/>
          <cell r="C10"/>
          <cell r="D10"/>
          <cell r="E10"/>
          <cell r="F10"/>
          <cell r="G10"/>
          <cell r="H10"/>
          <cell r="I10"/>
          <cell r="J10"/>
          <cell r="K10">
            <v>0</v>
          </cell>
          <cell r="L10">
            <v>0</v>
          </cell>
          <cell r="M10"/>
          <cell r="N10"/>
          <cell r="O10"/>
        </row>
        <row r="11">
          <cell r="B11"/>
          <cell r="C11"/>
          <cell r="D11"/>
          <cell r="E11"/>
          <cell r="F11"/>
          <cell r="G11"/>
          <cell r="H11"/>
          <cell r="I11"/>
          <cell r="J11"/>
          <cell r="K11">
            <v>0</v>
          </cell>
          <cell r="L11">
            <v>0</v>
          </cell>
          <cell r="M11"/>
          <cell r="N11"/>
          <cell r="O11"/>
        </row>
        <row r="12">
          <cell r="B12"/>
          <cell r="C12"/>
          <cell r="D12"/>
          <cell r="E12"/>
          <cell r="F12"/>
          <cell r="G12"/>
          <cell r="H12"/>
          <cell r="I12"/>
          <cell r="J12"/>
          <cell r="K12">
            <v>0</v>
          </cell>
          <cell r="L12">
            <v>0</v>
          </cell>
          <cell r="M12"/>
          <cell r="N12"/>
          <cell r="O12"/>
        </row>
        <row r="13">
          <cell r="B13"/>
          <cell r="C13"/>
          <cell r="D13"/>
          <cell r="E13"/>
          <cell r="F13"/>
          <cell r="G13"/>
          <cell r="H13"/>
          <cell r="I13"/>
          <cell r="J13"/>
          <cell r="K13">
            <v>0</v>
          </cell>
          <cell r="L13">
            <v>0</v>
          </cell>
          <cell r="M13"/>
          <cell r="N13"/>
          <cell r="O13"/>
        </row>
        <row r="14">
          <cell r="B14"/>
          <cell r="C14"/>
          <cell r="D14"/>
          <cell r="E14"/>
          <cell r="F14"/>
          <cell r="G14"/>
          <cell r="H14"/>
          <cell r="I14"/>
          <cell r="J14"/>
          <cell r="K14">
            <v>0</v>
          </cell>
          <cell r="L14">
            <v>0</v>
          </cell>
          <cell r="M14"/>
          <cell r="N14"/>
          <cell r="O14"/>
        </row>
        <row r="15">
          <cell r="B15"/>
          <cell r="C15"/>
          <cell r="D15"/>
          <cell r="E15"/>
          <cell r="F15"/>
          <cell r="G15"/>
          <cell r="H15"/>
          <cell r="I15"/>
          <cell r="J15"/>
          <cell r="K15">
            <v>0</v>
          </cell>
          <cell r="L15">
            <v>0</v>
          </cell>
          <cell r="M15"/>
          <cell r="N15"/>
          <cell r="O15"/>
        </row>
        <row r="16">
          <cell r="B16"/>
          <cell r="C16"/>
          <cell r="D16"/>
          <cell r="E16"/>
          <cell r="F16"/>
          <cell r="G16"/>
          <cell r="H16"/>
          <cell r="I16"/>
          <cell r="J16"/>
          <cell r="K16">
            <v>0</v>
          </cell>
          <cell r="L16">
            <v>0</v>
          </cell>
          <cell r="M16"/>
          <cell r="N16"/>
          <cell r="O16"/>
        </row>
        <row r="17">
          <cell r="B17"/>
          <cell r="C17"/>
          <cell r="D17"/>
          <cell r="E17"/>
          <cell r="F17"/>
          <cell r="G17"/>
          <cell r="H17"/>
          <cell r="I17"/>
          <cell r="J17"/>
          <cell r="K17">
            <v>0</v>
          </cell>
          <cell r="L17">
            <v>0</v>
          </cell>
          <cell r="M17"/>
          <cell r="N17"/>
          <cell r="O17"/>
        </row>
        <row r="18">
          <cell r="B18"/>
          <cell r="C18"/>
          <cell r="D18"/>
          <cell r="E18"/>
          <cell r="F18"/>
          <cell r="G18"/>
          <cell r="H18"/>
          <cell r="I18"/>
          <cell r="J18"/>
          <cell r="K18">
            <v>0</v>
          </cell>
          <cell r="L18">
            <v>0</v>
          </cell>
          <cell r="M18"/>
          <cell r="N18"/>
          <cell r="O18"/>
        </row>
        <row r="19">
          <cell r="B19"/>
          <cell r="C19"/>
          <cell r="D19"/>
          <cell r="E19"/>
          <cell r="F19"/>
          <cell r="G19"/>
          <cell r="H19"/>
          <cell r="I19"/>
          <cell r="J19"/>
          <cell r="K19">
            <v>0</v>
          </cell>
          <cell r="L19">
            <v>0</v>
          </cell>
          <cell r="M19"/>
          <cell r="N19"/>
          <cell r="O19"/>
        </row>
        <row r="20">
          <cell r="B20"/>
          <cell r="C20"/>
          <cell r="D20"/>
          <cell r="E20"/>
          <cell r="F20"/>
          <cell r="G20"/>
          <cell r="H20"/>
          <cell r="I20"/>
          <cell r="J20"/>
          <cell r="K20">
            <v>0</v>
          </cell>
          <cell r="L20">
            <v>0</v>
          </cell>
          <cell r="M20"/>
          <cell r="N20"/>
          <cell r="O20"/>
        </row>
        <row r="21">
          <cell r="B21"/>
          <cell r="C21"/>
          <cell r="D21"/>
          <cell r="E21"/>
          <cell r="F21"/>
          <cell r="G21"/>
          <cell r="H21"/>
          <cell r="I21"/>
          <cell r="J21"/>
          <cell r="K21">
            <v>0</v>
          </cell>
          <cell r="L21">
            <v>0</v>
          </cell>
          <cell r="M21"/>
          <cell r="N21"/>
          <cell r="O21"/>
        </row>
        <row r="22">
          <cell r="B22"/>
          <cell r="C22"/>
          <cell r="D22"/>
          <cell r="E22"/>
          <cell r="F22"/>
          <cell r="G22"/>
          <cell r="H22"/>
          <cell r="I22"/>
          <cell r="J22"/>
          <cell r="K22">
            <v>0</v>
          </cell>
          <cell r="L22">
            <v>0</v>
          </cell>
          <cell r="M22"/>
          <cell r="N22"/>
          <cell r="O22"/>
        </row>
        <row r="23">
          <cell r="B23"/>
          <cell r="C23"/>
          <cell r="D23"/>
          <cell r="E23"/>
          <cell r="F23"/>
          <cell r="G23"/>
          <cell r="H23"/>
          <cell r="I23"/>
          <cell r="J23"/>
          <cell r="K23">
            <v>0</v>
          </cell>
          <cell r="L23">
            <v>0</v>
          </cell>
          <cell r="M23"/>
          <cell r="N23"/>
          <cell r="O23"/>
        </row>
        <row r="24">
          <cell r="B24"/>
          <cell r="C24"/>
          <cell r="D24"/>
          <cell r="E24"/>
          <cell r="F24"/>
          <cell r="G24"/>
          <cell r="H24"/>
          <cell r="I24"/>
          <cell r="J24"/>
          <cell r="K24">
            <v>0</v>
          </cell>
          <cell r="L24">
            <v>0</v>
          </cell>
          <cell r="M24"/>
          <cell r="N24"/>
          <cell r="O24"/>
        </row>
        <row r="25">
          <cell r="B25"/>
          <cell r="C25"/>
          <cell r="D25"/>
          <cell r="E25"/>
          <cell r="F25"/>
          <cell r="G25"/>
          <cell r="H25"/>
          <cell r="I25"/>
          <cell r="J25"/>
          <cell r="K25">
            <v>0</v>
          </cell>
          <cell r="L25">
            <v>0</v>
          </cell>
          <cell r="M25"/>
          <cell r="N25"/>
          <cell r="O25"/>
        </row>
        <row r="26">
          <cell r="B26"/>
          <cell r="C26"/>
          <cell r="D26"/>
          <cell r="E26"/>
          <cell r="F26"/>
          <cell r="G26"/>
          <cell r="H26"/>
          <cell r="I26"/>
          <cell r="J26"/>
          <cell r="K26">
            <v>0</v>
          </cell>
          <cell r="L26">
            <v>0</v>
          </cell>
          <cell r="M26"/>
          <cell r="N26"/>
          <cell r="O26"/>
        </row>
        <row r="27">
          <cell r="B27"/>
          <cell r="C27"/>
          <cell r="D27"/>
          <cell r="E27"/>
          <cell r="F27"/>
          <cell r="G27"/>
          <cell r="H27"/>
          <cell r="I27"/>
          <cell r="J27"/>
          <cell r="K27">
            <v>0</v>
          </cell>
          <cell r="L27">
            <v>0</v>
          </cell>
          <cell r="M27"/>
          <cell r="N27"/>
          <cell r="O27"/>
        </row>
        <row r="28">
          <cell r="B28"/>
          <cell r="C28"/>
          <cell r="D28"/>
          <cell r="E28"/>
          <cell r="F28"/>
          <cell r="G28"/>
          <cell r="H28"/>
          <cell r="I28"/>
          <cell r="J28"/>
          <cell r="K28">
            <v>0</v>
          </cell>
          <cell r="L28">
            <v>0</v>
          </cell>
          <cell r="M28"/>
          <cell r="N28"/>
          <cell r="O28"/>
        </row>
        <row r="29">
          <cell r="B29"/>
          <cell r="C29"/>
          <cell r="D29"/>
          <cell r="E29"/>
          <cell r="F29"/>
          <cell r="G29"/>
          <cell r="H29"/>
          <cell r="I29"/>
          <cell r="J29"/>
          <cell r="K29">
            <v>0</v>
          </cell>
          <cell r="L29">
            <v>0</v>
          </cell>
          <cell r="M29"/>
          <cell r="N29"/>
          <cell r="O29"/>
        </row>
        <row r="30">
          <cell r="B30"/>
          <cell r="C30"/>
          <cell r="D30"/>
          <cell r="E30"/>
          <cell r="F30"/>
          <cell r="G30"/>
          <cell r="H30"/>
          <cell r="I30"/>
          <cell r="J30"/>
          <cell r="K30">
            <v>0</v>
          </cell>
          <cell r="L30">
            <v>0</v>
          </cell>
          <cell r="M30"/>
          <cell r="N30"/>
          <cell r="O30"/>
        </row>
        <row r="31">
          <cell r="B31"/>
          <cell r="C31"/>
          <cell r="D31"/>
          <cell r="E31"/>
          <cell r="F31"/>
          <cell r="G31"/>
          <cell r="H31"/>
          <cell r="I31"/>
          <cell r="J31"/>
          <cell r="K31">
            <v>0</v>
          </cell>
          <cell r="L31">
            <v>0</v>
          </cell>
          <cell r="M31"/>
          <cell r="N31"/>
          <cell r="O31"/>
        </row>
        <row r="32">
          <cell r="B32"/>
          <cell r="C32"/>
          <cell r="D32"/>
          <cell r="E32"/>
          <cell r="F32"/>
          <cell r="G32"/>
          <cell r="H32"/>
          <cell r="I32"/>
          <cell r="J32"/>
          <cell r="K32">
            <v>0</v>
          </cell>
          <cell r="L32">
            <v>0</v>
          </cell>
          <cell r="M32"/>
          <cell r="N32"/>
          <cell r="O32"/>
        </row>
        <row r="33">
          <cell r="B33"/>
          <cell r="C33"/>
          <cell r="D33"/>
          <cell r="E33"/>
          <cell r="F33"/>
          <cell r="G33"/>
          <cell r="H33"/>
          <cell r="I33"/>
          <cell r="J33"/>
          <cell r="K33">
            <v>0</v>
          </cell>
          <cell r="L33">
            <v>0</v>
          </cell>
          <cell r="M33"/>
          <cell r="N33"/>
          <cell r="O33"/>
        </row>
        <row r="34">
          <cell r="B34"/>
          <cell r="C34"/>
          <cell r="D34"/>
          <cell r="E34"/>
          <cell r="F34"/>
          <cell r="G34"/>
          <cell r="H34"/>
          <cell r="I34"/>
          <cell r="J34"/>
          <cell r="K34">
            <v>0</v>
          </cell>
          <cell r="L34">
            <v>0</v>
          </cell>
          <cell r="M34"/>
          <cell r="N34"/>
          <cell r="O34"/>
        </row>
        <row r="35">
          <cell r="B35"/>
          <cell r="C35"/>
          <cell r="D35"/>
          <cell r="E35"/>
          <cell r="F35"/>
          <cell r="G35"/>
          <cell r="H35"/>
          <cell r="I35"/>
          <cell r="J35"/>
          <cell r="K35">
            <v>0</v>
          </cell>
          <cell r="L35">
            <v>0</v>
          </cell>
          <cell r="M35"/>
          <cell r="N35"/>
          <cell r="O35"/>
        </row>
        <row r="36">
          <cell r="B36"/>
          <cell r="C36"/>
          <cell r="D36"/>
          <cell r="E36"/>
          <cell r="F36"/>
          <cell r="G36"/>
          <cell r="H36"/>
          <cell r="I36"/>
          <cell r="J36"/>
          <cell r="K36">
            <v>0</v>
          </cell>
          <cell r="L36">
            <v>0</v>
          </cell>
          <cell r="M36"/>
          <cell r="N36"/>
          <cell r="O36"/>
        </row>
        <row r="37">
          <cell r="B37"/>
          <cell r="C37"/>
          <cell r="D37"/>
          <cell r="E37"/>
          <cell r="F37"/>
          <cell r="G37"/>
          <cell r="H37"/>
          <cell r="I37"/>
          <cell r="J37"/>
          <cell r="K37">
            <v>0</v>
          </cell>
          <cell r="L37">
            <v>0</v>
          </cell>
          <cell r="M37"/>
          <cell r="N37"/>
          <cell r="O37"/>
        </row>
        <row r="38">
          <cell r="B38"/>
          <cell r="C38"/>
          <cell r="D38"/>
          <cell r="E38"/>
          <cell r="F38"/>
          <cell r="G38"/>
          <cell r="H38"/>
          <cell r="I38"/>
          <cell r="J38"/>
          <cell r="K38">
            <v>0</v>
          </cell>
          <cell r="L38">
            <v>0</v>
          </cell>
          <cell r="M38"/>
          <cell r="N38"/>
          <cell r="O38"/>
        </row>
        <row r="39">
          <cell r="B39"/>
          <cell r="C39"/>
          <cell r="D39"/>
          <cell r="E39"/>
          <cell r="F39"/>
          <cell r="G39"/>
          <cell r="H39"/>
          <cell r="I39"/>
          <cell r="J39"/>
          <cell r="K39">
            <v>0</v>
          </cell>
          <cell r="L39">
            <v>0</v>
          </cell>
          <cell r="M39"/>
          <cell r="N39"/>
          <cell r="O39"/>
        </row>
        <row r="40">
          <cell r="B40"/>
          <cell r="C40"/>
          <cell r="D40"/>
          <cell r="E40"/>
          <cell r="F40"/>
          <cell r="G40"/>
          <cell r="H40"/>
          <cell r="I40"/>
          <cell r="J40"/>
          <cell r="K40">
            <v>0</v>
          </cell>
          <cell r="L40">
            <v>0</v>
          </cell>
          <cell r="M40"/>
          <cell r="N40"/>
          <cell r="O40"/>
        </row>
        <row r="41">
          <cell r="B41"/>
          <cell r="C41"/>
          <cell r="D41"/>
          <cell r="E41"/>
          <cell r="F41"/>
          <cell r="G41"/>
          <cell r="H41"/>
          <cell r="I41"/>
          <cell r="J41"/>
          <cell r="K41">
            <v>0</v>
          </cell>
          <cell r="L41">
            <v>0</v>
          </cell>
          <cell r="M41"/>
          <cell r="N41"/>
          <cell r="O41"/>
        </row>
        <row r="42">
          <cell r="B42"/>
          <cell r="C42"/>
          <cell r="D42"/>
          <cell r="E42"/>
          <cell r="F42"/>
          <cell r="G42"/>
          <cell r="H42"/>
          <cell r="I42"/>
          <cell r="J42"/>
          <cell r="K42">
            <v>0</v>
          </cell>
          <cell r="L42">
            <v>0</v>
          </cell>
          <cell r="M42"/>
          <cell r="N42"/>
          <cell r="O42"/>
        </row>
        <row r="43">
          <cell r="B43"/>
          <cell r="C43"/>
          <cell r="D43"/>
          <cell r="E43"/>
          <cell r="F43"/>
          <cell r="G43"/>
          <cell r="H43"/>
          <cell r="I43"/>
          <cell r="J43"/>
          <cell r="K43">
            <v>0</v>
          </cell>
          <cell r="L43">
            <v>0</v>
          </cell>
          <cell r="M43"/>
          <cell r="N43"/>
          <cell r="O43"/>
        </row>
        <row r="44">
          <cell r="B44"/>
          <cell r="C44"/>
          <cell r="D44"/>
          <cell r="E44"/>
          <cell r="F44"/>
          <cell r="G44"/>
          <cell r="H44"/>
          <cell r="I44"/>
          <cell r="J44"/>
          <cell r="K44">
            <v>0</v>
          </cell>
          <cell r="L44">
            <v>0</v>
          </cell>
          <cell r="M44"/>
          <cell r="N44"/>
          <cell r="O44"/>
        </row>
        <row r="45">
          <cell r="B45"/>
          <cell r="C45"/>
          <cell r="D45"/>
          <cell r="E45"/>
          <cell r="F45"/>
          <cell r="G45"/>
          <cell r="H45"/>
          <cell r="I45"/>
          <cell r="J45"/>
          <cell r="K45">
            <v>0</v>
          </cell>
          <cell r="L45">
            <v>0</v>
          </cell>
          <cell r="M45"/>
          <cell r="N45"/>
          <cell r="O45"/>
        </row>
        <row r="46">
          <cell r="B46"/>
          <cell r="C46"/>
          <cell r="D46"/>
          <cell r="E46"/>
          <cell r="F46"/>
          <cell r="G46"/>
          <cell r="H46"/>
          <cell r="I46"/>
          <cell r="J46"/>
          <cell r="K46">
            <v>0</v>
          </cell>
          <cell r="L46">
            <v>0</v>
          </cell>
          <cell r="M46"/>
          <cell r="N46"/>
          <cell r="O46"/>
        </row>
        <row r="47">
          <cell r="B47"/>
          <cell r="C47"/>
          <cell r="D47"/>
          <cell r="E47"/>
          <cell r="F47"/>
          <cell r="G47"/>
          <cell r="H47"/>
          <cell r="I47"/>
          <cell r="J47"/>
          <cell r="K47">
            <v>0</v>
          </cell>
          <cell r="L47">
            <v>0</v>
          </cell>
          <cell r="M47"/>
          <cell r="N47"/>
          <cell r="O47"/>
        </row>
        <row r="48">
          <cell r="B48"/>
          <cell r="C48"/>
          <cell r="D48"/>
          <cell r="E48"/>
          <cell r="F48"/>
          <cell r="G48"/>
          <cell r="H48"/>
          <cell r="I48"/>
          <cell r="J48"/>
          <cell r="K48">
            <v>0</v>
          </cell>
          <cell r="L48">
            <v>0</v>
          </cell>
          <cell r="M48"/>
          <cell r="N48"/>
          <cell r="O48"/>
        </row>
        <row r="49">
          <cell r="B49"/>
          <cell r="C49"/>
          <cell r="D49"/>
          <cell r="E49"/>
          <cell r="F49"/>
          <cell r="G49"/>
          <cell r="H49"/>
          <cell r="I49"/>
          <cell r="J49"/>
          <cell r="K49">
            <v>0</v>
          </cell>
          <cell r="L49">
            <v>0</v>
          </cell>
          <cell r="M49"/>
          <cell r="N49"/>
          <cell r="O49"/>
        </row>
        <row r="50">
          <cell r="B50"/>
          <cell r="C50"/>
          <cell r="D50"/>
          <cell r="E50"/>
          <cell r="F50"/>
          <cell r="G50"/>
          <cell r="H50"/>
          <cell r="I50"/>
          <cell r="J50"/>
          <cell r="K50">
            <v>0</v>
          </cell>
          <cell r="L50">
            <v>0</v>
          </cell>
          <cell r="M50"/>
          <cell r="N50"/>
          <cell r="O50"/>
        </row>
        <row r="51">
          <cell r="B51"/>
          <cell r="C51"/>
          <cell r="D51"/>
          <cell r="E51"/>
          <cell r="F51"/>
          <cell r="G51"/>
          <cell r="H51"/>
          <cell r="I51"/>
          <cell r="J51"/>
          <cell r="K51">
            <v>0</v>
          </cell>
          <cell r="L51">
            <v>0</v>
          </cell>
          <cell r="M51"/>
          <cell r="N51"/>
          <cell r="O51"/>
        </row>
        <row r="52">
          <cell r="B52"/>
          <cell r="C52"/>
          <cell r="D52"/>
          <cell r="E52"/>
          <cell r="F52"/>
          <cell r="G52"/>
          <cell r="H52"/>
          <cell r="I52"/>
          <cell r="J52"/>
          <cell r="K52">
            <v>0</v>
          </cell>
          <cell r="L52">
            <v>0</v>
          </cell>
          <cell r="M52"/>
          <cell r="N52"/>
          <cell r="O52"/>
        </row>
        <row r="53">
          <cell r="B53"/>
          <cell r="C53"/>
          <cell r="D53"/>
          <cell r="E53"/>
          <cell r="F53"/>
          <cell r="G53"/>
          <cell r="H53"/>
          <cell r="I53"/>
          <cell r="J53"/>
          <cell r="K53">
            <v>0</v>
          </cell>
          <cell r="L53">
            <v>0</v>
          </cell>
          <cell r="M53"/>
          <cell r="N53"/>
          <cell r="O53"/>
        </row>
        <row r="54">
          <cell r="B54"/>
          <cell r="C54"/>
          <cell r="D54"/>
          <cell r="E54"/>
          <cell r="F54"/>
          <cell r="G54"/>
          <cell r="H54"/>
          <cell r="I54"/>
          <cell r="J54"/>
          <cell r="K54">
            <v>0</v>
          </cell>
          <cell r="L54">
            <v>0</v>
          </cell>
          <cell r="M54"/>
          <cell r="N54"/>
          <cell r="O54"/>
        </row>
        <row r="55">
          <cell r="B55"/>
          <cell r="C55"/>
          <cell r="D55"/>
          <cell r="E55"/>
          <cell r="F55"/>
          <cell r="G55"/>
          <cell r="H55"/>
          <cell r="I55"/>
          <cell r="J55"/>
          <cell r="K55">
            <v>0</v>
          </cell>
          <cell r="L55">
            <v>0</v>
          </cell>
          <cell r="M55"/>
          <cell r="N55"/>
          <cell r="O55"/>
        </row>
        <row r="56">
          <cell r="B56"/>
          <cell r="C56"/>
          <cell r="D56"/>
          <cell r="E56"/>
          <cell r="F56"/>
          <cell r="G56"/>
          <cell r="H56"/>
          <cell r="I56"/>
          <cell r="J56"/>
          <cell r="K56">
            <v>0</v>
          </cell>
          <cell r="L56">
            <v>0</v>
          </cell>
          <cell r="M56"/>
          <cell r="N56"/>
          <cell r="O56"/>
        </row>
        <row r="57">
          <cell r="B57"/>
          <cell r="C57"/>
          <cell r="D57"/>
          <cell r="E57"/>
          <cell r="F57"/>
          <cell r="G57"/>
          <cell r="H57"/>
          <cell r="I57"/>
          <cell r="J57"/>
          <cell r="K57">
            <v>0</v>
          </cell>
          <cell r="L57">
            <v>0</v>
          </cell>
          <cell r="M57"/>
          <cell r="N57"/>
          <cell r="O57"/>
        </row>
        <row r="58">
          <cell r="B58"/>
          <cell r="C58"/>
          <cell r="D58"/>
          <cell r="E58"/>
          <cell r="F58"/>
          <cell r="G58"/>
          <cell r="H58"/>
          <cell r="I58"/>
          <cell r="J58"/>
          <cell r="K58">
            <v>0</v>
          </cell>
          <cell r="L58">
            <v>0</v>
          </cell>
          <cell r="M58"/>
          <cell r="N58"/>
          <cell r="O58"/>
        </row>
        <row r="59">
          <cell r="B59"/>
          <cell r="C59"/>
          <cell r="D59"/>
          <cell r="E59"/>
          <cell r="F59"/>
          <cell r="G59"/>
          <cell r="H59"/>
          <cell r="I59"/>
          <cell r="J59"/>
          <cell r="K59">
            <v>0</v>
          </cell>
          <cell r="L59">
            <v>0</v>
          </cell>
          <cell r="M59"/>
          <cell r="N59"/>
          <cell r="O59"/>
        </row>
        <row r="60">
          <cell r="B60"/>
          <cell r="C60"/>
          <cell r="D60"/>
          <cell r="E60"/>
          <cell r="F60"/>
          <cell r="G60"/>
          <cell r="H60"/>
          <cell r="I60"/>
          <cell r="J60"/>
          <cell r="K60">
            <v>0</v>
          </cell>
          <cell r="L60">
            <v>0</v>
          </cell>
          <cell r="M60"/>
          <cell r="N60"/>
          <cell r="O60"/>
        </row>
        <row r="61">
          <cell r="B61"/>
          <cell r="C61"/>
          <cell r="D61"/>
          <cell r="E61"/>
          <cell r="F61"/>
          <cell r="G61"/>
          <cell r="H61"/>
          <cell r="I61"/>
          <cell r="J61"/>
          <cell r="K61">
            <v>0</v>
          </cell>
          <cell r="L61">
            <v>0</v>
          </cell>
          <cell r="M61"/>
          <cell r="N61"/>
          <cell r="O61"/>
        </row>
        <row r="62">
          <cell r="B62"/>
          <cell r="C62"/>
          <cell r="D62"/>
          <cell r="E62"/>
          <cell r="F62"/>
          <cell r="G62"/>
          <cell r="H62"/>
          <cell r="I62"/>
          <cell r="J62"/>
          <cell r="K62">
            <v>0</v>
          </cell>
          <cell r="L62">
            <v>0</v>
          </cell>
          <cell r="M62"/>
          <cell r="N62"/>
          <cell r="O62"/>
        </row>
        <row r="63">
          <cell r="B63"/>
          <cell r="C63"/>
          <cell r="D63"/>
          <cell r="E63"/>
          <cell r="F63"/>
          <cell r="G63"/>
          <cell r="H63"/>
          <cell r="I63"/>
          <cell r="J63"/>
          <cell r="K63">
            <v>0</v>
          </cell>
          <cell r="L63">
            <v>0</v>
          </cell>
          <cell r="M63"/>
          <cell r="N63"/>
          <cell r="O63"/>
        </row>
        <row r="64">
          <cell r="B64"/>
          <cell r="C64"/>
          <cell r="D64"/>
          <cell r="E64"/>
          <cell r="F64"/>
          <cell r="G64"/>
          <cell r="H64"/>
          <cell r="I64"/>
          <cell r="J64"/>
          <cell r="K64">
            <v>0</v>
          </cell>
          <cell r="L64">
            <v>0</v>
          </cell>
          <cell r="M64"/>
          <cell r="N64"/>
          <cell r="O64"/>
        </row>
        <row r="65">
          <cell r="B65"/>
          <cell r="C65"/>
          <cell r="D65"/>
          <cell r="E65"/>
          <cell r="F65"/>
          <cell r="G65"/>
          <cell r="H65"/>
          <cell r="I65"/>
          <cell r="J65"/>
          <cell r="K65">
            <v>0</v>
          </cell>
          <cell r="L65">
            <v>0</v>
          </cell>
          <cell r="M65"/>
          <cell r="N65"/>
          <cell r="O65"/>
        </row>
        <row r="66">
          <cell r="B66"/>
          <cell r="C66"/>
          <cell r="D66"/>
          <cell r="E66"/>
          <cell r="F66"/>
          <cell r="G66"/>
          <cell r="H66"/>
          <cell r="I66"/>
          <cell r="J66"/>
          <cell r="K66">
            <v>0</v>
          </cell>
          <cell r="L66">
            <v>0</v>
          </cell>
          <cell r="M66"/>
          <cell r="N66"/>
          <cell r="O66"/>
        </row>
        <row r="67">
          <cell r="B67"/>
          <cell r="C67"/>
          <cell r="D67"/>
          <cell r="E67"/>
          <cell r="F67"/>
          <cell r="G67"/>
          <cell r="H67"/>
          <cell r="I67"/>
          <cell r="J67"/>
          <cell r="K67">
            <v>0</v>
          </cell>
          <cell r="L67">
            <v>0</v>
          </cell>
          <cell r="M67"/>
          <cell r="N67"/>
          <cell r="O67"/>
        </row>
        <row r="68">
          <cell r="B68"/>
          <cell r="C68"/>
          <cell r="D68"/>
          <cell r="E68"/>
          <cell r="F68"/>
          <cell r="G68"/>
          <cell r="H68"/>
          <cell r="I68"/>
          <cell r="J68"/>
          <cell r="K68">
            <v>0</v>
          </cell>
          <cell r="L68">
            <v>0</v>
          </cell>
          <cell r="M68"/>
          <cell r="N68"/>
          <cell r="O68"/>
        </row>
        <row r="69">
          <cell r="B69"/>
          <cell r="C69"/>
          <cell r="D69"/>
          <cell r="E69"/>
          <cell r="F69"/>
          <cell r="G69"/>
          <cell r="H69"/>
          <cell r="I69"/>
          <cell r="J69"/>
          <cell r="K69">
            <v>0</v>
          </cell>
          <cell r="L69">
            <v>0</v>
          </cell>
          <cell r="M69"/>
          <cell r="N69"/>
          <cell r="O69"/>
        </row>
        <row r="70">
          <cell r="B70"/>
          <cell r="C70"/>
          <cell r="D70"/>
          <cell r="E70"/>
          <cell r="F70"/>
          <cell r="G70"/>
          <cell r="H70"/>
          <cell r="I70"/>
          <cell r="J70"/>
          <cell r="K70">
            <v>0</v>
          </cell>
          <cell r="L70">
            <v>0</v>
          </cell>
          <cell r="M70"/>
          <cell r="N70"/>
          <cell r="O70"/>
        </row>
        <row r="71">
          <cell r="B71"/>
          <cell r="C71"/>
          <cell r="D71"/>
          <cell r="E71"/>
          <cell r="F71"/>
          <cell r="G71"/>
          <cell r="H71"/>
          <cell r="I71"/>
          <cell r="J71"/>
          <cell r="K71">
            <v>0</v>
          </cell>
          <cell r="L71">
            <v>0</v>
          </cell>
          <cell r="M71"/>
          <cell r="N71"/>
          <cell r="O71"/>
        </row>
        <row r="72">
          <cell r="B72"/>
          <cell r="C72"/>
          <cell r="D72"/>
          <cell r="E72"/>
          <cell r="F72"/>
          <cell r="G72"/>
          <cell r="H72"/>
          <cell r="I72"/>
          <cell r="J72"/>
          <cell r="K72">
            <v>0</v>
          </cell>
          <cell r="L72">
            <v>0</v>
          </cell>
          <cell r="M72"/>
          <cell r="N72"/>
          <cell r="O72"/>
        </row>
        <row r="73">
          <cell r="B73"/>
          <cell r="C73"/>
          <cell r="D73"/>
          <cell r="E73"/>
          <cell r="F73"/>
          <cell r="G73"/>
          <cell r="H73"/>
          <cell r="I73"/>
          <cell r="J73"/>
          <cell r="K73">
            <v>0</v>
          </cell>
          <cell r="L73">
            <v>0</v>
          </cell>
          <cell r="M73"/>
          <cell r="N73"/>
          <cell r="O73"/>
        </row>
        <row r="74">
          <cell r="B74"/>
          <cell r="C74"/>
          <cell r="D74"/>
          <cell r="E74"/>
          <cell r="F74"/>
          <cell r="G74"/>
          <cell r="H74"/>
          <cell r="I74"/>
          <cell r="J74"/>
          <cell r="K74">
            <v>0</v>
          </cell>
          <cell r="L74">
            <v>0</v>
          </cell>
          <cell r="M74"/>
          <cell r="N74"/>
          <cell r="O74"/>
        </row>
        <row r="75">
          <cell r="B75"/>
          <cell r="C75"/>
          <cell r="D75"/>
          <cell r="E75"/>
          <cell r="F75"/>
          <cell r="G75"/>
          <cell r="H75"/>
          <cell r="I75"/>
          <cell r="J75"/>
          <cell r="K75">
            <v>0</v>
          </cell>
          <cell r="L75">
            <v>0</v>
          </cell>
          <cell r="M75"/>
          <cell r="N75"/>
          <cell r="O75"/>
        </row>
        <row r="76">
          <cell r="B76"/>
          <cell r="C76"/>
          <cell r="D76"/>
          <cell r="E76"/>
          <cell r="F76"/>
          <cell r="G76"/>
          <cell r="H76"/>
          <cell r="I76"/>
          <cell r="J76"/>
          <cell r="K76">
            <v>0</v>
          </cell>
          <cell r="L76">
            <v>0</v>
          </cell>
          <cell r="M76"/>
          <cell r="N76"/>
          <cell r="O76"/>
        </row>
        <row r="77">
          <cell r="B77"/>
          <cell r="C77"/>
          <cell r="D77"/>
          <cell r="E77"/>
          <cell r="F77"/>
          <cell r="G77"/>
          <cell r="H77"/>
          <cell r="I77"/>
          <cell r="J77"/>
          <cell r="K77">
            <v>0</v>
          </cell>
          <cell r="L77">
            <v>0</v>
          </cell>
          <cell r="M77"/>
          <cell r="N77"/>
          <cell r="O77"/>
        </row>
        <row r="78">
          <cell r="B78"/>
          <cell r="C78"/>
          <cell r="D78"/>
          <cell r="E78"/>
          <cell r="F78"/>
          <cell r="G78"/>
          <cell r="H78"/>
          <cell r="I78"/>
          <cell r="J78"/>
          <cell r="K78">
            <v>0</v>
          </cell>
          <cell r="L78">
            <v>0</v>
          </cell>
          <cell r="M78"/>
          <cell r="N78"/>
          <cell r="O78"/>
        </row>
        <row r="79">
          <cell r="B79"/>
          <cell r="C79"/>
          <cell r="D79"/>
          <cell r="E79"/>
          <cell r="F79"/>
          <cell r="G79"/>
          <cell r="H79"/>
          <cell r="I79"/>
          <cell r="J79"/>
          <cell r="K79">
            <v>0</v>
          </cell>
          <cell r="L79">
            <v>0</v>
          </cell>
          <cell r="M79"/>
          <cell r="N79"/>
          <cell r="O79"/>
        </row>
        <row r="80">
          <cell r="B80"/>
          <cell r="C80"/>
          <cell r="D80"/>
          <cell r="E80"/>
          <cell r="F80"/>
          <cell r="G80"/>
          <cell r="H80"/>
          <cell r="I80"/>
          <cell r="J80"/>
          <cell r="K80">
            <v>0</v>
          </cell>
          <cell r="L80">
            <v>0</v>
          </cell>
          <cell r="M80"/>
          <cell r="N80"/>
          <cell r="O80"/>
        </row>
        <row r="81">
          <cell r="B81"/>
          <cell r="C81"/>
          <cell r="D81"/>
          <cell r="E81"/>
          <cell r="F81"/>
          <cell r="G81"/>
          <cell r="H81"/>
          <cell r="I81"/>
          <cell r="J81"/>
          <cell r="K81">
            <v>0</v>
          </cell>
          <cell r="L81">
            <v>0</v>
          </cell>
          <cell r="M81"/>
          <cell r="N81"/>
          <cell r="O81"/>
        </row>
        <row r="82">
          <cell r="B82"/>
          <cell r="C82"/>
          <cell r="D82"/>
          <cell r="E82"/>
          <cell r="F82"/>
          <cell r="G82"/>
          <cell r="H82"/>
          <cell r="I82"/>
          <cell r="J82"/>
          <cell r="K82">
            <v>0</v>
          </cell>
          <cell r="L82">
            <v>0</v>
          </cell>
          <cell r="M82"/>
          <cell r="N82"/>
          <cell r="O82"/>
        </row>
        <row r="83">
          <cell r="B83"/>
          <cell r="C83"/>
          <cell r="D83"/>
          <cell r="E83"/>
          <cell r="F83"/>
          <cell r="G83"/>
          <cell r="H83"/>
          <cell r="I83"/>
          <cell r="J83"/>
          <cell r="K83">
            <v>0</v>
          </cell>
          <cell r="L83">
            <v>0</v>
          </cell>
          <cell r="M83"/>
          <cell r="N83"/>
          <cell r="O83"/>
        </row>
        <row r="84">
          <cell r="B84"/>
          <cell r="C84"/>
          <cell r="D84"/>
          <cell r="E84"/>
          <cell r="F84"/>
          <cell r="G84"/>
          <cell r="H84"/>
          <cell r="I84"/>
          <cell r="J84"/>
          <cell r="K84">
            <v>0</v>
          </cell>
          <cell r="L84">
            <v>0</v>
          </cell>
          <cell r="M84"/>
          <cell r="N84"/>
          <cell r="O84"/>
        </row>
        <row r="85">
          <cell r="B85"/>
          <cell r="C85"/>
          <cell r="D85"/>
          <cell r="E85"/>
          <cell r="F85"/>
          <cell r="G85"/>
          <cell r="H85"/>
          <cell r="I85"/>
          <cell r="J85"/>
          <cell r="K85">
            <v>0</v>
          </cell>
          <cell r="L85">
            <v>0</v>
          </cell>
          <cell r="M85"/>
          <cell r="N85"/>
          <cell r="O85"/>
        </row>
        <row r="86">
          <cell r="B86"/>
          <cell r="C86"/>
          <cell r="D86"/>
          <cell r="E86"/>
          <cell r="F86"/>
          <cell r="G86"/>
          <cell r="H86"/>
          <cell r="I86"/>
          <cell r="J86"/>
          <cell r="K86">
            <v>0</v>
          </cell>
          <cell r="L86">
            <v>0</v>
          </cell>
          <cell r="M86"/>
          <cell r="N86"/>
          <cell r="O86"/>
        </row>
        <row r="87">
          <cell r="B87"/>
          <cell r="C87"/>
          <cell r="D87"/>
          <cell r="E87"/>
          <cell r="F87"/>
          <cell r="G87"/>
          <cell r="H87"/>
          <cell r="I87"/>
          <cell r="J87"/>
          <cell r="K87">
            <v>0</v>
          </cell>
          <cell r="L87">
            <v>0</v>
          </cell>
          <cell r="M87"/>
          <cell r="N87"/>
          <cell r="O87"/>
        </row>
        <row r="88">
          <cell r="B88"/>
          <cell r="C88"/>
          <cell r="D88"/>
          <cell r="E88"/>
          <cell r="F88"/>
          <cell r="G88"/>
          <cell r="H88"/>
          <cell r="I88"/>
          <cell r="J88"/>
          <cell r="K88">
            <v>0</v>
          </cell>
          <cell r="L88">
            <v>0</v>
          </cell>
          <cell r="M88"/>
          <cell r="N88"/>
          <cell r="O88"/>
        </row>
        <row r="89">
          <cell r="B89"/>
          <cell r="C89"/>
          <cell r="D89"/>
          <cell r="E89"/>
          <cell r="F89"/>
          <cell r="G89"/>
          <cell r="H89"/>
          <cell r="I89"/>
          <cell r="J89"/>
          <cell r="K89">
            <v>0</v>
          </cell>
          <cell r="L89">
            <v>0</v>
          </cell>
          <cell r="M89"/>
          <cell r="N89"/>
          <cell r="O89"/>
        </row>
        <row r="90">
          <cell r="B90"/>
          <cell r="C90"/>
          <cell r="D90"/>
          <cell r="E90"/>
          <cell r="F90"/>
          <cell r="G90"/>
          <cell r="H90"/>
          <cell r="I90"/>
          <cell r="J90"/>
          <cell r="K90">
            <v>0</v>
          </cell>
          <cell r="L90">
            <v>0</v>
          </cell>
          <cell r="M90"/>
          <cell r="N90"/>
          <cell r="O90"/>
        </row>
        <row r="91">
          <cell r="B91"/>
          <cell r="C91"/>
          <cell r="D91"/>
          <cell r="E91"/>
          <cell r="F91"/>
          <cell r="G91"/>
          <cell r="H91"/>
          <cell r="I91"/>
          <cell r="J91"/>
          <cell r="K91">
            <v>0</v>
          </cell>
          <cell r="L91">
            <v>0</v>
          </cell>
          <cell r="M91"/>
          <cell r="N91"/>
          <cell r="O91"/>
        </row>
        <row r="92">
          <cell r="B92"/>
          <cell r="C92"/>
          <cell r="D92"/>
          <cell r="E92"/>
          <cell r="F92"/>
          <cell r="G92"/>
          <cell r="H92"/>
          <cell r="I92"/>
          <cell r="J92"/>
          <cell r="K92">
            <v>0</v>
          </cell>
          <cell r="L92">
            <v>0</v>
          </cell>
          <cell r="M92"/>
          <cell r="N92"/>
          <cell r="O92"/>
        </row>
        <row r="93">
          <cell r="B93"/>
          <cell r="C93"/>
          <cell r="D93"/>
          <cell r="E93"/>
          <cell r="F93"/>
          <cell r="G93"/>
          <cell r="H93"/>
          <cell r="I93"/>
          <cell r="J93"/>
          <cell r="K93">
            <v>0</v>
          </cell>
          <cell r="L93">
            <v>0</v>
          </cell>
          <cell r="M93"/>
          <cell r="N93"/>
          <cell r="O93"/>
        </row>
        <row r="94">
          <cell r="B94"/>
          <cell r="C94"/>
          <cell r="D94"/>
          <cell r="E94"/>
          <cell r="F94"/>
          <cell r="G94"/>
          <cell r="H94"/>
          <cell r="I94"/>
          <cell r="J94"/>
          <cell r="K94">
            <v>0</v>
          </cell>
          <cell r="L94">
            <v>0</v>
          </cell>
          <cell r="M94"/>
          <cell r="N94"/>
          <cell r="O94"/>
        </row>
        <row r="95">
          <cell r="B95"/>
          <cell r="C95"/>
          <cell r="D95"/>
          <cell r="E95"/>
          <cell r="F95"/>
          <cell r="G95"/>
          <cell r="H95"/>
          <cell r="I95"/>
          <cell r="J95"/>
          <cell r="K95">
            <v>0</v>
          </cell>
          <cell r="L95">
            <v>0</v>
          </cell>
          <cell r="M95"/>
          <cell r="N95"/>
          <cell r="O95"/>
        </row>
        <row r="96">
          <cell r="B96"/>
          <cell r="C96"/>
          <cell r="D96"/>
          <cell r="E96"/>
          <cell r="F96"/>
          <cell r="G96"/>
          <cell r="H96"/>
          <cell r="I96"/>
          <cell r="J96"/>
          <cell r="K96">
            <v>0</v>
          </cell>
          <cell r="L96">
            <v>0</v>
          </cell>
          <cell r="M96"/>
          <cell r="N96"/>
          <cell r="O96"/>
        </row>
        <row r="97">
          <cell r="B97"/>
          <cell r="C97"/>
          <cell r="D97"/>
          <cell r="E97"/>
          <cell r="F97"/>
          <cell r="G97"/>
          <cell r="H97"/>
          <cell r="I97"/>
          <cell r="J97"/>
          <cell r="K97">
            <v>0</v>
          </cell>
          <cell r="L97">
            <v>0</v>
          </cell>
          <cell r="M97"/>
          <cell r="N97"/>
          <cell r="O97"/>
        </row>
        <row r="98">
          <cell r="B98"/>
          <cell r="C98"/>
          <cell r="D98"/>
          <cell r="E98"/>
          <cell r="F98"/>
          <cell r="G98"/>
          <cell r="H98"/>
          <cell r="I98"/>
          <cell r="J98"/>
          <cell r="K98">
            <v>0</v>
          </cell>
          <cell r="L98">
            <v>0</v>
          </cell>
          <cell r="M98"/>
          <cell r="N98"/>
          <cell r="O98"/>
        </row>
        <row r="99">
          <cell r="B99"/>
          <cell r="C99"/>
          <cell r="D99"/>
          <cell r="E99"/>
          <cell r="F99"/>
          <cell r="G99"/>
          <cell r="H99"/>
          <cell r="I99"/>
          <cell r="J99"/>
          <cell r="K99">
            <v>0</v>
          </cell>
          <cell r="L99">
            <v>0</v>
          </cell>
          <cell r="M99"/>
          <cell r="N99"/>
          <cell r="O99"/>
        </row>
        <row r="100">
          <cell r="B100"/>
          <cell r="C100"/>
          <cell r="D100"/>
          <cell r="E100"/>
          <cell r="F100"/>
          <cell r="G100"/>
          <cell r="H100"/>
          <cell r="I100"/>
          <cell r="J100"/>
          <cell r="K100">
            <v>0</v>
          </cell>
          <cell r="L100">
            <v>0</v>
          </cell>
          <cell r="M100"/>
          <cell r="N100"/>
          <cell r="O100"/>
        </row>
        <row r="101">
          <cell r="B101"/>
          <cell r="C101"/>
          <cell r="D101"/>
          <cell r="E101"/>
          <cell r="F101"/>
          <cell r="G101"/>
          <cell r="H101"/>
          <cell r="I101"/>
          <cell r="J101"/>
          <cell r="K101">
            <v>0</v>
          </cell>
          <cell r="L101">
            <v>0</v>
          </cell>
          <cell r="M101"/>
          <cell r="N101"/>
          <cell r="O101"/>
        </row>
        <row r="102">
          <cell r="B102"/>
          <cell r="C102"/>
          <cell r="D102"/>
          <cell r="E102"/>
          <cell r="F102"/>
          <cell r="G102"/>
          <cell r="H102"/>
          <cell r="I102"/>
          <cell r="J102"/>
          <cell r="K102">
            <v>0</v>
          </cell>
          <cell r="L102">
            <v>0</v>
          </cell>
          <cell r="M102"/>
          <cell r="N102"/>
          <cell r="O102"/>
        </row>
        <row r="103">
          <cell r="B103"/>
          <cell r="C103"/>
          <cell r="D103"/>
          <cell r="E103"/>
          <cell r="F103"/>
          <cell r="G103"/>
          <cell r="H103"/>
          <cell r="I103"/>
          <cell r="J103"/>
          <cell r="K103">
            <v>0</v>
          </cell>
          <cell r="L103">
            <v>0</v>
          </cell>
          <cell r="M103"/>
          <cell r="N103"/>
          <cell r="O103"/>
        </row>
        <row r="104">
          <cell r="B104"/>
          <cell r="C104"/>
          <cell r="D104"/>
          <cell r="E104"/>
          <cell r="F104"/>
          <cell r="G104"/>
          <cell r="H104"/>
          <cell r="I104"/>
          <cell r="J104"/>
          <cell r="K104">
            <v>0</v>
          </cell>
          <cell r="L104">
            <v>0</v>
          </cell>
          <cell r="M104"/>
          <cell r="N104"/>
          <cell r="O104"/>
        </row>
        <row r="105">
          <cell r="B105"/>
          <cell r="C105"/>
          <cell r="D105"/>
          <cell r="E105"/>
          <cell r="F105"/>
          <cell r="G105"/>
          <cell r="H105"/>
          <cell r="I105"/>
          <cell r="J105"/>
          <cell r="K105">
            <v>0</v>
          </cell>
          <cell r="L105">
            <v>0</v>
          </cell>
          <cell r="M105"/>
          <cell r="N105"/>
          <cell r="O105"/>
        </row>
        <row r="106">
          <cell r="B106"/>
          <cell r="C106"/>
          <cell r="D106"/>
          <cell r="E106"/>
          <cell r="F106"/>
          <cell r="G106"/>
          <cell r="H106"/>
          <cell r="I106"/>
          <cell r="J106"/>
          <cell r="K106">
            <v>0</v>
          </cell>
          <cell r="L106">
            <v>0</v>
          </cell>
          <cell r="M106"/>
          <cell r="N106"/>
          <cell r="O106"/>
        </row>
        <row r="107">
          <cell r="B107"/>
          <cell r="C107"/>
          <cell r="D107"/>
          <cell r="E107"/>
          <cell r="F107"/>
          <cell r="G107"/>
          <cell r="H107"/>
          <cell r="I107"/>
          <cell r="J107"/>
          <cell r="K107">
            <v>0</v>
          </cell>
          <cell r="L107">
            <v>0</v>
          </cell>
          <cell r="M107"/>
          <cell r="N107"/>
          <cell r="O107"/>
        </row>
        <row r="108">
          <cell r="B108"/>
          <cell r="C108"/>
          <cell r="D108"/>
          <cell r="E108"/>
          <cell r="F108"/>
          <cell r="G108"/>
          <cell r="H108"/>
          <cell r="I108"/>
          <cell r="J108"/>
          <cell r="K108">
            <v>0</v>
          </cell>
          <cell r="L108">
            <v>0</v>
          </cell>
          <cell r="M108"/>
          <cell r="N108"/>
          <cell r="O108"/>
        </row>
        <row r="109">
          <cell r="B109"/>
          <cell r="C109"/>
          <cell r="D109"/>
          <cell r="E109"/>
          <cell r="F109"/>
          <cell r="G109"/>
          <cell r="H109"/>
          <cell r="I109"/>
          <cell r="J109"/>
          <cell r="K109">
            <v>0</v>
          </cell>
          <cell r="L109">
            <v>0</v>
          </cell>
          <cell r="M109"/>
          <cell r="N109"/>
          <cell r="O109"/>
        </row>
        <row r="110">
          <cell r="B110"/>
          <cell r="C110"/>
          <cell r="D110"/>
          <cell r="E110"/>
          <cell r="F110"/>
          <cell r="G110"/>
          <cell r="H110"/>
          <cell r="I110"/>
          <cell r="J110"/>
          <cell r="K110">
            <v>0</v>
          </cell>
          <cell r="L110">
            <v>0</v>
          </cell>
          <cell r="M110"/>
          <cell r="N110"/>
          <cell r="O110"/>
        </row>
        <row r="111">
          <cell r="B111"/>
          <cell r="C111"/>
          <cell r="D111"/>
          <cell r="E111"/>
          <cell r="F111"/>
          <cell r="G111"/>
          <cell r="H111"/>
          <cell r="I111"/>
          <cell r="J111"/>
          <cell r="K111">
            <v>0</v>
          </cell>
          <cell r="L111">
            <v>0</v>
          </cell>
          <cell r="M111"/>
          <cell r="N111"/>
          <cell r="O111"/>
        </row>
        <row r="112">
          <cell r="B112"/>
          <cell r="C112"/>
          <cell r="D112"/>
          <cell r="E112"/>
          <cell r="F112"/>
          <cell r="G112"/>
          <cell r="H112"/>
          <cell r="I112"/>
          <cell r="J112"/>
          <cell r="K112">
            <v>0</v>
          </cell>
          <cell r="L112">
            <v>0</v>
          </cell>
          <cell r="M112"/>
          <cell r="N112"/>
          <cell r="O112"/>
        </row>
        <row r="113">
          <cell r="B113"/>
          <cell r="C113"/>
          <cell r="D113"/>
          <cell r="E113"/>
          <cell r="F113"/>
          <cell r="G113"/>
          <cell r="H113"/>
          <cell r="I113"/>
          <cell r="J113"/>
          <cell r="K113">
            <v>0</v>
          </cell>
          <cell r="L113">
            <v>0</v>
          </cell>
          <cell r="M113"/>
          <cell r="N113"/>
          <cell r="O113"/>
        </row>
        <row r="114">
          <cell r="B114"/>
          <cell r="C114"/>
          <cell r="D114"/>
          <cell r="E114"/>
          <cell r="F114"/>
          <cell r="G114"/>
          <cell r="H114"/>
          <cell r="I114"/>
          <cell r="J114"/>
          <cell r="K114">
            <v>0</v>
          </cell>
          <cell r="L114">
            <v>0</v>
          </cell>
          <cell r="M114"/>
          <cell r="N114"/>
          <cell r="O114"/>
        </row>
        <row r="115">
          <cell r="B115"/>
          <cell r="C115"/>
          <cell r="D115"/>
          <cell r="E115"/>
          <cell r="F115"/>
          <cell r="G115"/>
          <cell r="H115"/>
          <cell r="I115"/>
          <cell r="J115"/>
          <cell r="K115">
            <v>0</v>
          </cell>
          <cell r="L115">
            <v>0</v>
          </cell>
          <cell r="M115"/>
          <cell r="N115"/>
          <cell r="O115"/>
        </row>
        <row r="116">
          <cell r="B116"/>
          <cell r="C116"/>
          <cell r="D116"/>
          <cell r="E116"/>
          <cell r="F116"/>
          <cell r="G116"/>
          <cell r="H116"/>
          <cell r="I116"/>
          <cell r="J116"/>
          <cell r="K116">
            <v>0</v>
          </cell>
          <cell r="L116">
            <v>0</v>
          </cell>
          <cell r="M116"/>
          <cell r="N116"/>
          <cell r="O116"/>
        </row>
        <row r="117">
          <cell r="B117"/>
          <cell r="C117"/>
          <cell r="D117"/>
          <cell r="E117"/>
          <cell r="F117"/>
          <cell r="G117"/>
          <cell r="H117"/>
          <cell r="I117"/>
          <cell r="J117"/>
          <cell r="K117">
            <v>0</v>
          </cell>
          <cell r="L117">
            <v>0</v>
          </cell>
          <cell r="M117"/>
          <cell r="N117"/>
          <cell r="O117"/>
        </row>
        <row r="118">
          <cell r="B118"/>
          <cell r="C118"/>
          <cell r="D118"/>
          <cell r="E118"/>
          <cell r="F118"/>
          <cell r="G118"/>
          <cell r="H118"/>
          <cell r="I118"/>
          <cell r="J118"/>
          <cell r="K118">
            <v>0</v>
          </cell>
          <cell r="L118">
            <v>0</v>
          </cell>
          <cell r="M118"/>
          <cell r="N118"/>
          <cell r="O118"/>
        </row>
        <row r="119">
          <cell r="B119"/>
          <cell r="C119"/>
          <cell r="D119"/>
          <cell r="E119"/>
          <cell r="F119"/>
          <cell r="G119"/>
          <cell r="H119"/>
          <cell r="I119"/>
          <cell r="J119"/>
          <cell r="K119">
            <v>0</v>
          </cell>
          <cell r="L119">
            <v>0</v>
          </cell>
          <cell r="M119"/>
          <cell r="N119"/>
          <cell r="O119"/>
        </row>
        <row r="120">
          <cell r="B120"/>
          <cell r="C120"/>
          <cell r="D120"/>
          <cell r="E120"/>
          <cell r="F120"/>
          <cell r="G120"/>
          <cell r="H120"/>
          <cell r="I120"/>
          <cell r="J120"/>
          <cell r="K120">
            <v>0</v>
          </cell>
          <cell r="L120">
            <v>0</v>
          </cell>
          <cell r="M120"/>
          <cell r="N120"/>
          <cell r="O120"/>
        </row>
        <row r="121">
          <cell r="B121"/>
          <cell r="C121"/>
          <cell r="D121"/>
          <cell r="E121"/>
          <cell r="F121"/>
          <cell r="G121"/>
          <cell r="H121"/>
          <cell r="I121"/>
          <cell r="J121"/>
          <cell r="K121">
            <v>0</v>
          </cell>
          <cell r="L121">
            <v>0</v>
          </cell>
          <cell r="M121"/>
          <cell r="N121"/>
          <cell r="O121"/>
        </row>
        <row r="122">
          <cell r="B122"/>
          <cell r="C122"/>
          <cell r="D122"/>
          <cell r="E122"/>
          <cell r="F122"/>
          <cell r="G122"/>
          <cell r="H122"/>
          <cell r="I122"/>
          <cell r="J122"/>
          <cell r="K122">
            <v>0</v>
          </cell>
          <cell r="L122">
            <v>0</v>
          </cell>
          <cell r="M122"/>
          <cell r="N122"/>
          <cell r="O122"/>
        </row>
        <row r="123">
          <cell r="B123"/>
          <cell r="C123"/>
          <cell r="D123"/>
          <cell r="E123"/>
          <cell r="F123"/>
          <cell r="G123"/>
          <cell r="H123"/>
          <cell r="I123"/>
          <cell r="J123"/>
          <cell r="K123">
            <v>0</v>
          </cell>
          <cell r="L123">
            <v>0</v>
          </cell>
          <cell r="M123"/>
          <cell r="N123"/>
          <cell r="O123"/>
        </row>
        <row r="124">
          <cell r="B124"/>
          <cell r="C124"/>
          <cell r="D124"/>
          <cell r="E124"/>
          <cell r="F124"/>
          <cell r="G124"/>
          <cell r="H124"/>
          <cell r="I124"/>
          <cell r="J124"/>
          <cell r="K124">
            <v>0</v>
          </cell>
          <cell r="L124">
            <v>0</v>
          </cell>
          <cell r="M124"/>
          <cell r="N124"/>
          <cell r="O124"/>
        </row>
        <row r="125">
          <cell r="B125"/>
          <cell r="C125"/>
          <cell r="D125"/>
          <cell r="E125"/>
          <cell r="F125"/>
          <cell r="G125"/>
          <cell r="H125"/>
          <cell r="I125"/>
          <cell r="J125"/>
          <cell r="K125">
            <v>0</v>
          </cell>
          <cell r="L125">
            <v>0</v>
          </cell>
          <cell r="M125"/>
          <cell r="N125"/>
          <cell r="O125"/>
        </row>
        <row r="126">
          <cell r="B126"/>
          <cell r="C126"/>
          <cell r="D126"/>
          <cell r="E126"/>
          <cell r="F126"/>
          <cell r="G126"/>
          <cell r="H126"/>
          <cell r="I126"/>
          <cell r="J126"/>
          <cell r="K126">
            <v>0</v>
          </cell>
          <cell r="L126">
            <v>0</v>
          </cell>
          <cell r="M126"/>
          <cell r="N126"/>
          <cell r="O126"/>
        </row>
        <row r="127">
          <cell r="B127"/>
          <cell r="C127"/>
          <cell r="D127"/>
          <cell r="E127"/>
          <cell r="F127"/>
          <cell r="G127"/>
          <cell r="H127"/>
          <cell r="I127"/>
          <cell r="J127"/>
          <cell r="K127">
            <v>0</v>
          </cell>
          <cell r="L127">
            <v>0</v>
          </cell>
          <cell r="M127"/>
          <cell r="N127"/>
          <cell r="O127"/>
        </row>
        <row r="128">
          <cell r="B128"/>
          <cell r="C128"/>
          <cell r="D128"/>
          <cell r="E128"/>
          <cell r="F128"/>
          <cell r="G128"/>
          <cell r="H128"/>
          <cell r="I128"/>
          <cell r="J128"/>
          <cell r="K128">
            <v>0</v>
          </cell>
          <cell r="L128">
            <v>0</v>
          </cell>
          <cell r="M128"/>
          <cell r="N128"/>
          <cell r="O128"/>
        </row>
        <row r="129">
          <cell r="B129"/>
          <cell r="C129"/>
          <cell r="D129"/>
          <cell r="E129"/>
          <cell r="F129"/>
          <cell r="G129"/>
          <cell r="H129"/>
          <cell r="I129"/>
          <cell r="J129"/>
          <cell r="K129">
            <v>0</v>
          </cell>
          <cell r="L129">
            <v>0</v>
          </cell>
          <cell r="M129"/>
          <cell r="N129"/>
          <cell r="O129"/>
        </row>
        <row r="130">
          <cell r="B130"/>
          <cell r="C130"/>
          <cell r="D130"/>
          <cell r="E130"/>
          <cell r="F130"/>
          <cell r="G130"/>
          <cell r="H130"/>
          <cell r="I130"/>
          <cell r="J130"/>
          <cell r="K130">
            <v>0</v>
          </cell>
          <cell r="L130">
            <v>0</v>
          </cell>
          <cell r="M130"/>
          <cell r="N130"/>
          <cell r="O130"/>
        </row>
        <row r="131">
          <cell r="B131"/>
          <cell r="C131"/>
          <cell r="D131"/>
          <cell r="E131"/>
          <cell r="F131"/>
          <cell r="G131"/>
          <cell r="H131"/>
          <cell r="I131"/>
          <cell r="J131"/>
          <cell r="K131">
            <v>0</v>
          </cell>
          <cell r="L131">
            <v>0</v>
          </cell>
          <cell r="M131"/>
          <cell r="N131"/>
          <cell r="O131"/>
        </row>
        <row r="132">
          <cell r="B132"/>
          <cell r="C132"/>
          <cell r="D132"/>
          <cell r="E132"/>
          <cell r="F132"/>
          <cell r="G132"/>
          <cell r="H132"/>
          <cell r="I132"/>
          <cell r="J132"/>
          <cell r="K132">
            <v>0</v>
          </cell>
          <cell r="L132">
            <v>0</v>
          </cell>
          <cell r="M132"/>
          <cell r="N132"/>
          <cell r="O132"/>
        </row>
        <row r="133">
          <cell r="B133"/>
          <cell r="C133"/>
          <cell r="D133"/>
          <cell r="E133"/>
          <cell r="F133"/>
          <cell r="G133"/>
          <cell r="H133"/>
          <cell r="I133"/>
          <cell r="J133"/>
          <cell r="K133">
            <v>0</v>
          </cell>
          <cell r="L133">
            <v>0</v>
          </cell>
          <cell r="M133"/>
          <cell r="N133"/>
          <cell r="O133"/>
        </row>
        <row r="134">
          <cell r="B134"/>
          <cell r="C134"/>
          <cell r="D134"/>
          <cell r="E134"/>
          <cell r="F134"/>
          <cell r="G134"/>
          <cell r="H134"/>
          <cell r="I134"/>
          <cell r="J134"/>
          <cell r="K134">
            <v>0</v>
          </cell>
          <cell r="L134">
            <v>0</v>
          </cell>
          <cell r="M134"/>
          <cell r="N134"/>
          <cell r="O134"/>
        </row>
        <row r="135">
          <cell r="B135"/>
          <cell r="C135"/>
          <cell r="D135"/>
          <cell r="E135"/>
          <cell r="F135"/>
          <cell r="G135"/>
          <cell r="H135"/>
          <cell r="I135"/>
          <cell r="J135"/>
          <cell r="K135">
            <v>0</v>
          </cell>
          <cell r="L135">
            <v>0</v>
          </cell>
          <cell r="M135"/>
          <cell r="N135"/>
          <cell r="O135"/>
        </row>
        <row r="136">
          <cell r="B136"/>
          <cell r="C136"/>
          <cell r="D136"/>
          <cell r="E136"/>
          <cell r="F136"/>
          <cell r="G136"/>
          <cell r="H136"/>
          <cell r="I136"/>
          <cell r="J136"/>
          <cell r="K136">
            <v>0</v>
          </cell>
          <cell r="L136">
            <v>0</v>
          </cell>
          <cell r="M136"/>
          <cell r="N136"/>
          <cell r="O136"/>
        </row>
        <row r="137">
          <cell r="B137"/>
          <cell r="C137"/>
          <cell r="D137"/>
          <cell r="E137"/>
          <cell r="F137"/>
          <cell r="G137"/>
          <cell r="H137"/>
          <cell r="I137"/>
          <cell r="J137"/>
          <cell r="K137">
            <v>0</v>
          </cell>
          <cell r="L137">
            <v>0</v>
          </cell>
          <cell r="M137"/>
          <cell r="N137"/>
          <cell r="O137"/>
        </row>
        <row r="138">
          <cell r="B138"/>
          <cell r="C138"/>
          <cell r="D138"/>
          <cell r="E138"/>
          <cell r="F138"/>
          <cell r="G138"/>
          <cell r="H138"/>
          <cell r="I138"/>
          <cell r="J138"/>
          <cell r="K138">
            <v>0</v>
          </cell>
          <cell r="L138">
            <v>0</v>
          </cell>
          <cell r="M138"/>
          <cell r="N138"/>
          <cell r="O138"/>
        </row>
        <row r="139">
          <cell r="B139"/>
          <cell r="C139"/>
          <cell r="D139"/>
          <cell r="E139"/>
          <cell r="F139"/>
          <cell r="G139"/>
          <cell r="H139"/>
          <cell r="I139"/>
          <cell r="J139"/>
          <cell r="K139">
            <v>0</v>
          </cell>
          <cell r="L139">
            <v>0</v>
          </cell>
          <cell r="M139"/>
          <cell r="N139"/>
          <cell r="O139"/>
        </row>
        <row r="140">
          <cell r="B140"/>
          <cell r="C140"/>
          <cell r="D140"/>
          <cell r="E140"/>
          <cell r="F140"/>
          <cell r="G140"/>
          <cell r="H140"/>
          <cell r="I140"/>
          <cell r="J140"/>
          <cell r="K140">
            <v>0</v>
          </cell>
          <cell r="L140">
            <v>0</v>
          </cell>
          <cell r="M140"/>
          <cell r="N140"/>
          <cell r="O140"/>
        </row>
        <row r="141">
          <cell r="B141"/>
          <cell r="C141"/>
          <cell r="D141"/>
          <cell r="E141"/>
          <cell r="F141"/>
          <cell r="G141"/>
          <cell r="H141"/>
          <cell r="I141"/>
          <cell r="J141"/>
          <cell r="K141">
            <v>0</v>
          </cell>
          <cell r="L141">
            <v>0</v>
          </cell>
          <cell r="M141"/>
          <cell r="N141"/>
          <cell r="O141"/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>
            <v>0</v>
          </cell>
          <cell r="L142">
            <v>0</v>
          </cell>
          <cell r="M142"/>
          <cell r="N142"/>
          <cell r="O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>
            <v>0</v>
          </cell>
          <cell r="L143">
            <v>0</v>
          </cell>
          <cell r="M143"/>
          <cell r="N143"/>
          <cell r="O143"/>
        </row>
        <row r="144">
          <cell r="B144"/>
          <cell r="C144"/>
          <cell r="D144"/>
          <cell r="E144"/>
          <cell r="F144"/>
          <cell r="G144"/>
          <cell r="H144"/>
          <cell r="I144"/>
          <cell r="J144"/>
          <cell r="K144">
            <v>0</v>
          </cell>
          <cell r="L144">
            <v>0</v>
          </cell>
          <cell r="M144"/>
          <cell r="N144"/>
          <cell r="O144"/>
        </row>
        <row r="145">
          <cell r="B145"/>
          <cell r="C145"/>
          <cell r="D145"/>
          <cell r="E145"/>
          <cell r="F145"/>
          <cell r="G145"/>
          <cell r="H145"/>
          <cell r="I145"/>
          <cell r="J145"/>
          <cell r="K145">
            <v>0</v>
          </cell>
          <cell r="L145">
            <v>0</v>
          </cell>
          <cell r="M145"/>
          <cell r="N145"/>
          <cell r="O145"/>
        </row>
        <row r="146">
          <cell r="B146"/>
          <cell r="C146"/>
          <cell r="D146"/>
          <cell r="E146"/>
          <cell r="F146"/>
          <cell r="G146"/>
          <cell r="H146"/>
          <cell r="I146"/>
          <cell r="J146"/>
          <cell r="K146">
            <v>0</v>
          </cell>
          <cell r="L146">
            <v>0</v>
          </cell>
          <cell r="M146"/>
          <cell r="N146"/>
          <cell r="O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>
            <v>0</v>
          </cell>
          <cell r="L147">
            <v>0</v>
          </cell>
          <cell r="M147"/>
          <cell r="N147"/>
          <cell r="O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>
            <v>0</v>
          </cell>
          <cell r="L148">
            <v>0</v>
          </cell>
          <cell r="M148"/>
          <cell r="N148"/>
          <cell r="O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>
            <v>0</v>
          </cell>
          <cell r="L149">
            <v>0</v>
          </cell>
          <cell r="M149"/>
          <cell r="N149"/>
          <cell r="O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>
            <v>0</v>
          </cell>
          <cell r="L150">
            <v>0</v>
          </cell>
          <cell r="M150"/>
          <cell r="N150"/>
          <cell r="O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>
            <v>0</v>
          </cell>
          <cell r="L151">
            <v>0</v>
          </cell>
          <cell r="M151"/>
          <cell r="N151"/>
          <cell r="O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>
            <v>0</v>
          </cell>
          <cell r="L152">
            <v>0</v>
          </cell>
          <cell r="M152"/>
          <cell r="N152"/>
          <cell r="O152"/>
        </row>
        <row r="153">
          <cell r="B153"/>
          <cell r="C153"/>
          <cell r="D153"/>
          <cell r="E153"/>
          <cell r="F153"/>
          <cell r="G153"/>
          <cell r="H153"/>
          <cell r="I153"/>
          <cell r="J153"/>
          <cell r="K153">
            <v>0</v>
          </cell>
          <cell r="L153">
            <v>0</v>
          </cell>
          <cell r="M153"/>
          <cell r="N153"/>
          <cell r="O153"/>
        </row>
        <row r="154">
          <cell r="B154"/>
          <cell r="C154"/>
          <cell r="D154"/>
          <cell r="E154"/>
          <cell r="F154"/>
          <cell r="G154"/>
          <cell r="H154"/>
          <cell r="I154"/>
          <cell r="J154"/>
          <cell r="K154">
            <v>0</v>
          </cell>
          <cell r="L154">
            <v>0</v>
          </cell>
          <cell r="M154"/>
          <cell r="N154"/>
          <cell r="O154"/>
        </row>
        <row r="155">
          <cell r="B155"/>
          <cell r="C155"/>
          <cell r="D155"/>
          <cell r="E155"/>
          <cell r="F155"/>
          <cell r="G155"/>
          <cell r="H155"/>
          <cell r="I155"/>
          <cell r="J155"/>
          <cell r="K155">
            <v>0</v>
          </cell>
          <cell r="L155">
            <v>0</v>
          </cell>
          <cell r="M155"/>
          <cell r="N155"/>
          <cell r="O155"/>
        </row>
        <row r="156">
          <cell r="B156"/>
          <cell r="C156"/>
          <cell r="D156"/>
          <cell r="E156"/>
          <cell r="F156"/>
          <cell r="G156"/>
          <cell r="H156"/>
          <cell r="I156"/>
          <cell r="J156"/>
          <cell r="K156">
            <v>0</v>
          </cell>
          <cell r="L156">
            <v>0</v>
          </cell>
          <cell r="M156"/>
          <cell r="N156"/>
          <cell r="O156"/>
        </row>
        <row r="157">
          <cell r="B157"/>
          <cell r="C157"/>
          <cell r="D157"/>
          <cell r="E157"/>
          <cell r="F157"/>
          <cell r="G157"/>
          <cell r="H157"/>
          <cell r="I157"/>
          <cell r="J157"/>
          <cell r="K157">
            <v>0</v>
          </cell>
          <cell r="L157">
            <v>0</v>
          </cell>
          <cell r="M157"/>
          <cell r="N157"/>
          <cell r="O157"/>
        </row>
        <row r="158">
          <cell r="B158"/>
          <cell r="C158"/>
          <cell r="D158"/>
          <cell r="E158"/>
          <cell r="F158"/>
          <cell r="G158"/>
          <cell r="H158"/>
          <cell r="I158"/>
          <cell r="J158"/>
          <cell r="K158">
            <v>0</v>
          </cell>
          <cell r="L158">
            <v>0</v>
          </cell>
          <cell r="M158"/>
          <cell r="N158"/>
          <cell r="O158"/>
        </row>
        <row r="159">
          <cell r="B159"/>
          <cell r="C159"/>
          <cell r="D159"/>
          <cell r="E159"/>
          <cell r="F159"/>
          <cell r="G159"/>
          <cell r="H159"/>
          <cell r="I159"/>
          <cell r="J159"/>
          <cell r="K159">
            <v>0</v>
          </cell>
          <cell r="L159">
            <v>0</v>
          </cell>
          <cell r="M159"/>
          <cell r="N159"/>
          <cell r="O159"/>
        </row>
        <row r="160">
          <cell r="B160"/>
          <cell r="C160"/>
          <cell r="D160"/>
          <cell r="E160"/>
          <cell r="F160"/>
          <cell r="G160"/>
          <cell r="H160"/>
          <cell r="I160"/>
          <cell r="J160"/>
          <cell r="K160">
            <v>0</v>
          </cell>
          <cell r="L160">
            <v>0</v>
          </cell>
          <cell r="M160"/>
          <cell r="N160"/>
          <cell r="O160"/>
        </row>
        <row r="161">
          <cell r="B161"/>
          <cell r="C161"/>
          <cell r="D161"/>
          <cell r="E161"/>
          <cell r="F161"/>
          <cell r="G161"/>
          <cell r="H161"/>
          <cell r="I161"/>
          <cell r="J161"/>
          <cell r="K161">
            <v>0</v>
          </cell>
          <cell r="L161">
            <v>0</v>
          </cell>
          <cell r="M161"/>
          <cell r="N161"/>
          <cell r="O161"/>
        </row>
        <row r="162">
          <cell r="B162"/>
          <cell r="C162"/>
          <cell r="D162"/>
          <cell r="E162"/>
          <cell r="F162"/>
          <cell r="G162"/>
          <cell r="H162"/>
          <cell r="I162"/>
          <cell r="J162"/>
          <cell r="K162">
            <v>0</v>
          </cell>
          <cell r="L162">
            <v>0</v>
          </cell>
          <cell r="M162"/>
          <cell r="N162"/>
          <cell r="O162"/>
        </row>
        <row r="163">
          <cell r="B163"/>
          <cell r="C163"/>
          <cell r="D163"/>
          <cell r="E163"/>
          <cell r="F163"/>
          <cell r="G163"/>
          <cell r="H163"/>
          <cell r="I163"/>
          <cell r="J163"/>
          <cell r="K163">
            <v>0</v>
          </cell>
          <cell r="L163">
            <v>0</v>
          </cell>
          <cell r="M163"/>
          <cell r="N163"/>
          <cell r="O163"/>
        </row>
        <row r="164">
          <cell r="B164"/>
          <cell r="C164"/>
          <cell r="D164"/>
          <cell r="E164"/>
          <cell r="F164"/>
          <cell r="G164"/>
          <cell r="H164"/>
          <cell r="I164"/>
          <cell r="J164"/>
          <cell r="K164">
            <v>0</v>
          </cell>
          <cell r="L164">
            <v>0</v>
          </cell>
          <cell r="M164"/>
          <cell r="N164"/>
          <cell r="O164"/>
        </row>
        <row r="165">
          <cell r="B165"/>
          <cell r="C165"/>
          <cell r="D165"/>
          <cell r="E165"/>
          <cell r="F165"/>
          <cell r="G165"/>
          <cell r="H165"/>
          <cell r="I165"/>
          <cell r="J165"/>
          <cell r="K165">
            <v>0</v>
          </cell>
          <cell r="L165">
            <v>0</v>
          </cell>
          <cell r="M165"/>
          <cell r="N165"/>
          <cell r="O165"/>
        </row>
        <row r="166">
          <cell r="B166"/>
          <cell r="C166"/>
          <cell r="D166"/>
          <cell r="E166"/>
          <cell r="F166"/>
          <cell r="G166"/>
          <cell r="H166"/>
          <cell r="I166"/>
          <cell r="J166"/>
          <cell r="K166">
            <v>0</v>
          </cell>
          <cell r="L166">
            <v>0</v>
          </cell>
          <cell r="M166"/>
          <cell r="N166"/>
          <cell r="O166"/>
        </row>
        <row r="167">
          <cell r="B167"/>
          <cell r="C167"/>
          <cell r="D167"/>
          <cell r="E167"/>
          <cell r="F167"/>
          <cell r="G167"/>
          <cell r="H167"/>
          <cell r="I167"/>
          <cell r="J167"/>
          <cell r="K167">
            <v>0</v>
          </cell>
          <cell r="L167">
            <v>0</v>
          </cell>
          <cell r="M167"/>
          <cell r="N167"/>
          <cell r="O167"/>
        </row>
        <row r="168">
          <cell r="B168"/>
          <cell r="C168"/>
          <cell r="D168"/>
          <cell r="E168"/>
          <cell r="F168"/>
          <cell r="G168"/>
          <cell r="H168"/>
          <cell r="I168"/>
          <cell r="J168"/>
          <cell r="K168">
            <v>0</v>
          </cell>
          <cell r="L168">
            <v>0</v>
          </cell>
          <cell r="M168"/>
          <cell r="N168"/>
          <cell r="O168"/>
        </row>
        <row r="169">
          <cell r="B169"/>
          <cell r="C169"/>
          <cell r="D169"/>
          <cell r="E169"/>
          <cell r="F169"/>
          <cell r="G169"/>
          <cell r="H169"/>
          <cell r="I169"/>
          <cell r="J169"/>
          <cell r="K169">
            <v>0</v>
          </cell>
          <cell r="L169">
            <v>0</v>
          </cell>
          <cell r="M169"/>
          <cell r="N169"/>
          <cell r="O169"/>
        </row>
        <row r="170">
          <cell r="B170"/>
          <cell r="C170"/>
          <cell r="D170"/>
          <cell r="E170"/>
          <cell r="F170"/>
          <cell r="G170"/>
          <cell r="H170"/>
          <cell r="I170"/>
          <cell r="J170"/>
          <cell r="K170">
            <v>0</v>
          </cell>
          <cell r="L170">
            <v>0</v>
          </cell>
          <cell r="M170"/>
          <cell r="N170"/>
          <cell r="O170"/>
        </row>
        <row r="171">
          <cell r="B171"/>
          <cell r="C171"/>
          <cell r="D171"/>
          <cell r="E171"/>
          <cell r="F171"/>
          <cell r="G171"/>
          <cell r="H171"/>
          <cell r="I171"/>
          <cell r="J171"/>
          <cell r="K171">
            <v>0</v>
          </cell>
          <cell r="L171">
            <v>0</v>
          </cell>
          <cell r="M171"/>
          <cell r="N171"/>
          <cell r="O171"/>
        </row>
        <row r="172">
          <cell r="B172"/>
          <cell r="C172"/>
          <cell r="D172"/>
          <cell r="E172"/>
          <cell r="F172"/>
          <cell r="G172"/>
          <cell r="H172"/>
          <cell r="I172"/>
          <cell r="J172"/>
          <cell r="K172">
            <v>0</v>
          </cell>
          <cell r="L172">
            <v>0</v>
          </cell>
          <cell r="M172"/>
          <cell r="N172"/>
          <cell r="O172"/>
        </row>
        <row r="173">
          <cell r="B173"/>
          <cell r="C173"/>
          <cell r="D173"/>
          <cell r="E173"/>
          <cell r="F173"/>
          <cell r="G173"/>
          <cell r="H173"/>
          <cell r="I173"/>
          <cell r="J173"/>
          <cell r="K173">
            <v>0</v>
          </cell>
          <cell r="L173">
            <v>0</v>
          </cell>
          <cell r="M173"/>
          <cell r="N173"/>
          <cell r="O173"/>
        </row>
        <row r="174">
          <cell r="B174"/>
          <cell r="C174"/>
          <cell r="D174"/>
          <cell r="E174"/>
          <cell r="F174"/>
          <cell r="G174"/>
          <cell r="H174"/>
          <cell r="I174"/>
          <cell r="J174"/>
          <cell r="K174">
            <v>0</v>
          </cell>
          <cell r="L174">
            <v>0</v>
          </cell>
          <cell r="M174"/>
          <cell r="N174"/>
          <cell r="O174"/>
        </row>
        <row r="175">
          <cell r="B175"/>
          <cell r="C175"/>
          <cell r="D175"/>
          <cell r="E175"/>
          <cell r="F175"/>
          <cell r="G175"/>
          <cell r="H175"/>
          <cell r="I175"/>
          <cell r="J175"/>
          <cell r="K175">
            <v>0</v>
          </cell>
          <cell r="L175">
            <v>0</v>
          </cell>
          <cell r="M175"/>
          <cell r="N175"/>
          <cell r="O175"/>
        </row>
        <row r="176">
          <cell r="B176"/>
          <cell r="C176"/>
          <cell r="D176"/>
          <cell r="E176"/>
          <cell r="F176"/>
          <cell r="G176"/>
          <cell r="H176"/>
          <cell r="I176"/>
          <cell r="J176"/>
          <cell r="K176">
            <v>0</v>
          </cell>
          <cell r="L176">
            <v>0</v>
          </cell>
          <cell r="M176"/>
          <cell r="N176"/>
          <cell r="O176"/>
        </row>
        <row r="177">
          <cell r="B177"/>
          <cell r="C177"/>
          <cell r="D177"/>
          <cell r="E177"/>
          <cell r="F177"/>
          <cell r="G177"/>
          <cell r="H177"/>
          <cell r="I177"/>
          <cell r="J177"/>
          <cell r="K177">
            <v>0</v>
          </cell>
          <cell r="L177">
            <v>0</v>
          </cell>
          <cell r="M177"/>
          <cell r="N177"/>
          <cell r="O177"/>
        </row>
        <row r="178">
          <cell r="B178"/>
          <cell r="C178"/>
          <cell r="D178"/>
          <cell r="E178"/>
          <cell r="F178"/>
          <cell r="G178"/>
          <cell r="H178"/>
          <cell r="I178"/>
          <cell r="J178"/>
          <cell r="K178">
            <v>0</v>
          </cell>
          <cell r="L178">
            <v>0</v>
          </cell>
          <cell r="M178"/>
          <cell r="N178"/>
          <cell r="O178"/>
        </row>
        <row r="179">
          <cell r="B179"/>
          <cell r="C179"/>
          <cell r="D179"/>
          <cell r="E179"/>
          <cell r="F179"/>
          <cell r="G179"/>
          <cell r="H179"/>
          <cell r="I179"/>
          <cell r="J179"/>
          <cell r="K179">
            <v>0</v>
          </cell>
          <cell r="L179">
            <v>0</v>
          </cell>
          <cell r="M179"/>
          <cell r="N179"/>
          <cell r="O179"/>
        </row>
        <row r="180">
          <cell r="B180"/>
          <cell r="C180"/>
          <cell r="D180"/>
          <cell r="E180"/>
          <cell r="F180"/>
          <cell r="G180"/>
          <cell r="H180"/>
          <cell r="I180"/>
          <cell r="J180"/>
          <cell r="K180">
            <v>0</v>
          </cell>
          <cell r="L180">
            <v>0</v>
          </cell>
          <cell r="M180"/>
          <cell r="N180"/>
          <cell r="O180"/>
        </row>
        <row r="181">
          <cell r="B181"/>
          <cell r="C181"/>
          <cell r="D181"/>
          <cell r="E181"/>
          <cell r="F181"/>
          <cell r="G181"/>
          <cell r="H181"/>
          <cell r="I181"/>
          <cell r="J181"/>
          <cell r="K181">
            <v>0</v>
          </cell>
          <cell r="L181">
            <v>0</v>
          </cell>
          <cell r="M181"/>
          <cell r="N181"/>
          <cell r="O181"/>
        </row>
        <row r="182">
          <cell r="B182"/>
          <cell r="C182"/>
          <cell r="D182"/>
          <cell r="E182"/>
          <cell r="F182"/>
          <cell r="G182"/>
          <cell r="H182"/>
          <cell r="I182"/>
          <cell r="J182"/>
          <cell r="K182">
            <v>0</v>
          </cell>
          <cell r="L182">
            <v>0</v>
          </cell>
          <cell r="M182"/>
          <cell r="N182"/>
          <cell r="O182"/>
        </row>
        <row r="183">
          <cell r="B183"/>
          <cell r="C183"/>
          <cell r="D183"/>
          <cell r="E183"/>
          <cell r="F183"/>
          <cell r="G183"/>
          <cell r="H183"/>
          <cell r="I183"/>
          <cell r="J183"/>
          <cell r="K183">
            <v>0</v>
          </cell>
          <cell r="L183">
            <v>0</v>
          </cell>
          <cell r="M183"/>
          <cell r="N183"/>
          <cell r="O183"/>
        </row>
        <row r="184">
          <cell r="B184"/>
          <cell r="C184"/>
          <cell r="D184"/>
          <cell r="E184"/>
          <cell r="F184"/>
          <cell r="G184"/>
          <cell r="H184"/>
          <cell r="I184"/>
          <cell r="J184"/>
          <cell r="K184">
            <v>0</v>
          </cell>
          <cell r="L184">
            <v>0</v>
          </cell>
          <cell r="M184"/>
          <cell r="N184"/>
          <cell r="O184"/>
        </row>
        <row r="185">
          <cell r="B185"/>
          <cell r="C185"/>
          <cell r="D185"/>
          <cell r="E185"/>
          <cell r="F185"/>
          <cell r="G185"/>
          <cell r="H185"/>
          <cell r="I185"/>
          <cell r="J185"/>
          <cell r="K185">
            <v>0</v>
          </cell>
          <cell r="L185">
            <v>0</v>
          </cell>
          <cell r="M185"/>
          <cell r="N185"/>
          <cell r="O185"/>
        </row>
        <row r="186">
          <cell r="B186"/>
          <cell r="C186"/>
          <cell r="D186"/>
          <cell r="E186"/>
          <cell r="F186"/>
          <cell r="G186"/>
          <cell r="H186"/>
          <cell r="I186"/>
          <cell r="J186"/>
          <cell r="K186">
            <v>0</v>
          </cell>
          <cell r="L186">
            <v>0</v>
          </cell>
          <cell r="M186"/>
          <cell r="N186"/>
          <cell r="O186"/>
        </row>
        <row r="187">
          <cell r="B187"/>
          <cell r="C187"/>
          <cell r="D187"/>
          <cell r="E187"/>
          <cell r="F187"/>
          <cell r="G187"/>
          <cell r="H187"/>
          <cell r="I187"/>
          <cell r="J187"/>
          <cell r="K187">
            <v>0</v>
          </cell>
          <cell r="L187">
            <v>0</v>
          </cell>
          <cell r="M187"/>
          <cell r="N187"/>
          <cell r="O187"/>
        </row>
        <row r="188">
          <cell r="B188"/>
          <cell r="C188"/>
          <cell r="D188"/>
          <cell r="E188"/>
          <cell r="F188"/>
          <cell r="G188"/>
          <cell r="H188"/>
          <cell r="I188"/>
          <cell r="J188"/>
          <cell r="K188">
            <v>0</v>
          </cell>
          <cell r="L188">
            <v>0</v>
          </cell>
          <cell r="M188"/>
          <cell r="N188"/>
          <cell r="O188"/>
        </row>
        <row r="189">
          <cell r="B189"/>
          <cell r="C189"/>
          <cell r="D189"/>
          <cell r="E189"/>
          <cell r="F189"/>
          <cell r="G189"/>
          <cell r="H189"/>
          <cell r="I189"/>
          <cell r="J189"/>
          <cell r="K189">
            <v>0</v>
          </cell>
          <cell r="L189">
            <v>0</v>
          </cell>
          <cell r="M189"/>
          <cell r="N189"/>
          <cell r="O189"/>
        </row>
        <row r="190">
          <cell r="B190"/>
          <cell r="C190"/>
          <cell r="D190"/>
          <cell r="E190"/>
          <cell r="F190"/>
          <cell r="G190"/>
          <cell r="H190"/>
          <cell r="I190"/>
          <cell r="J190"/>
          <cell r="K190">
            <v>0</v>
          </cell>
          <cell r="L190">
            <v>0</v>
          </cell>
          <cell r="M190"/>
          <cell r="N190"/>
          <cell r="O190"/>
        </row>
        <row r="191">
          <cell r="B191"/>
          <cell r="C191"/>
          <cell r="D191"/>
          <cell r="E191"/>
          <cell r="F191"/>
          <cell r="G191"/>
          <cell r="H191"/>
          <cell r="I191"/>
          <cell r="J191"/>
          <cell r="K191">
            <v>0</v>
          </cell>
          <cell r="L191">
            <v>0</v>
          </cell>
          <cell r="M191"/>
          <cell r="N191"/>
          <cell r="O191"/>
        </row>
        <row r="192">
          <cell r="B192"/>
          <cell r="C192"/>
          <cell r="D192"/>
          <cell r="E192"/>
          <cell r="F192"/>
          <cell r="G192"/>
          <cell r="H192"/>
          <cell r="I192"/>
          <cell r="J192"/>
          <cell r="K192">
            <v>0</v>
          </cell>
          <cell r="L192">
            <v>0</v>
          </cell>
          <cell r="M192"/>
          <cell r="N192"/>
          <cell r="O192"/>
        </row>
        <row r="193">
          <cell r="B193"/>
          <cell r="C193"/>
          <cell r="D193"/>
          <cell r="E193"/>
          <cell r="F193"/>
          <cell r="G193"/>
          <cell r="H193"/>
          <cell r="I193"/>
          <cell r="J193"/>
          <cell r="K193">
            <v>0</v>
          </cell>
          <cell r="L193">
            <v>0</v>
          </cell>
          <cell r="M193"/>
          <cell r="N193"/>
          <cell r="O193"/>
        </row>
        <row r="194">
          <cell r="B194"/>
          <cell r="C194"/>
          <cell r="D194"/>
          <cell r="E194"/>
          <cell r="F194"/>
          <cell r="G194"/>
          <cell r="H194"/>
          <cell r="I194"/>
          <cell r="J194"/>
          <cell r="K194">
            <v>0</v>
          </cell>
          <cell r="L194">
            <v>0</v>
          </cell>
          <cell r="M194"/>
          <cell r="N194"/>
          <cell r="O194"/>
        </row>
        <row r="195">
          <cell r="B195"/>
          <cell r="C195"/>
          <cell r="D195"/>
          <cell r="E195"/>
          <cell r="F195"/>
          <cell r="G195"/>
          <cell r="H195"/>
          <cell r="I195"/>
          <cell r="J195"/>
          <cell r="K195">
            <v>0</v>
          </cell>
          <cell r="L195">
            <v>0</v>
          </cell>
          <cell r="M195"/>
          <cell r="N195"/>
          <cell r="O195"/>
        </row>
        <row r="196">
          <cell r="B196"/>
          <cell r="C196"/>
          <cell r="D196"/>
          <cell r="E196"/>
          <cell r="F196"/>
          <cell r="G196"/>
          <cell r="H196"/>
          <cell r="I196"/>
          <cell r="J196"/>
          <cell r="K196">
            <v>0</v>
          </cell>
          <cell r="L196">
            <v>0</v>
          </cell>
          <cell r="M196"/>
          <cell r="N196"/>
          <cell r="O196"/>
        </row>
        <row r="197">
          <cell r="B197"/>
          <cell r="C197"/>
          <cell r="D197"/>
          <cell r="E197"/>
          <cell r="F197"/>
          <cell r="G197"/>
          <cell r="H197"/>
          <cell r="I197"/>
          <cell r="J197"/>
          <cell r="K197">
            <v>0</v>
          </cell>
          <cell r="L197">
            <v>0</v>
          </cell>
          <cell r="M197"/>
          <cell r="N197"/>
          <cell r="O197"/>
        </row>
        <row r="198">
          <cell r="B198"/>
          <cell r="C198"/>
          <cell r="D198"/>
          <cell r="E198"/>
          <cell r="F198"/>
          <cell r="G198"/>
          <cell r="H198"/>
          <cell r="I198"/>
          <cell r="J198"/>
          <cell r="K198">
            <v>0</v>
          </cell>
          <cell r="L198">
            <v>0</v>
          </cell>
          <cell r="M198"/>
          <cell r="N198"/>
          <cell r="O198"/>
        </row>
        <row r="199">
          <cell r="B199"/>
          <cell r="C199"/>
          <cell r="D199"/>
          <cell r="E199"/>
          <cell r="F199"/>
          <cell r="G199"/>
          <cell r="H199"/>
          <cell r="I199"/>
          <cell r="J199"/>
          <cell r="K199">
            <v>0</v>
          </cell>
          <cell r="L199">
            <v>0</v>
          </cell>
          <cell r="M199"/>
          <cell r="N199"/>
          <cell r="O199"/>
        </row>
        <row r="200">
          <cell r="B200"/>
          <cell r="C200"/>
          <cell r="D200"/>
          <cell r="E200"/>
          <cell r="F200"/>
          <cell r="G200"/>
          <cell r="H200"/>
          <cell r="I200"/>
          <cell r="J200"/>
          <cell r="K200">
            <v>0</v>
          </cell>
          <cell r="L200">
            <v>0</v>
          </cell>
          <cell r="M200"/>
          <cell r="N200"/>
          <cell r="O200"/>
        </row>
        <row r="201">
          <cell r="B201"/>
          <cell r="C201"/>
          <cell r="D201"/>
          <cell r="E201"/>
          <cell r="F201"/>
          <cell r="G201"/>
          <cell r="H201"/>
          <cell r="I201"/>
          <cell r="J201"/>
          <cell r="K201">
            <v>0</v>
          </cell>
          <cell r="L201">
            <v>0</v>
          </cell>
          <cell r="M201"/>
          <cell r="N201"/>
          <cell r="O201"/>
        </row>
        <row r="202">
          <cell r="B202"/>
          <cell r="C202"/>
          <cell r="D202"/>
          <cell r="E202"/>
          <cell r="F202"/>
          <cell r="G202"/>
          <cell r="H202"/>
          <cell r="I202"/>
          <cell r="J202"/>
          <cell r="K202">
            <v>0</v>
          </cell>
          <cell r="L202">
            <v>0</v>
          </cell>
          <cell r="M202"/>
          <cell r="N202"/>
          <cell r="O202"/>
        </row>
        <row r="203">
          <cell r="B203"/>
          <cell r="C203"/>
          <cell r="D203"/>
          <cell r="E203"/>
          <cell r="F203"/>
          <cell r="G203"/>
          <cell r="H203"/>
          <cell r="I203"/>
          <cell r="J203"/>
          <cell r="K203">
            <v>0</v>
          </cell>
          <cell r="L203">
            <v>0</v>
          </cell>
          <cell r="M203"/>
          <cell r="N203"/>
          <cell r="O203"/>
        </row>
        <row r="204">
          <cell r="B204"/>
          <cell r="C204"/>
          <cell r="D204"/>
          <cell r="E204"/>
          <cell r="F204"/>
          <cell r="G204"/>
          <cell r="H204"/>
          <cell r="I204"/>
          <cell r="J204"/>
          <cell r="K204">
            <v>0</v>
          </cell>
          <cell r="L204">
            <v>0</v>
          </cell>
          <cell r="M204"/>
          <cell r="N204"/>
          <cell r="O204"/>
        </row>
        <row r="205">
          <cell r="B205"/>
          <cell r="C205"/>
          <cell r="D205"/>
          <cell r="E205"/>
          <cell r="F205"/>
          <cell r="G205"/>
          <cell r="H205"/>
          <cell r="I205"/>
          <cell r="J205"/>
          <cell r="K205">
            <v>0</v>
          </cell>
          <cell r="L205">
            <v>0</v>
          </cell>
          <cell r="M205"/>
          <cell r="N205"/>
          <cell r="O205"/>
        </row>
        <row r="206">
          <cell r="B206"/>
          <cell r="C206"/>
          <cell r="D206"/>
          <cell r="E206"/>
          <cell r="F206"/>
          <cell r="G206"/>
          <cell r="H206"/>
          <cell r="I206"/>
          <cell r="J206"/>
          <cell r="K206">
            <v>0</v>
          </cell>
          <cell r="L206">
            <v>0</v>
          </cell>
          <cell r="M206"/>
          <cell r="N206"/>
          <cell r="O206"/>
        </row>
      </sheetData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C28237-DDD0-41AF-BE87-09DE0F107C7F}" name="data" displayName="data" ref="A1:L603" totalsRowShown="0" headerRowDxfId="14" headerRowBorderDxfId="13" tableBorderDxfId="12" totalsRowBorderDxfId="11">
  <autoFilter ref="A1:L603" xr:uid="{0CC28237-DDD0-41AF-BE87-09DE0F107C7F}"/>
  <tableColumns count="12">
    <tableColumn id="1" xr3:uid="{911EA93E-2A77-44B3-A64C-4A6E3ECAAEEA}" name="SL" dataDxfId="10" dataCellStyle="Normal 2"/>
    <tableColumn id="2" xr3:uid="{1C7D7878-1C07-4050-9223-35F80874D367}" name="EMP_ID" dataDxfId="9" dataCellStyle="Normal 2"/>
    <tableColumn id="3" xr3:uid="{FF5D6459-8292-4EDC-80E6-9CE8ED696CB2}" name="Employee Name" dataDxfId="8" dataCellStyle="Normal 2"/>
    <tableColumn id="4" xr3:uid="{8721D465-1323-4A78-B71A-32177F18C358}" name="DeptName" dataDxfId="7" dataCellStyle="Normal 2"/>
    <tableColumn id="5" xr3:uid="{AC858699-0C10-40D1-B3CB-A211978494E7}" name="SectName" dataDxfId="6" dataCellStyle="Normal 2"/>
    <tableColumn id="6" xr3:uid="{EF7D98BC-DD67-4A92-A50E-C7E32E425243}" name="DesigName" dataDxfId="5" dataCellStyle="Normal 2"/>
    <tableColumn id="7" xr3:uid="{B938F360-81C6-4E96-B3AF-AB71FD8BE13B}" name="JDate" dataDxfId="4" dataCellStyle="Normal 2"/>
    <tableColumn id="8" xr3:uid="{9946E436-4E4F-4CB8-ACAF-8840989FDC9D}" name="Employee Category" dataDxfId="3" dataCellStyle="Normal 2"/>
    <tableColumn id="12" xr3:uid="{BBD1F44B-0189-45A5-8FC0-953E4186B11D}" name="Shift"/>
    <tableColumn id="9" xr3:uid="{6E15C842-163F-4F1A-9D50-2924A10FA585}" name="Basic" dataDxfId="2" dataCellStyle="Comma 3"/>
    <tableColumn id="10" xr3:uid="{8D85D4AF-D470-46D8-A53B-D373065F4C3A}" name="Gross" dataDxfId="1" dataCellStyle="Comma 3"/>
    <tableColumn id="11" xr3:uid="{CE9DC238-F6E8-4356-8ADF-7AE1E45A0B32}" name="Working Base Hour" dataDxfId="0" dataCellStyle="Normal 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7C40B-DEB9-4BB5-B65E-B4B890645A49}">
  <dimension ref="A1:L609"/>
  <sheetViews>
    <sheetView showGridLines="0" tabSelected="1" zoomScale="115" zoomScaleNormal="115" workbookViewId="0">
      <pane xSplit="1" ySplit="1" topLeftCell="C2" activePane="bottomRight" state="frozen"/>
      <selection pane="topRight" activeCell="C1" sqref="C1"/>
      <selection pane="bottomLeft" activeCell="A2" sqref="A2"/>
      <selection pane="bottomRight" activeCell="M1" sqref="M1"/>
    </sheetView>
  </sheetViews>
  <sheetFormatPr defaultColWidth="7" defaultRowHeight="14.4" x14ac:dyDescent="0.3"/>
  <cols>
    <col min="1" max="1" width="4.109375" style="1" bestFit="1" customWidth="1"/>
    <col min="2" max="2" width="7.109375" style="1" bestFit="1" customWidth="1"/>
    <col min="3" max="3" width="24.88671875" style="1" bestFit="1" customWidth="1"/>
    <col min="4" max="4" width="18.21875" style="1" bestFit="1" customWidth="1"/>
    <col min="5" max="5" width="20.21875" style="1" bestFit="1" customWidth="1"/>
    <col min="6" max="6" width="42" style="2" bestFit="1" customWidth="1"/>
    <col min="7" max="7" width="9.5546875" style="1" bestFit="1" customWidth="1"/>
    <col min="8" max="8" width="17.33203125" style="3" bestFit="1" customWidth="1"/>
    <col min="9" max="9" width="5.21875" style="3" bestFit="1" customWidth="1"/>
    <col min="10" max="10" width="10" style="3" bestFit="1" customWidth="1"/>
    <col min="11" max="11" width="10.44140625" style="1" bestFit="1" customWidth="1"/>
    <col min="12" max="12" width="17" style="1" bestFit="1" customWidth="1"/>
    <col min="13" max="16384" width="7" style="1"/>
  </cols>
  <sheetData>
    <row r="1" spans="1:12" s="9" customFormat="1" x14ac:dyDescent="0.3">
      <c r="A1" s="8" t="s">
        <v>1</v>
      </c>
      <c r="B1" s="8" t="s">
        <v>749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754</v>
      </c>
      <c r="J1" s="8" t="s">
        <v>8</v>
      </c>
      <c r="K1" s="8" t="s">
        <v>9</v>
      </c>
      <c r="L1" s="8" t="s">
        <v>750</v>
      </c>
    </row>
    <row r="2" spans="1:12" x14ac:dyDescent="0.3">
      <c r="A2" s="16">
        <v>1</v>
      </c>
      <c r="B2" s="4">
        <v>70173</v>
      </c>
      <c r="C2" s="4" t="s">
        <v>10</v>
      </c>
      <c r="D2" s="4" t="s">
        <v>11</v>
      </c>
      <c r="E2" s="4" t="s">
        <v>12</v>
      </c>
      <c r="F2" s="4" t="s">
        <v>13</v>
      </c>
      <c r="G2" s="5">
        <v>45078</v>
      </c>
      <c r="H2" s="4" t="s">
        <v>14</v>
      </c>
      <c r="I2" t="s">
        <v>755</v>
      </c>
      <c r="J2" s="6">
        <v>9783</v>
      </c>
      <c r="K2" s="6">
        <v>16305</v>
      </c>
      <c r="L2" s="4">
        <v>12</v>
      </c>
    </row>
    <row r="3" spans="1:12" x14ac:dyDescent="0.3">
      <c r="A3" s="16">
        <v>2</v>
      </c>
      <c r="B3" s="4">
        <v>70254</v>
      </c>
      <c r="C3" s="4" t="s">
        <v>15</v>
      </c>
      <c r="D3" s="4" t="s">
        <v>11</v>
      </c>
      <c r="E3" s="4" t="s">
        <v>16</v>
      </c>
      <c r="F3" s="4" t="s">
        <v>17</v>
      </c>
      <c r="G3" s="5">
        <v>39579</v>
      </c>
      <c r="H3" s="4" t="s">
        <v>14</v>
      </c>
      <c r="I3" t="s">
        <v>756</v>
      </c>
      <c r="J3" s="6">
        <v>19392</v>
      </c>
      <c r="K3" s="6">
        <v>32321</v>
      </c>
      <c r="L3" s="4">
        <v>12</v>
      </c>
    </row>
    <row r="4" spans="1:12" x14ac:dyDescent="0.3">
      <c r="A4" s="16">
        <v>3</v>
      </c>
      <c r="B4" s="4">
        <v>70267</v>
      </c>
      <c r="C4" s="4" t="s">
        <v>18</v>
      </c>
      <c r="D4" s="4" t="s">
        <v>11</v>
      </c>
      <c r="E4" s="4" t="s">
        <v>19</v>
      </c>
      <c r="F4" s="4" t="s">
        <v>20</v>
      </c>
      <c r="G4" s="5">
        <v>43834</v>
      </c>
      <c r="H4" s="4" t="s">
        <v>14</v>
      </c>
      <c r="I4" t="s">
        <v>756</v>
      </c>
      <c r="J4" s="6">
        <v>9779</v>
      </c>
      <c r="K4" s="6">
        <v>16299</v>
      </c>
      <c r="L4" s="4">
        <v>8</v>
      </c>
    </row>
    <row r="5" spans="1:12" x14ac:dyDescent="0.3">
      <c r="A5" s="16">
        <v>4</v>
      </c>
      <c r="B5" s="4">
        <v>70278</v>
      </c>
      <c r="C5" s="4" t="s">
        <v>21</v>
      </c>
      <c r="D5" s="4" t="s">
        <v>11</v>
      </c>
      <c r="E5" s="4" t="s">
        <v>19</v>
      </c>
      <c r="F5" s="4" t="s">
        <v>22</v>
      </c>
      <c r="G5" s="5">
        <v>36642</v>
      </c>
      <c r="H5" s="4" t="s">
        <v>14</v>
      </c>
      <c r="I5" t="s">
        <v>756</v>
      </c>
      <c r="J5" s="6">
        <v>13734</v>
      </c>
      <c r="K5" s="6">
        <v>22891</v>
      </c>
      <c r="L5" s="4">
        <v>8</v>
      </c>
    </row>
    <row r="6" spans="1:12" x14ac:dyDescent="0.3">
      <c r="A6" s="16">
        <v>5</v>
      </c>
      <c r="B6" s="4">
        <v>70206</v>
      </c>
      <c r="C6" s="4" t="s">
        <v>23</v>
      </c>
      <c r="D6" s="4" t="s">
        <v>11</v>
      </c>
      <c r="E6" s="4" t="s">
        <v>24</v>
      </c>
      <c r="F6" s="4" t="s">
        <v>25</v>
      </c>
      <c r="G6" s="5">
        <v>43996</v>
      </c>
      <c r="H6" s="4" t="s">
        <v>14</v>
      </c>
      <c r="I6" t="s">
        <v>755</v>
      </c>
      <c r="J6" s="6">
        <v>9810</v>
      </c>
      <c r="K6" s="6">
        <v>16351</v>
      </c>
      <c r="L6" s="4">
        <v>8</v>
      </c>
    </row>
    <row r="7" spans="1:12" x14ac:dyDescent="0.3">
      <c r="A7" s="16">
        <v>6</v>
      </c>
      <c r="B7" s="4">
        <v>40005</v>
      </c>
      <c r="C7" s="4" t="s">
        <v>26</v>
      </c>
      <c r="D7" s="4" t="s">
        <v>11</v>
      </c>
      <c r="E7" s="4" t="s">
        <v>24</v>
      </c>
      <c r="F7" s="4" t="s">
        <v>27</v>
      </c>
      <c r="G7" s="5">
        <v>44485</v>
      </c>
      <c r="H7" s="4" t="s">
        <v>14</v>
      </c>
      <c r="I7" t="s">
        <v>755</v>
      </c>
      <c r="J7" s="6">
        <v>19620</v>
      </c>
      <c r="K7" s="6">
        <v>32700</v>
      </c>
      <c r="L7" s="4">
        <v>8</v>
      </c>
    </row>
    <row r="8" spans="1:12" x14ac:dyDescent="0.3">
      <c r="A8" s="16">
        <v>7</v>
      </c>
      <c r="B8" s="4">
        <v>40004</v>
      </c>
      <c r="C8" s="4" t="s">
        <v>28</v>
      </c>
      <c r="D8" s="4" t="s">
        <v>11</v>
      </c>
      <c r="E8" s="4" t="s">
        <v>24</v>
      </c>
      <c r="F8" s="4" t="s">
        <v>29</v>
      </c>
      <c r="G8" s="5">
        <v>44531</v>
      </c>
      <c r="H8" s="4" t="s">
        <v>14</v>
      </c>
      <c r="I8" t="s">
        <v>756</v>
      </c>
      <c r="J8" s="6">
        <v>14715</v>
      </c>
      <c r="K8" s="6">
        <v>24526</v>
      </c>
      <c r="L8" s="4">
        <v>8</v>
      </c>
    </row>
    <row r="9" spans="1:12" x14ac:dyDescent="0.3">
      <c r="A9" s="16">
        <v>8</v>
      </c>
      <c r="B9" s="4">
        <v>70259</v>
      </c>
      <c r="C9" s="4" t="s">
        <v>30</v>
      </c>
      <c r="D9" s="4" t="s">
        <v>11</v>
      </c>
      <c r="E9" s="4" t="s">
        <v>31</v>
      </c>
      <c r="F9" s="4" t="s">
        <v>17</v>
      </c>
      <c r="G9" s="5">
        <v>39954</v>
      </c>
      <c r="H9" s="4" t="s">
        <v>14</v>
      </c>
      <c r="I9" t="s">
        <v>755</v>
      </c>
      <c r="J9" s="6">
        <v>18770</v>
      </c>
      <c r="K9" s="6">
        <v>31282</v>
      </c>
      <c r="L9" s="4">
        <v>12</v>
      </c>
    </row>
    <row r="10" spans="1:12" x14ac:dyDescent="0.3">
      <c r="A10" s="16">
        <v>9</v>
      </c>
      <c r="B10" s="4">
        <v>70260</v>
      </c>
      <c r="C10" s="4" t="s">
        <v>32</v>
      </c>
      <c r="D10" s="4" t="s">
        <v>11</v>
      </c>
      <c r="E10" s="4" t="s">
        <v>31</v>
      </c>
      <c r="F10" s="4" t="s">
        <v>33</v>
      </c>
      <c r="G10" s="5">
        <v>39142</v>
      </c>
      <c r="H10" s="4" t="s">
        <v>14</v>
      </c>
      <c r="I10" t="s">
        <v>755</v>
      </c>
      <c r="J10" s="6">
        <v>12370</v>
      </c>
      <c r="K10" s="6">
        <v>20618</v>
      </c>
      <c r="L10" s="4">
        <v>8</v>
      </c>
    </row>
    <row r="11" spans="1:12" x14ac:dyDescent="0.3">
      <c r="A11" s="16">
        <v>10</v>
      </c>
      <c r="B11" s="4">
        <v>70209</v>
      </c>
      <c r="C11" s="4" t="s">
        <v>34</v>
      </c>
      <c r="D11" s="4" t="s">
        <v>11</v>
      </c>
      <c r="E11" s="4" t="s">
        <v>35</v>
      </c>
      <c r="F11" s="4" t="s">
        <v>17</v>
      </c>
      <c r="G11" s="5">
        <v>36968</v>
      </c>
      <c r="H11" s="4" t="s">
        <v>14</v>
      </c>
      <c r="I11" t="s">
        <v>756</v>
      </c>
      <c r="J11" s="6">
        <v>19620</v>
      </c>
      <c r="K11" s="6">
        <v>32700</v>
      </c>
      <c r="L11" s="4">
        <v>12</v>
      </c>
    </row>
    <row r="12" spans="1:12" x14ac:dyDescent="0.3">
      <c r="A12" s="16">
        <v>11</v>
      </c>
      <c r="B12" s="4">
        <v>40001</v>
      </c>
      <c r="C12" s="4" t="s">
        <v>36</v>
      </c>
      <c r="D12" s="4" t="s">
        <v>11</v>
      </c>
      <c r="E12" s="4" t="s">
        <v>35</v>
      </c>
      <c r="F12" s="4" t="s">
        <v>37</v>
      </c>
      <c r="G12" s="5">
        <v>44516</v>
      </c>
      <c r="H12" s="4" t="s">
        <v>14</v>
      </c>
      <c r="I12" t="s">
        <v>755</v>
      </c>
      <c r="J12" s="6">
        <v>16350</v>
      </c>
      <c r="K12" s="6">
        <v>27251</v>
      </c>
      <c r="L12" s="4">
        <v>8</v>
      </c>
    </row>
    <row r="13" spans="1:12" x14ac:dyDescent="0.3">
      <c r="A13" s="16">
        <v>12</v>
      </c>
      <c r="B13" s="4">
        <v>40002</v>
      </c>
      <c r="C13" s="4" t="s">
        <v>38</v>
      </c>
      <c r="D13" s="4" t="s">
        <v>11</v>
      </c>
      <c r="E13" s="4" t="s">
        <v>35</v>
      </c>
      <c r="F13" s="4" t="s">
        <v>37</v>
      </c>
      <c r="G13" s="5">
        <v>44516</v>
      </c>
      <c r="H13" s="4" t="s">
        <v>14</v>
      </c>
      <c r="I13" t="s">
        <v>756</v>
      </c>
      <c r="J13" s="6">
        <v>15696</v>
      </c>
      <c r="K13" s="6">
        <v>26160</v>
      </c>
      <c r="L13" s="4">
        <v>8</v>
      </c>
    </row>
    <row r="14" spans="1:12" x14ac:dyDescent="0.3">
      <c r="A14" s="16">
        <v>13</v>
      </c>
      <c r="B14" s="4">
        <v>70273</v>
      </c>
      <c r="C14" s="4" t="s">
        <v>39</v>
      </c>
      <c r="D14" s="4" t="s">
        <v>11</v>
      </c>
      <c r="E14" s="4" t="s">
        <v>40</v>
      </c>
      <c r="F14" s="4" t="s">
        <v>20</v>
      </c>
      <c r="G14" s="5">
        <v>43834</v>
      </c>
      <c r="H14" s="4" t="s">
        <v>14</v>
      </c>
      <c r="I14" t="s">
        <v>756</v>
      </c>
      <c r="J14" s="6">
        <v>9759</v>
      </c>
      <c r="K14" s="6">
        <v>16265</v>
      </c>
      <c r="L14" s="4">
        <v>8</v>
      </c>
    </row>
    <row r="15" spans="1:12" x14ac:dyDescent="0.3">
      <c r="A15" s="16">
        <v>14</v>
      </c>
      <c r="B15" s="4">
        <v>70274</v>
      </c>
      <c r="C15" s="4" t="s">
        <v>41</v>
      </c>
      <c r="D15" s="4" t="s">
        <v>11</v>
      </c>
      <c r="E15" s="4" t="s">
        <v>40</v>
      </c>
      <c r="F15" s="4" t="s">
        <v>20</v>
      </c>
      <c r="G15" s="5">
        <v>43836</v>
      </c>
      <c r="H15" s="4" t="s">
        <v>14</v>
      </c>
      <c r="I15" t="s">
        <v>756</v>
      </c>
      <c r="J15" s="6">
        <v>9759</v>
      </c>
      <c r="K15" s="6">
        <v>16265</v>
      </c>
      <c r="L15" s="4">
        <v>12</v>
      </c>
    </row>
    <row r="16" spans="1:12" x14ac:dyDescent="0.3">
      <c r="A16" s="16">
        <v>15</v>
      </c>
      <c r="B16" s="4">
        <v>70275</v>
      </c>
      <c r="C16" s="4" t="s">
        <v>42</v>
      </c>
      <c r="D16" s="4" t="s">
        <v>11</v>
      </c>
      <c r="E16" s="4" t="s">
        <v>40</v>
      </c>
      <c r="F16" s="4" t="s">
        <v>22</v>
      </c>
      <c r="G16" s="5">
        <v>41050</v>
      </c>
      <c r="H16" s="4" t="s">
        <v>14</v>
      </c>
      <c r="I16" t="s">
        <v>755</v>
      </c>
      <c r="J16" s="6">
        <v>11120</v>
      </c>
      <c r="K16" s="6">
        <v>18533</v>
      </c>
      <c r="L16" s="4">
        <v>12</v>
      </c>
    </row>
    <row r="17" spans="1:12" x14ac:dyDescent="0.3">
      <c r="A17" s="16">
        <v>16</v>
      </c>
      <c r="B17" s="4">
        <v>70268</v>
      </c>
      <c r="C17" s="4" t="s">
        <v>43</v>
      </c>
      <c r="D17" s="4" t="s">
        <v>11</v>
      </c>
      <c r="E17" s="4" t="s">
        <v>40</v>
      </c>
      <c r="F17" s="4" t="s">
        <v>22</v>
      </c>
      <c r="G17" s="5">
        <v>42450</v>
      </c>
      <c r="H17" s="4" t="s">
        <v>14</v>
      </c>
      <c r="I17" t="s">
        <v>755</v>
      </c>
      <c r="J17" s="6">
        <v>10444</v>
      </c>
      <c r="K17" s="6">
        <v>17406</v>
      </c>
      <c r="L17" s="4">
        <v>8</v>
      </c>
    </row>
    <row r="18" spans="1:12" x14ac:dyDescent="0.3">
      <c r="A18" s="16">
        <v>17</v>
      </c>
      <c r="B18" s="4">
        <v>70921</v>
      </c>
      <c r="C18" s="4" t="s">
        <v>44</v>
      </c>
      <c r="D18" s="4" t="s">
        <v>11</v>
      </c>
      <c r="E18" s="4" t="s">
        <v>45</v>
      </c>
      <c r="F18" s="4" t="s">
        <v>25</v>
      </c>
      <c r="G18" s="5">
        <v>44691</v>
      </c>
      <c r="H18" s="4" t="s">
        <v>46</v>
      </c>
      <c r="I18" t="s">
        <v>756</v>
      </c>
      <c r="J18" s="6">
        <v>7303</v>
      </c>
      <c r="K18" s="6">
        <v>13405</v>
      </c>
      <c r="L18" s="4">
        <v>8</v>
      </c>
    </row>
    <row r="19" spans="1:12" x14ac:dyDescent="0.3">
      <c r="A19" s="16">
        <v>18</v>
      </c>
      <c r="B19" s="4">
        <v>70071</v>
      </c>
      <c r="C19" s="4" t="s">
        <v>47</v>
      </c>
      <c r="D19" s="4" t="s">
        <v>11</v>
      </c>
      <c r="E19" s="4" t="s">
        <v>24</v>
      </c>
      <c r="F19" s="4" t="s">
        <v>25</v>
      </c>
      <c r="G19" s="5">
        <v>44763</v>
      </c>
      <c r="H19" s="4" t="s">
        <v>46</v>
      </c>
      <c r="I19" t="s">
        <v>755</v>
      </c>
      <c r="J19" s="6">
        <v>7303</v>
      </c>
      <c r="K19" s="6">
        <v>13405</v>
      </c>
      <c r="L19" s="4">
        <v>8</v>
      </c>
    </row>
    <row r="20" spans="1:12" x14ac:dyDescent="0.3">
      <c r="A20" s="16">
        <v>19</v>
      </c>
      <c r="B20" s="4">
        <v>70271</v>
      </c>
      <c r="C20" s="4" t="s">
        <v>48</v>
      </c>
      <c r="D20" s="4" t="s">
        <v>11</v>
      </c>
      <c r="E20" s="4" t="s">
        <v>40</v>
      </c>
      <c r="F20" s="4" t="s">
        <v>22</v>
      </c>
      <c r="G20" s="5">
        <v>42446</v>
      </c>
      <c r="H20" s="4" t="s">
        <v>14</v>
      </c>
      <c r="I20" t="s">
        <v>755</v>
      </c>
      <c r="J20" s="6">
        <v>10687</v>
      </c>
      <c r="K20" s="6">
        <v>17811</v>
      </c>
      <c r="L20" s="4">
        <v>12</v>
      </c>
    </row>
    <row r="21" spans="1:12" x14ac:dyDescent="0.3">
      <c r="A21" s="16">
        <v>20</v>
      </c>
      <c r="B21" s="4">
        <v>70272</v>
      </c>
      <c r="C21" s="4" t="s">
        <v>49</v>
      </c>
      <c r="D21" s="4" t="s">
        <v>11</v>
      </c>
      <c r="E21" s="4" t="s">
        <v>40</v>
      </c>
      <c r="F21" s="4" t="s">
        <v>22</v>
      </c>
      <c r="G21" s="5">
        <v>42409</v>
      </c>
      <c r="H21" s="4" t="s">
        <v>14</v>
      </c>
      <c r="I21" t="s">
        <v>756</v>
      </c>
      <c r="J21" s="6">
        <v>10282</v>
      </c>
      <c r="K21" s="6">
        <v>17136</v>
      </c>
      <c r="L21" s="4">
        <v>12</v>
      </c>
    </row>
    <row r="22" spans="1:12" x14ac:dyDescent="0.3">
      <c r="A22" s="16">
        <v>21</v>
      </c>
      <c r="B22" s="4">
        <v>70215</v>
      </c>
      <c r="C22" s="4" t="s">
        <v>50</v>
      </c>
      <c r="D22" s="4" t="s">
        <v>11</v>
      </c>
      <c r="E22" s="4" t="s">
        <v>51</v>
      </c>
      <c r="F22" s="4" t="s">
        <v>17</v>
      </c>
      <c r="G22" s="5">
        <v>37874</v>
      </c>
      <c r="H22" s="4" t="s">
        <v>14</v>
      </c>
      <c r="I22" t="s">
        <v>755</v>
      </c>
      <c r="J22" s="6">
        <v>22765</v>
      </c>
      <c r="K22" s="6">
        <v>37942</v>
      </c>
      <c r="L22" s="4">
        <v>8</v>
      </c>
    </row>
    <row r="23" spans="1:12" x14ac:dyDescent="0.3">
      <c r="A23" s="16">
        <v>22</v>
      </c>
      <c r="B23" s="4">
        <v>70276</v>
      </c>
      <c r="C23" s="4" t="s">
        <v>52</v>
      </c>
      <c r="D23" s="4" t="s">
        <v>11</v>
      </c>
      <c r="E23" s="4" t="s">
        <v>51</v>
      </c>
      <c r="F23" s="4" t="s">
        <v>53</v>
      </c>
      <c r="G23" s="5">
        <v>40187</v>
      </c>
      <c r="H23" s="4" t="s">
        <v>14</v>
      </c>
      <c r="I23" t="s">
        <v>755</v>
      </c>
      <c r="J23" s="6">
        <v>17004</v>
      </c>
      <c r="K23" s="6">
        <v>28340</v>
      </c>
      <c r="L23" s="4">
        <v>8</v>
      </c>
    </row>
    <row r="24" spans="1:12" x14ac:dyDescent="0.3">
      <c r="A24" s="16">
        <v>23</v>
      </c>
      <c r="B24" s="4">
        <v>70277</v>
      </c>
      <c r="C24" s="4" t="s">
        <v>54</v>
      </c>
      <c r="D24" s="4" t="s">
        <v>11</v>
      </c>
      <c r="E24" s="4" t="s">
        <v>51</v>
      </c>
      <c r="F24" s="4" t="s">
        <v>55</v>
      </c>
      <c r="G24" s="5">
        <v>44228</v>
      </c>
      <c r="H24" s="4" t="s">
        <v>14</v>
      </c>
      <c r="I24" t="s">
        <v>756</v>
      </c>
      <c r="J24" s="6">
        <v>14388</v>
      </c>
      <c r="K24" s="6">
        <v>23979</v>
      </c>
      <c r="L24" s="4">
        <v>8</v>
      </c>
    </row>
    <row r="25" spans="1:12" x14ac:dyDescent="0.3">
      <c r="A25" s="16">
        <v>24</v>
      </c>
      <c r="B25" s="4">
        <v>70279</v>
      </c>
      <c r="C25" s="4" t="s">
        <v>56</v>
      </c>
      <c r="D25" s="4" t="s">
        <v>11</v>
      </c>
      <c r="E25" s="4" t="s">
        <v>51</v>
      </c>
      <c r="F25" s="4" t="s">
        <v>57</v>
      </c>
      <c r="G25" s="5">
        <v>44812</v>
      </c>
      <c r="H25" s="4" t="s">
        <v>14</v>
      </c>
      <c r="I25" t="s">
        <v>755</v>
      </c>
      <c r="J25" s="6">
        <v>18280</v>
      </c>
      <c r="K25" s="6">
        <v>30467</v>
      </c>
      <c r="L25" s="4">
        <v>8</v>
      </c>
    </row>
    <row r="26" spans="1:12" x14ac:dyDescent="0.3">
      <c r="A26" s="16">
        <v>25</v>
      </c>
      <c r="B26" s="4">
        <v>70068</v>
      </c>
      <c r="C26" s="4" t="s">
        <v>58</v>
      </c>
      <c r="D26" s="4" t="s">
        <v>59</v>
      </c>
      <c r="E26" s="4" t="s">
        <v>60</v>
      </c>
      <c r="F26" s="4" t="s">
        <v>61</v>
      </c>
      <c r="G26" s="5">
        <v>44721</v>
      </c>
      <c r="H26" s="4" t="s">
        <v>14</v>
      </c>
      <c r="I26" t="s">
        <v>755</v>
      </c>
      <c r="J26" s="6">
        <v>9810</v>
      </c>
      <c r="K26" s="6">
        <v>16351</v>
      </c>
      <c r="L26" s="4">
        <v>8</v>
      </c>
    </row>
    <row r="27" spans="1:12" x14ac:dyDescent="0.3">
      <c r="A27" s="16">
        <v>26</v>
      </c>
      <c r="B27" s="4">
        <v>70951</v>
      </c>
      <c r="C27" s="4" t="s">
        <v>62</v>
      </c>
      <c r="D27" s="4" t="s">
        <v>63</v>
      </c>
      <c r="E27" s="4" t="s">
        <v>64</v>
      </c>
      <c r="F27" s="4" t="s">
        <v>65</v>
      </c>
      <c r="G27" s="5">
        <v>44765</v>
      </c>
      <c r="H27" s="4" t="s">
        <v>14</v>
      </c>
      <c r="I27" t="s">
        <v>756</v>
      </c>
      <c r="J27" s="6">
        <v>9718</v>
      </c>
      <c r="K27" s="6">
        <v>16197</v>
      </c>
      <c r="L27" s="4">
        <v>12</v>
      </c>
    </row>
    <row r="28" spans="1:12" x14ac:dyDescent="0.3">
      <c r="A28" s="16">
        <v>27</v>
      </c>
      <c r="B28" s="4">
        <v>70962</v>
      </c>
      <c r="C28" s="4" t="s">
        <v>66</v>
      </c>
      <c r="D28" s="4" t="s">
        <v>63</v>
      </c>
      <c r="E28" s="4" t="s">
        <v>64</v>
      </c>
      <c r="F28" s="4" t="s">
        <v>65</v>
      </c>
      <c r="G28" s="5">
        <v>44784</v>
      </c>
      <c r="H28" s="4" t="s">
        <v>14</v>
      </c>
      <c r="I28" t="s">
        <v>756</v>
      </c>
      <c r="J28" s="6">
        <v>9718</v>
      </c>
      <c r="K28" s="6">
        <v>16197</v>
      </c>
      <c r="L28" s="4">
        <v>8</v>
      </c>
    </row>
    <row r="29" spans="1:12" x14ac:dyDescent="0.3">
      <c r="A29" s="16">
        <v>28</v>
      </c>
      <c r="B29" s="4">
        <v>74095</v>
      </c>
      <c r="C29" s="4" t="s">
        <v>67</v>
      </c>
      <c r="D29" s="4" t="s">
        <v>63</v>
      </c>
      <c r="E29" s="4" t="s">
        <v>64</v>
      </c>
      <c r="F29" s="4" t="s">
        <v>65</v>
      </c>
      <c r="G29" s="5">
        <v>45185</v>
      </c>
      <c r="H29" s="4" t="s">
        <v>14</v>
      </c>
      <c r="I29" t="s">
        <v>756</v>
      </c>
      <c r="J29" s="6">
        <v>9586</v>
      </c>
      <c r="K29" s="6">
        <v>15976</v>
      </c>
      <c r="L29" s="4">
        <v>12</v>
      </c>
    </row>
    <row r="30" spans="1:12" x14ac:dyDescent="0.3">
      <c r="A30" s="16">
        <v>29</v>
      </c>
      <c r="B30" s="4">
        <v>70889</v>
      </c>
      <c r="C30" s="4" t="s">
        <v>68</v>
      </c>
      <c r="D30" s="4" t="s">
        <v>63</v>
      </c>
      <c r="E30" s="4" t="s">
        <v>64</v>
      </c>
      <c r="F30" s="4" t="s">
        <v>25</v>
      </c>
      <c r="G30" s="5">
        <v>44501</v>
      </c>
      <c r="H30" s="4" t="s">
        <v>14</v>
      </c>
      <c r="I30" t="s">
        <v>755</v>
      </c>
      <c r="J30" s="6">
        <v>9756</v>
      </c>
      <c r="K30" s="6">
        <v>16260</v>
      </c>
      <c r="L30" s="4">
        <v>8</v>
      </c>
    </row>
    <row r="31" spans="1:12" x14ac:dyDescent="0.3">
      <c r="A31" s="16">
        <v>30</v>
      </c>
      <c r="B31" s="4">
        <v>70821</v>
      </c>
      <c r="C31" s="4" t="s">
        <v>69</v>
      </c>
      <c r="D31" s="4" t="s">
        <v>63</v>
      </c>
      <c r="E31" s="4" t="s">
        <v>64</v>
      </c>
      <c r="F31" s="4" t="s">
        <v>65</v>
      </c>
      <c r="G31" s="5">
        <v>44257</v>
      </c>
      <c r="H31" s="4" t="s">
        <v>14</v>
      </c>
      <c r="I31" t="s">
        <v>755</v>
      </c>
      <c r="J31" s="6">
        <v>9586</v>
      </c>
      <c r="K31" s="6">
        <v>15976</v>
      </c>
      <c r="L31" s="4">
        <v>8</v>
      </c>
    </row>
    <row r="32" spans="1:12" x14ac:dyDescent="0.3">
      <c r="A32" s="16">
        <v>31</v>
      </c>
      <c r="B32" s="4">
        <v>90005</v>
      </c>
      <c r="C32" s="4" t="s">
        <v>70</v>
      </c>
      <c r="D32" s="4" t="s">
        <v>63</v>
      </c>
      <c r="E32" s="4" t="s">
        <v>64</v>
      </c>
      <c r="F32" s="4" t="s">
        <v>71</v>
      </c>
      <c r="G32" s="5">
        <v>38261</v>
      </c>
      <c r="H32" s="4" t="s">
        <v>14</v>
      </c>
      <c r="I32" t="s">
        <v>756</v>
      </c>
      <c r="J32" s="6">
        <v>20274</v>
      </c>
      <c r="K32" s="6">
        <v>33791</v>
      </c>
      <c r="L32" s="4">
        <v>8</v>
      </c>
    </row>
    <row r="33" spans="1:12" x14ac:dyDescent="0.3">
      <c r="A33" s="16">
        <v>32</v>
      </c>
      <c r="B33" s="4">
        <v>10008</v>
      </c>
      <c r="C33" s="4" t="s">
        <v>72</v>
      </c>
      <c r="D33" s="4" t="s">
        <v>63</v>
      </c>
      <c r="E33" s="4" t="s">
        <v>73</v>
      </c>
      <c r="F33" s="4" t="s">
        <v>74</v>
      </c>
      <c r="G33" s="5">
        <v>44378</v>
      </c>
      <c r="H33" s="4" t="s">
        <v>14</v>
      </c>
      <c r="I33" t="s">
        <v>755</v>
      </c>
      <c r="J33" s="6">
        <v>81000</v>
      </c>
      <c r="K33" s="6">
        <v>135000</v>
      </c>
      <c r="L33" s="4">
        <v>12</v>
      </c>
    </row>
    <row r="34" spans="1:12" x14ac:dyDescent="0.3">
      <c r="A34" s="16">
        <v>33</v>
      </c>
      <c r="B34" s="4">
        <v>90025</v>
      </c>
      <c r="C34" s="4" t="s">
        <v>75</v>
      </c>
      <c r="D34" s="4" t="s">
        <v>63</v>
      </c>
      <c r="E34" s="4" t="s">
        <v>76</v>
      </c>
      <c r="F34" s="4" t="s">
        <v>77</v>
      </c>
      <c r="G34" s="5">
        <v>45701</v>
      </c>
      <c r="H34" s="4" t="s">
        <v>14</v>
      </c>
      <c r="I34" t="s">
        <v>755</v>
      </c>
      <c r="J34" s="6">
        <v>8580</v>
      </c>
      <c r="K34" s="6">
        <v>14300</v>
      </c>
      <c r="L34" s="4">
        <v>12</v>
      </c>
    </row>
    <row r="35" spans="1:12" x14ac:dyDescent="0.3">
      <c r="A35" s="16">
        <v>34</v>
      </c>
      <c r="B35" s="4">
        <v>74089</v>
      </c>
      <c r="C35" s="4" t="s">
        <v>78</v>
      </c>
      <c r="D35" s="4" t="s">
        <v>63</v>
      </c>
      <c r="E35" s="4" t="s">
        <v>79</v>
      </c>
      <c r="F35" s="4" t="s">
        <v>80</v>
      </c>
      <c r="G35" s="5">
        <v>45171</v>
      </c>
      <c r="H35" s="4" t="s">
        <v>14</v>
      </c>
      <c r="I35" t="s">
        <v>756</v>
      </c>
      <c r="J35" s="6">
        <v>9559</v>
      </c>
      <c r="K35" s="6">
        <v>15931</v>
      </c>
      <c r="L35" s="4">
        <v>8</v>
      </c>
    </row>
    <row r="36" spans="1:12" x14ac:dyDescent="0.3">
      <c r="A36" s="16">
        <v>35</v>
      </c>
      <c r="B36" s="4">
        <v>70943</v>
      </c>
      <c r="C36" s="4" t="s">
        <v>81</v>
      </c>
      <c r="D36" s="4" t="s">
        <v>63</v>
      </c>
      <c r="E36" s="4" t="s">
        <v>79</v>
      </c>
      <c r="F36" s="4" t="s">
        <v>80</v>
      </c>
      <c r="G36" s="5">
        <v>44761</v>
      </c>
      <c r="H36" s="4" t="s">
        <v>14</v>
      </c>
      <c r="I36" t="s">
        <v>755</v>
      </c>
      <c r="J36" s="6">
        <v>9559</v>
      </c>
      <c r="K36" s="6">
        <v>15931</v>
      </c>
      <c r="L36" s="4">
        <v>8</v>
      </c>
    </row>
    <row r="37" spans="1:12" x14ac:dyDescent="0.3">
      <c r="A37" s="16">
        <v>36</v>
      </c>
      <c r="B37" s="4">
        <v>70942</v>
      </c>
      <c r="C37" s="4" t="s">
        <v>82</v>
      </c>
      <c r="D37" s="4" t="s">
        <v>63</v>
      </c>
      <c r="E37" s="4" t="s">
        <v>79</v>
      </c>
      <c r="F37" s="4" t="s">
        <v>80</v>
      </c>
      <c r="G37" s="5">
        <v>44761</v>
      </c>
      <c r="H37" s="4" t="s">
        <v>14</v>
      </c>
      <c r="I37" t="s">
        <v>756</v>
      </c>
      <c r="J37" s="6">
        <v>9559</v>
      </c>
      <c r="K37" s="6">
        <v>15931</v>
      </c>
      <c r="L37" s="4">
        <v>8</v>
      </c>
    </row>
    <row r="38" spans="1:12" x14ac:dyDescent="0.3">
      <c r="A38" s="16">
        <v>37</v>
      </c>
      <c r="B38" s="4">
        <v>70761</v>
      </c>
      <c r="C38" s="4" t="s">
        <v>83</v>
      </c>
      <c r="D38" s="4" t="s">
        <v>63</v>
      </c>
      <c r="E38" s="4" t="s">
        <v>79</v>
      </c>
      <c r="F38" s="4" t="s">
        <v>80</v>
      </c>
      <c r="G38" s="5">
        <v>44052</v>
      </c>
      <c r="H38" s="4" t="s">
        <v>14</v>
      </c>
      <c r="I38" t="s">
        <v>756</v>
      </c>
      <c r="J38" s="6">
        <v>9619</v>
      </c>
      <c r="K38" s="6">
        <v>16031</v>
      </c>
      <c r="L38" s="4">
        <v>12</v>
      </c>
    </row>
    <row r="39" spans="1:12" x14ac:dyDescent="0.3">
      <c r="A39" s="16">
        <v>38</v>
      </c>
      <c r="B39" s="4">
        <v>70397</v>
      </c>
      <c r="C39" s="4" t="s">
        <v>84</v>
      </c>
      <c r="D39" s="4" t="s">
        <v>63</v>
      </c>
      <c r="E39" s="4" t="s">
        <v>79</v>
      </c>
      <c r="F39" s="4" t="s">
        <v>80</v>
      </c>
      <c r="G39" s="5">
        <v>43282</v>
      </c>
      <c r="H39" s="4" t="s">
        <v>14</v>
      </c>
      <c r="I39" t="s">
        <v>756</v>
      </c>
      <c r="J39" s="6">
        <v>9739</v>
      </c>
      <c r="K39" s="6">
        <v>16231</v>
      </c>
      <c r="L39" s="4">
        <v>12</v>
      </c>
    </row>
    <row r="40" spans="1:12" x14ac:dyDescent="0.3">
      <c r="A40" s="16">
        <v>39</v>
      </c>
      <c r="B40" s="4">
        <v>60006</v>
      </c>
      <c r="C40" s="4" t="s">
        <v>85</v>
      </c>
      <c r="D40" s="4" t="s">
        <v>63</v>
      </c>
      <c r="E40" s="4" t="s">
        <v>86</v>
      </c>
      <c r="F40" s="4" t="s">
        <v>87</v>
      </c>
      <c r="G40" s="5">
        <v>44121</v>
      </c>
      <c r="H40" s="4" t="s">
        <v>14</v>
      </c>
      <c r="I40" t="s">
        <v>755</v>
      </c>
      <c r="J40" s="6">
        <v>12753</v>
      </c>
      <c r="K40" s="6">
        <v>21256</v>
      </c>
      <c r="L40" s="4">
        <v>8</v>
      </c>
    </row>
    <row r="41" spans="1:12" x14ac:dyDescent="0.3">
      <c r="A41" s="16">
        <v>40</v>
      </c>
      <c r="B41" s="4">
        <v>60012</v>
      </c>
      <c r="C41" s="4" t="s">
        <v>88</v>
      </c>
      <c r="D41" s="4" t="s">
        <v>63</v>
      </c>
      <c r="E41" s="4" t="s">
        <v>86</v>
      </c>
      <c r="F41" s="4" t="s">
        <v>89</v>
      </c>
      <c r="G41" s="5">
        <v>44501</v>
      </c>
      <c r="H41" s="4" t="s">
        <v>14</v>
      </c>
      <c r="I41" t="s">
        <v>755</v>
      </c>
      <c r="J41" s="6">
        <v>13170</v>
      </c>
      <c r="K41" s="6">
        <v>21951</v>
      </c>
      <c r="L41" s="4">
        <v>8</v>
      </c>
    </row>
    <row r="42" spans="1:12" x14ac:dyDescent="0.3">
      <c r="A42" s="16">
        <v>41</v>
      </c>
      <c r="B42" s="4">
        <v>60017</v>
      </c>
      <c r="C42" s="4" t="s">
        <v>90</v>
      </c>
      <c r="D42" s="4" t="s">
        <v>63</v>
      </c>
      <c r="E42" s="4" t="s">
        <v>86</v>
      </c>
      <c r="F42" s="4" t="s">
        <v>87</v>
      </c>
      <c r="G42" s="5">
        <v>44853</v>
      </c>
      <c r="H42" s="4" t="s">
        <v>14</v>
      </c>
      <c r="I42" t="s">
        <v>756</v>
      </c>
      <c r="J42" s="6">
        <v>13497</v>
      </c>
      <c r="K42" s="6">
        <v>22496</v>
      </c>
      <c r="L42" s="4">
        <v>8</v>
      </c>
    </row>
    <row r="43" spans="1:12" x14ac:dyDescent="0.3">
      <c r="A43" s="16">
        <v>42</v>
      </c>
      <c r="B43" s="4">
        <v>60021</v>
      </c>
      <c r="C43" s="4" t="s">
        <v>91</v>
      </c>
      <c r="D43" s="4" t="s">
        <v>63</v>
      </c>
      <c r="E43" s="4" t="s">
        <v>86</v>
      </c>
      <c r="F43" s="4" t="s">
        <v>87</v>
      </c>
      <c r="G43" s="5">
        <v>45598</v>
      </c>
      <c r="H43" s="4" t="s">
        <v>14</v>
      </c>
      <c r="I43" t="s">
        <v>755</v>
      </c>
      <c r="J43" s="6">
        <v>10800</v>
      </c>
      <c r="K43" s="6">
        <v>18000</v>
      </c>
      <c r="L43" s="4">
        <v>8</v>
      </c>
    </row>
    <row r="44" spans="1:12" x14ac:dyDescent="0.3">
      <c r="A44" s="16">
        <v>43</v>
      </c>
      <c r="B44" s="4">
        <v>50010</v>
      </c>
      <c r="C44" s="4" t="s">
        <v>92</v>
      </c>
      <c r="D44" s="4" t="s">
        <v>93</v>
      </c>
      <c r="E44" s="4" t="s">
        <v>93</v>
      </c>
      <c r="F44" s="4" t="s">
        <v>13</v>
      </c>
      <c r="G44" s="5">
        <v>44807</v>
      </c>
      <c r="H44" s="4" t="s">
        <v>14</v>
      </c>
      <c r="I44" t="s">
        <v>755</v>
      </c>
      <c r="J44" s="6">
        <v>9810</v>
      </c>
      <c r="K44" s="6">
        <v>16351</v>
      </c>
      <c r="L44" s="4">
        <v>8</v>
      </c>
    </row>
    <row r="45" spans="1:12" x14ac:dyDescent="0.3">
      <c r="A45" s="16">
        <v>44</v>
      </c>
      <c r="B45" s="4">
        <v>10002</v>
      </c>
      <c r="C45" s="4" t="s">
        <v>94</v>
      </c>
      <c r="D45" s="4" t="s">
        <v>95</v>
      </c>
      <c r="E45" s="4" t="s">
        <v>96</v>
      </c>
      <c r="F45" s="4" t="s">
        <v>97</v>
      </c>
      <c r="G45" s="5">
        <v>44573</v>
      </c>
      <c r="H45" s="4" t="s">
        <v>14</v>
      </c>
      <c r="I45" t="s">
        <v>756</v>
      </c>
      <c r="J45" s="6">
        <v>13407</v>
      </c>
      <c r="K45" s="6">
        <v>22345</v>
      </c>
      <c r="L45" s="4">
        <v>12</v>
      </c>
    </row>
    <row r="46" spans="1:12" x14ac:dyDescent="0.3">
      <c r="A46" s="16">
        <v>45</v>
      </c>
      <c r="B46" s="4">
        <v>10001</v>
      </c>
      <c r="C46" s="4" t="s">
        <v>98</v>
      </c>
      <c r="D46" s="4" t="s">
        <v>95</v>
      </c>
      <c r="E46" s="4" t="s">
        <v>99</v>
      </c>
      <c r="F46" s="4" t="s">
        <v>100</v>
      </c>
      <c r="G46" s="5">
        <v>43678</v>
      </c>
      <c r="H46" s="4" t="s">
        <v>14</v>
      </c>
      <c r="I46" t="s">
        <v>755</v>
      </c>
      <c r="J46" s="6">
        <v>16350</v>
      </c>
      <c r="K46" s="6">
        <v>27251</v>
      </c>
      <c r="L46" s="4">
        <v>8</v>
      </c>
    </row>
    <row r="47" spans="1:12" x14ac:dyDescent="0.3">
      <c r="A47" s="16">
        <v>46</v>
      </c>
      <c r="B47" s="4">
        <v>31001</v>
      </c>
      <c r="C47" s="4" t="s">
        <v>101</v>
      </c>
      <c r="D47" s="4" t="s">
        <v>102</v>
      </c>
      <c r="E47" s="4" t="s">
        <v>103</v>
      </c>
      <c r="F47" s="4" t="s">
        <v>100</v>
      </c>
      <c r="G47" s="5">
        <v>44480</v>
      </c>
      <c r="H47" s="4" t="s">
        <v>14</v>
      </c>
      <c r="I47" t="s">
        <v>755</v>
      </c>
      <c r="J47" s="6">
        <v>19620</v>
      </c>
      <c r="K47" s="6">
        <v>32700</v>
      </c>
      <c r="L47" s="4">
        <v>12</v>
      </c>
    </row>
    <row r="48" spans="1:12" x14ac:dyDescent="0.3">
      <c r="A48" s="16">
        <v>47</v>
      </c>
      <c r="B48" s="4">
        <v>40048</v>
      </c>
      <c r="C48" s="4" t="s">
        <v>104</v>
      </c>
      <c r="D48" s="4" t="s">
        <v>11</v>
      </c>
      <c r="E48" s="4" t="s">
        <v>105</v>
      </c>
      <c r="F48" s="4" t="s">
        <v>37</v>
      </c>
      <c r="G48" s="5">
        <v>45241</v>
      </c>
      <c r="H48" s="4" t="s">
        <v>14</v>
      </c>
      <c r="I48" t="s">
        <v>756</v>
      </c>
      <c r="J48" s="6">
        <v>12753</v>
      </c>
      <c r="K48" s="6">
        <v>21256</v>
      </c>
      <c r="L48" s="4">
        <v>8</v>
      </c>
    </row>
    <row r="49" spans="1:12" x14ac:dyDescent="0.3">
      <c r="A49" s="16">
        <v>48</v>
      </c>
      <c r="B49" s="4">
        <v>40029</v>
      </c>
      <c r="C49" s="4" t="s">
        <v>106</v>
      </c>
      <c r="D49" s="4" t="s">
        <v>11</v>
      </c>
      <c r="E49" s="4" t="s">
        <v>105</v>
      </c>
      <c r="F49" s="4" t="s">
        <v>107</v>
      </c>
      <c r="G49" s="5">
        <v>43785</v>
      </c>
      <c r="H49" s="4" t="s">
        <v>14</v>
      </c>
      <c r="I49" t="s">
        <v>755</v>
      </c>
      <c r="J49" s="6">
        <v>16350</v>
      </c>
      <c r="K49" s="6">
        <v>27251</v>
      </c>
      <c r="L49" s="4">
        <v>8</v>
      </c>
    </row>
    <row r="50" spans="1:12" x14ac:dyDescent="0.3">
      <c r="A50" s="16">
        <v>49</v>
      </c>
      <c r="B50" s="4">
        <v>73008</v>
      </c>
      <c r="C50" s="4" t="s">
        <v>108</v>
      </c>
      <c r="D50" s="4" t="s">
        <v>11</v>
      </c>
      <c r="E50" s="4" t="s">
        <v>105</v>
      </c>
      <c r="F50" s="4" t="s">
        <v>37</v>
      </c>
      <c r="G50" s="5">
        <v>44216</v>
      </c>
      <c r="H50" s="4" t="s">
        <v>14</v>
      </c>
      <c r="I50" t="s">
        <v>755</v>
      </c>
      <c r="J50" s="6">
        <v>16072</v>
      </c>
      <c r="K50" s="6">
        <v>26787</v>
      </c>
      <c r="L50" s="4">
        <v>8</v>
      </c>
    </row>
    <row r="51" spans="1:12" x14ac:dyDescent="0.3">
      <c r="A51" s="16">
        <v>50</v>
      </c>
      <c r="B51" s="4">
        <v>40038</v>
      </c>
      <c r="C51" s="4" t="s">
        <v>109</v>
      </c>
      <c r="D51" s="4" t="s">
        <v>11</v>
      </c>
      <c r="E51" s="4" t="s">
        <v>105</v>
      </c>
      <c r="F51" s="4" t="s">
        <v>37</v>
      </c>
      <c r="G51" s="5">
        <v>44604</v>
      </c>
      <c r="H51" s="4" t="s">
        <v>14</v>
      </c>
      <c r="I51" t="s">
        <v>756</v>
      </c>
      <c r="J51" s="6">
        <v>20928</v>
      </c>
      <c r="K51" s="6">
        <v>34879</v>
      </c>
      <c r="L51" s="4">
        <v>12</v>
      </c>
    </row>
    <row r="52" spans="1:12" x14ac:dyDescent="0.3">
      <c r="A52" s="16">
        <v>51</v>
      </c>
      <c r="B52" s="4">
        <v>40015</v>
      </c>
      <c r="C52" s="4" t="s">
        <v>110</v>
      </c>
      <c r="D52" s="4" t="s">
        <v>11</v>
      </c>
      <c r="E52" s="4" t="s">
        <v>105</v>
      </c>
      <c r="F52" s="4" t="s">
        <v>111</v>
      </c>
      <c r="G52" s="5">
        <v>43040</v>
      </c>
      <c r="H52" s="4" t="s">
        <v>14</v>
      </c>
      <c r="I52" t="s">
        <v>756</v>
      </c>
      <c r="J52" s="6">
        <v>21877</v>
      </c>
      <c r="K52" s="6">
        <v>36461</v>
      </c>
      <c r="L52" s="4">
        <v>12</v>
      </c>
    </row>
    <row r="53" spans="1:12" x14ac:dyDescent="0.3">
      <c r="A53" s="16">
        <v>52</v>
      </c>
      <c r="B53" s="4">
        <v>60042</v>
      </c>
      <c r="C53" s="4" t="s">
        <v>112</v>
      </c>
      <c r="D53" s="4" t="s">
        <v>63</v>
      </c>
      <c r="E53" s="4" t="s">
        <v>86</v>
      </c>
      <c r="F53" s="4" t="s">
        <v>113</v>
      </c>
      <c r="G53" s="5">
        <v>45180</v>
      </c>
      <c r="H53" s="4" t="s">
        <v>14</v>
      </c>
      <c r="I53" t="s">
        <v>756</v>
      </c>
      <c r="J53" s="6">
        <v>9543</v>
      </c>
      <c r="K53" s="6">
        <v>15904</v>
      </c>
      <c r="L53" s="4">
        <v>8</v>
      </c>
    </row>
    <row r="54" spans="1:12" x14ac:dyDescent="0.3">
      <c r="A54" s="16">
        <v>53</v>
      </c>
      <c r="B54" s="4">
        <v>74126</v>
      </c>
      <c r="C54" s="4" t="s">
        <v>114</v>
      </c>
      <c r="D54" s="4" t="s">
        <v>11</v>
      </c>
      <c r="E54" s="4" t="s">
        <v>115</v>
      </c>
      <c r="F54" s="4" t="s">
        <v>116</v>
      </c>
      <c r="G54" s="5">
        <v>34982</v>
      </c>
      <c r="H54" s="4" t="s">
        <v>14</v>
      </c>
      <c r="I54" t="s">
        <v>755</v>
      </c>
      <c r="J54" s="6">
        <v>15852</v>
      </c>
      <c r="K54" s="6">
        <v>26421</v>
      </c>
      <c r="L54" s="4">
        <v>8</v>
      </c>
    </row>
    <row r="55" spans="1:12" x14ac:dyDescent="0.3">
      <c r="A55" s="16">
        <v>54</v>
      </c>
      <c r="B55" s="4">
        <v>70825</v>
      </c>
      <c r="C55" s="4" t="s">
        <v>117</v>
      </c>
      <c r="D55" s="4" t="s">
        <v>11</v>
      </c>
      <c r="E55" s="4" t="s">
        <v>115</v>
      </c>
      <c r="F55" s="4" t="s">
        <v>53</v>
      </c>
      <c r="G55" s="5">
        <v>44352</v>
      </c>
      <c r="H55" s="4" t="s">
        <v>14</v>
      </c>
      <c r="I55" t="s">
        <v>755</v>
      </c>
      <c r="J55" s="6">
        <v>24525</v>
      </c>
      <c r="K55" s="6">
        <v>40875</v>
      </c>
      <c r="L55" s="4">
        <v>8</v>
      </c>
    </row>
    <row r="56" spans="1:12" x14ac:dyDescent="0.3">
      <c r="A56" s="16">
        <v>55</v>
      </c>
      <c r="B56" s="4">
        <v>70721</v>
      </c>
      <c r="C56" s="4" t="s">
        <v>118</v>
      </c>
      <c r="D56" s="4" t="s">
        <v>11</v>
      </c>
      <c r="E56" s="4" t="s">
        <v>119</v>
      </c>
      <c r="F56" s="4" t="s">
        <v>120</v>
      </c>
      <c r="G56" s="5">
        <v>42409</v>
      </c>
      <c r="H56" s="4" t="s">
        <v>14</v>
      </c>
      <c r="I56" t="s">
        <v>756</v>
      </c>
      <c r="J56" s="6">
        <v>9658</v>
      </c>
      <c r="K56" s="6">
        <v>16097</v>
      </c>
      <c r="L56" s="4">
        <v>12</v>
      </c>
    </row>
    <row r="57" spans="1:12" x14ac:dyDescent="0.3">
      <c r="A57" s="16">
        <v>56</v>
      </c>
      <c r="B57" s="4">
        <v>70631</v>
      </c>
      <c r="C57" s="4" t="s">
        <v>121</v>
      </c>
      <c r="D57" s="4" t="s">
        <v>11</v>
      </c>
      <c r="E57" s="4" t="s">
        <v>119</v>
      </c>
      <c r="F57" s="4" t="s">
        <v>22</v>
      </c>
      <c r="G57" s="5">
        <v>43179</v>
      </c>
      <c r="H57" s="4" t="s">
        <v>14</v>
      </c>
      <c r="I57" t="s">
        <v>755</v>
      </c>
      <c r="J57" s="6">
        <v>9919</v>
      </c>
      <c r="K57" s="6">
        <v>16532</v>
      </c>
      <c r="L57" s="4">
        <v>12</v>
      </c>
    </row>
    <row r="58" spans="1:12" x14ac:dyDescent="0.3">
      <c r="A58" s="16">
        <v>57</v>
      </c>
      <c r="B58" s="4">
        <v>70635</v>
      </c>
      <c r="C58" s="4" t="s">
        <v>122</v>
      </c>
      <c r="D58" s="4" t="s">
        <v>11</v>
      </c>
      <c r="E58" s="4" t="s">
        <v>119</v>
      </c>
      <c r="F58" s="4" t="s">
        <v>123</v>
      </c>
      <c r="G58" s="5">
        <v>42448</v>
      </c>
      <c r="H58" s="4" t="s">
        <v>14</v>
      </c>
      <c r="I58" t="s">
        <v>755</v>
      </c>
      <c r="J58" s="6">
        <v>13734</v>
      </c>
      <c r="K58" s="6">
        <v>22891</v>
      </c>
      <c r="L58" s="4">
        <v>8</v>
      </c>
    </row>
    <row r="59" spans="1:12" x14ac:dyDescent="0.3">
      <c r="A59" s="16">
        <v>58</v>
      </c>
      <c r="B59" s="4">
        <v>70636</v>
      </c>
      <c r="C59" s="4" t="s">
        <v>124</v>
      </c>
      <c r="D59" s="4" t="s">
        <v>11</v>
      </c>
      <c r="E59" s="4" t="s">
        <v>119</v>
      </c>
      <c r="F59" s="4" t="s">
        <v>22</v>
      </c>
      <c r="G59" s="5">
        <v>43138</v>
      </c>
      <c r="H59" s="4" t="s">
        <v>14</v>
      </c>
      <c r="I59" t="s">
        <v>756</v>
      </c>
      <c r="J59" s="6">
        <v>9919</v>
      </c>
      <c r="K59" s="6">
        <v>16532</v>
      </c>
      <c r="L59" s="4">
        <v>8</v>
      </c>
    </row>
    <row r="60" spans="1:12" x14ac:dyDescent="0.3">
      <c r="A60" s="16">
        <v>59</v>
      </c>
      <c r="B60" s="4">
        <v>40003</v>
      </c>
      <c r="C60" s="4" t="s">
        <v>23</v>
      </c>
      <c r="D60" s="4" t="s">
        <v>11</v>
      </c>
      <c r="E60" s="4" t="s">
        <v>119</v>
      </c>
      <c r="F60" s="4" t="s">
        <v>125</v>
      </c>
      <c r="G60" s="5">
        <v>42140</v>
      </c>
      <c r="H60" s="4" t="s">
        <v>14</v>
      </c>
      <c r="I60" t="s">
        <v>755</v>
      </c>
      <c r="J60" s="6">
        <v>14558</v>
      </c>
      <c r="K60" s="6">
        <v>24264</v>
      </c>
      <c r="L60" s="4">
        <v>8</v>
      </c>
    </row>
    <row r="61" spans="1:12" x14ac:dyDescent="0.3">
      <c r="A61" s="16">
        <v>60</v>
      </c>
      <c r="B61" s="4">
        <v>70090</v>
      </c>
      <c r="C61" s="4" t="s">
        <v>126</v>
      </c>
      <c r="D61" s="4" t="s">
        <v>11</v>
      </c>
      <c r="E61" s="4" t="s">
        <v>119</v>
      </c>
      <c r="F61" s="4" t="s">
        <v>53</v>
      </c>
      <c r="G61" s="5">
        <v>42064</v>
      </c>
      <c r="H61" s="4" t="s">
        <v>14</v>
      </c>
      <c r="I61" t="s">
        <v>756</v>
      </c>
      <c r="J61" s="6">
        <v>15042</v>
      </c>
      <c r="K61" s="6">
        <v>25070</v>
      </c>
      <c r="L61" s="4">
        <v>8</v>
      </c>
    </row>
    <row r="62" spans="1:12" x14ac:dyDescent="0.3">
      <c r="A62" s="16">
        <v>61</v>
      </c>
      <c r="B62" s="4">
        <v>74023</v>
      </c>
      <c r="C62" s="4" t="s">
        <v>127</v>
      </c>
      <c r="D62" s="4" t="s">
        <v>11</v>
      </c>
      <c r="E62" s="4" t="s">
        <v>119</v>
      </c>
      <c r="F62" s="4" t="s">
        <v>20</v>
      </c>
      <c r="G62" s="5">
        <v>45048</v>
      </c>
      <c r="H62" s="4" t="s">
        <v>14</v>
      </c>
      <c r="I62" t="s">
        <v>756</v>
      </c>
      <c r="J62" s="6">
        <v>9629</v>
      </c>
      <c r="K62" s="6">
        <v>16048</v>
      </c>
      <c r="L62" s="4">
        <v>8</v>
      </c>
    </row>
    <row r="63" spans="1:12" x14ac:dyDescent="0.3">
      <c r="A63" s="16">
        <v>62</v>
      </c>
      <c r="B63" s="4">
        <v>50011</v>
      </c>
      <c r="C63" s="4" t="s">
        <v>128</v>
      </c>
      <c r="D63" s="4" t="s">
        <v>129</v>
      </c>
      <c r="E63" s="4" t="s">
        <v>129</v>
      </c>
      <c r="F63" s="4" t="s">
        <v>130</v>
      </c>
      <c r="G63" s="5">
        <v>45202</v>
      </c>
      <c r="H63" s="4" t="s">
        <v>14</v>
      </c>
      <c r="I63" t="s">
        <v>756</v>
      </c>
      <c r="J63" s="6">
        <v>10431</v>
      </c>
      <c r="K63" s="6">
        <v>17386</v>
      </c>
      <c r="L63" s="4">
        <v>12</v>
      </c>
    </row>
    <row r="64" spans="1:12" x14ac:dyDescent="0.3">
      <c r="A64" s="16">
        <v>63</v>
      </c>
      <c r="B64" s="4">
        <v>50004</v>
      </c>
      <c r="C64" s="4" t="s">
        <v>131</v>
      </c>
      <c r="D64" s="4" t="s">
        <v>129</v>
      </c>
      <c r="E64" s="4" t="s">
        <v>129</v>
      </c>
      <c r="F64" s="4" t="s">
        <v>132</v>
      </c>
      <c r="G64" s="5">
        <v>41597</v>
      </c>
      <c r="H64" s="4" t="s">
        <v>14</v>
      </c>
      <c r="I64" t="s">
        <v>755</v>
      </c>
      <c r="J64" s="6">
        <v>17462</v>
      </c>
      <c r="K64" s="6">
        <v>29103</v>
      </c>
      <c r="L64" s="4">
        <v>8</v>
      </c>
    </row>
    <row r="65" spans="1:12" x14ac:dyDescent="0.3">
      <c r="A65" s="16">
        <v>64</v>
      </c>
      <c r="B65" s="4">
        <v>50009</v>
      </c>
      <c r="C65" s="4" t="s">
        <v>133</v>
      </c>
      <c r="D65" s="4" t="s">
        <v>129</v>
      </c>
      <c r="E65" s="4" t="s">
        <v>129</v>
      </c>
      <c r="F65" s="4" t="s">
        <v>130</v>
      </c>
      <c r="G65" s="5">
        <v>43180</v>
      </c>
      <c r="H65" s="4" t="s">
        <v>14</v>
      </c>
      <c r="I65" t="s">
        <v>755</v>
      </c>
      <c r="J65" s="6">
        <v>13801</v>
      </c>
      <c r="K65" s="6">
        <v>23001</v>
      </c>
      <c r="L65" s="4">
        <v>12</v>
      </c>
    </row>
    <row r="66" spans="1:12" x14ac:dyDescent="0.3">
      <c r="A66" s="16">
        <v>65</v>
      </c>
      <c r="B66" s="4">
        <v>40030</v>
      </c>
      <c r="C66" s="4" t="s">
        <v>134</v>
      </c>
      <c r="D66" s="4" t="s">
        <v>59</v>
      </c>
      <c r="E66" s="4" t="s">
        <v>60</v>
      </c>
      <c r="F66" s="4" t="s">
        <v>135</v>
      </c>
      <c r="G66" s="5">
        <v>44081</v>
      </c>
      <c r="H66" s="4" t="s">
        <v>14</v>
      </c>
      <c r="I66" t="s">
        <v>756</v>
      </c>
      <c r="J66" s="6">
        <v>14192</v>
      </c>
      <c r="K66" s="6">
        <v>23654</v>
      </c>
      <c r="L66" s="4">
        <v>8</v>
      </c>
    </row>
    <row r="67" spans="1:12" x14ac:dyDescent="0.3">
      <c r="A67" s="16">
        <v>66</v>
      </c>
      <c r="B67" s="4">
        <v>40031</v>
      </c>
      <c r="C67" s="4" t="s">
        <v>136</v>
      </c>
      <c r="D67" s="4" t="s">
        <v>59</v>
      </c>
      <c r="E67" s="4" t="s">
        <v>60</v>
      </c>
      <c r="F67" s="4" t="s">
        <v>135</v>
      </c>
      <c r="G67" s="5">
        <v>44083</v>
      </c>
      <c r="H67" s="4" t="s">
        <v>14</v>
      </c>
      <c r="I67" t="s">
        <v>755</v>
      </c>
      <c r="J67" s="6">
        <v>15042</v>
      </c>
      <c r="K67" s="6">
        <v>25070</v>
      </c>
      <c r="L67" s="4">
        <v>8</v>
      </c>
    </row>
    <row r="68" spans="1:12" x14ac:dyDescent="0.3">
      <c r="A68" s="16">
        <v>67</v>
      </c>
      <c r="B68" s="4">
        <v>40028</v>
      </c>
      <c r="C68" s="4" t="s">
        <v>137</v>
      </c>
      <c r="D68" s="4" t="s">
        <v>59</v>
      </c>
      <c r="E68" s="4" t="s">
        <v>60</v>
      </c>
      <c r="F68" s="4" t="s">
        <v>138</v>
      </c>
      <c r="G68" s="5">
        <v>43771</v>
      </c>
      <c r="H68" s="4" t="s">
        <v>14</v>
      </c>
      <c r="I68" t="s">
        <v>755</v>
      </c>
      <c r="J68" s="6">
        <v>12786</v>
      </c>
      <c r="K68" s="6">
        <v>21309</v>
      </c>
      <c r="L68" s="4">
        <v>8</v>
      </c>
    </row>
    <row r="69" spans="1:12" x14ac:dyDescent="0.3">
      <c r="A69" s="16">
        <v>68</v>
      </c>
      <c r="B69" s="4">
        <v>70682</v>
      </c>
      <c r="C69" s="4" t="s">
        <v>139</v>
      </c>
      <c r="D69" s="4" t="s">
        <v>59</v>
      </c>
      <c r="E69" s="4" t="s">
        <v>60</v>
      </c>
      <c r="F69" s="4" t="s">
        <v>138</v>
      </c>
      <c r="G69" s="5">
        <v>43807</v>
      </c>
      <c r="H69" s="4" t="s">
        <v>14</v>
      </c>
      <c r="I69" t="s">
        <v>756</v>
      </c>
      <c r="J69" s="6">
        <v>11121</v>
      </c>
      <c r="K69" s="6">
        <v>18535</v>
      </c>
      <c r="L69" s="4">
        <v>12</v>
      </c>
    </row>
    <row r="70" spans="1:12" x14ac:dyDescent="0.3">
      <c r="A70" s="16">
        <v>69</v>
      </c>
      <c r="B70" s="4">
        <v>40040</v>
      </c>
      <c r="C70" s="4" t="s">
        <v>140</v>
      </c>
      <c r="D70" s="4" t="s">
        <v>59</v>
      </c>
      <c r="E70" s="4" t="s">
        <v>60</v>
      </c>
      <c r="F70" s="4" t="s">
        <v>141</v>
      </c>
      <c r="G70" s="5">
        <v>44593</v>
      </c>
      <c r="H70" s="4" t="s">
        <v>14</v>
      </c>
      <c r="I70" t="s">
        <v>755</v>
      </c>
      <c r="J70" s="6">
        <v>25179</v>
      </c>
      <c r="K70" s="6">
        <v>41966</v>
      </c>
      <c r="L70" s="4">
        <v>12</v>
      </c>
    </row>
    <row r="71" spans="1:12" x14ac:dyDescent="0.3">
      <c r="A71" s="16">
        <v>70</v>
      </c>
      <c r="B71" s="4">
        <v>40037</v>
      </c>
      <c r="C71" s="4" t="s">
        <v>142</v>
      </c>
      <c r="D71" s="4" t="s">
        <v>59</v>
      </c>
      <c r="E71" s="4" t="s">
        <v>60</v>
      </c>
      <c r="F71" s="4" t="s">
        <v>143</v>
      </c>
      <c r="G71" s="5">
        <v>44550</v>
      </c>
      <c r="H71" s="4" t="s">
        <v>14</v>
      </c>
      <c r="I71" t="s">
        <v>755</v>
      </c>
      <c r="J71" s="6">
        <v>30738</v>
      </c>
      <c r="K71" s="6">
        <v>51230</v>
      </c>
      <c r="L71" s="4">
        <v>8</v>
      </c>
    </row>
    <row r="72" spans="1:12" x14ac:dyDescent="0.3">
      <c r="A72" s="16">
        <v>71</v>
      </c>
      <c r="B72" s="4">
        <v>40012</v>
      </c>
      <c r="C72" s="4" t="s">
        <v>144</v>
      </c>
      <c r="D72" s="4" t="s">
        <v>59</v>
      </c>
      <c r="E72" s="4" t="s">
        <v>60</v>
      </c>
      <c r="F72" s="4" t="s">
        <v>111</v>
      </c>
      <c r="G72" s="5">
        <v>42594</v>
      </c>
      <c r="H72" s="4" t="s">
        <v>14</v>
      </c>
      <c r="I72" t="s">
        <v>756</v>
      </c>
      <c r="J72" s="6">
        <v>25833</v>
      </c>
      <c r="K72" s="6">
        <v>43056</v>
      </c>
      <c r="L72" s="4">
        <v>8</v>
      </c>
    </row>
    <row r="73" spans="1:12" x14ac:dyDescent="0.3">
      <c r="A73" s="16">
        <v>72</v>
      </c>
      <c r="B73" s="4">
        <v>70236</v>
      </c>
      <c r="C73" s="4" t="s">
        <v>145</v>
      </c>
      <c r="D73" s="4" t="s">
        <v>59</v>
      </c>
      <c r="E73" s="4" t="s">
        <v>60</v>
      </c>
      <c r="F73" s="4" t="s">
        <v>138</v>
      </c>
      <c r="G73" s="5">
        <v>42921</v>
      </c>
      <c r="H73" s="4" t="s">
        <v>14</v>
      </c>
      <c r="I73" t="s">
        <v>755</v>
      </c>
      <c r="J73" s="6">
        <v>12753</v>
      </c>
      <c r="K73" s="6">
        <v>21256</v>
      </c>
      <c r="L73" s="4">
        <v>8</v>
      </c>
    </row>
    <row r="74" spans="1:12" x14ac:dyDescent="0.3">
      <c r="A74" s="16">
        <v>73</v>
      </c>
      <c r="B74" s="4">
        <v>70983</v>
      </c>
      <c r="C74" s="4" t="s">
        <v>146</v>
      </c>
      <c r="D74" s="4" t="s">
        <v>59</v>
      </c>
      <c r="E74" s="4" t="s">
        <v>60</v>
      </c>
      <c r="F74" s="4" t="s">
        <v>147</v>
      </c>
      <c r="G74" s="5">
        <v>43374</v>
      </c>
      <c r="H74" s="4" t="s">
        <v>14</v>
      </c>
      <c r="I74" t="s">
        <v>755</v>
      </c>
      <c r="J74" s="6">
        <v>18155</v>
      </c>
      <c r="K74" s="6">
        <v>30259</v>
      </c>
      <c r="L74" s="4">
        <v>12</v>
      </c>
    </row>
    <row r="75" spans="1:12" x14ac:dyDescent="0.3">
      <c r="A75" s="16">
        <v>74</v>
      </c>
      <c r="B75" s="4">
        <v>40050</v>
      </c>
      <c r="C75" s="4" t="s">
        <v>148</v>
      </c>
      <c r="D75" s="4" t="s">
        <v>59</v>
      </c>
      <c r="E75" s="4" t="s">
        <v>60</v>
      </c>
      <c r="F75" s="4" t="s">
        <v>37</v>
      </c>
      <c r="G75" s="5">
        <v>45696</v>
      </c>
      <c r="H75" s="4" t="s">
        <v>14</v>
      </c>
      <c r="I75" t="s">
        <v>756</v>
      </c>
      <c r="J75" s="6">
        <v>13200</v>
      </c>
      <c r="K75" s="6">
        <v>22000</v>
      </c>
      <c r="L75" s="4">
        <v>12</v>
      </c>
    </row>
    <row r="76" spans="1:12" x14ac:dyDescent="0.3">
      <c r="A76" s="16">
        <v>75</v>
      </c>
      <c r="B76" s="4">
        <v>40047</v>
      </c>
      <c r="C76" s="4" t="s">
        <v>149</v>
      </c>
      <c r="D76" s="4" t="s">
        <v>59</v>
      </c>
      <c r="E76" s="4" t="s">
        <v>150</v>
      </c>
      <c r="F76" s="4" t="s">
        <v>151</v>
      </c>
      <c r="G76" s="5">
        <v>45172</v>
      </c>
      <c r="H76" s="4" t="s">
        <v>14</v>
      </c>
      <c r="I76" t="s">
        <v>756</v>
      </c>
      <c r="J76" s="6">
        <v>11118</v>
      </c>
      <c r="K76" s="6">
        <v>18530</v>
      </c>
      <c r="L76" s="4">
        <v>8</v>
      </c>
    </row>
    <row r="77" spans="1:12" x14ac:dyDescent="0.3">
      <c r="A77" s="16">
        <v>76</v>
      </c>
      <c r="B77" s="4">
        <v>40043</v>
      </c>
      <c r="C77" s="4" t="s">
        <v>152</v>
      </c>
      <c r="D77" s="4" t="s">
        <v>59</v>
      </c>
      <c r="E77" s="4" t="s">
        <v>150</v>
      </c>
      <c r="F77" s="4" t="s">
        <v>151</v>
      </c>
      <c r="G77" s="5">
        <v>44844</v>
      </c>
      <c r="H77" s="4" t="s">
        <v>14</v>
      </c>
      <c r="I77" t="s">
        <v>756</v>
      </c>
      <c r="J77" s="6">
        <v>9675</v>
      </c>
      <c r="K77" s="6">
        <v>16126</v>
      </c>
      <c r="L77" s="4">
        <v>8</v>
      </c>
    </row>
    <row r="78" spans="1:12" x14ac:dyDescent="0.3">
      <c r="A78" s="16">
        <v>77</v>
      </c>
      <c r="B78" s="4">
        <v>40005</v>
      </c>
      <c r="C78" s="4" t="s">
        <v>153</v>
      </c>
      <c r="D78" s="4" t="s">
        <v>59</v>
      </c>
      <c r="E78" s="4" t="s">
        <v>150</v>
      </c>
      <c r="F78" s="4" t="s">
        <v>111</v>
      </c>
      <c r="G78" s="5">
        <v>42957</v>
      </c>
      <c r="H78" s="4" t="s">
        <v>14</v>
      </c>
      <c r="I78" t="s">
        <v>755</v>
      </c>
      <c r="J78" s="6">
        <v>22236</v>
      </c>
      <c r="K78" s="6">
        <v>37060</v>
      </c>
      <c r="L78" s="4">
        <v>8</v>
      </c>
    </row>
    <row r="79" spans="1:12" x14ac:dyDescent="0.3">
      <c r="A79" s="16">
        <v>78</v>
      </c>
      <c r="B79" s="4">
        <v>40001</v>
      </c>
      <c r="C79" s="4" t="s">
        <v>154</v>
      </c>
      <c r="D79" s="4" t="s">
        <v>59</v>
      </c>
      <c r="E79" s="4" t="s">
        <v>150</v>
      </c>
      <c r="F79" s="4" t="s">
        <v>155</v>
      </c>
      <c r="G79" s="5">
        <v>40372</v>
      </c>
      <c r="H79" s="4" t="s">
        <v>14</v>
      </c>
      <c r="I79" t="s">
        <v>755</v>
      </c>
      <c r="J79" s="6">
        <v>21320</v>
      </c>
      <c r="K79" s="6">
        <v>35533</v>
      </c>
      <c r="L79" s="4">
        <v>8</v>
      </c>
    </row>
    <row r="80" spans="1:12" x14ac:dyDescent="0.3">
      <c r="A80" s="16">
        <v>79</v>
      </c>
      <c r="B80" s="4">
        <v>70896</v>
      </c>
      <c r="C80" s="4" t="s">
        <v>156</v>
      </c>
      <c r="D80" s="4" t="s">
        <v>59</v>
      </c>
      <c r="E80" s="4" t="s">
        <v>150</v>
      </c>
      <c r="F80" s="4" t="s">
        <v>27</v>
      </c>
      <c r="G80" s="5">
        <v>44515</v>
      </c>
      <c r="H80" s="4" t="s">
        <v>14</v>
      </c>
      <c r="I80" t="s">
        <v>756</v>
      </c>
      <c r="J80" s="6">
        <v>16546</v>
      </c>
      <c r="K80" s="6">
        <v>27576</v>
      </c>
      <c r="L80" s="4">
        <v>8</v>
      </c>
    </row>
    <row r="81" spans="1:12" x14ac:dyDescent="0.3">
      <c r="A81" s="16">
        <v>80</v>
      </c>
      <c r="B81" s="4">
        <v>70679</v>
      </c>
      <c r="C81" s="4" t="s">
        <v>157</v>
      </c>
      <c r="D81" s="4" t="s">
        <v>59</v>
      </c>
      <c r="E81" s="4" t="s">
        <v>150</v>
      </c>
      <c r="F81" s="4" t="s">
        <v>151</v>
      </c>
      <c r="G81" s="5">
        <v>43739</v>
      </c>
      <c r="H81" s="4" t="s">
        <v>14</v>
      </c>
      <c r="I81" t="s">
        <v>755</v>
      </c>
      <c r="J81" s="6">
        <v>12753</v>
      </c>
      <c r="K81" s="6">
        <v>21256</v>
      </c>
      <c r="L81" s="4">
        <v>12</v>
      </c>
    </row>
    <row r="82" spans="1:12" x14ac:dyDescent="0.3">
      <c r="A82" s="16">
        <v>81</v>
      </c>
      <c r="B82" s="4">
        <v>60006</v>
      </c>
      <c r="C82" s="4" t="s">
        <v>158</v>
      </c>
      <c r="D82" s="4" t="s">
        <v>159</v>
      </c>
      <c r="E82" s="4" t="s">
        <v>159</v>
      </c>
      <c r="F82" s="4" t="s">
        <v>160</v>
      </c>
      <c r="G82" s="5">
        <v>41974</v>
      </c>
      <c r="H82" s="4" t="s">
        <v>14</v>
      </c>
      <c r="I82" t="s">
        <v>755</v>
      </c>
      <c r="J82" s="6">
        <v>28122</v>
      </c>
      <c r="K82" s="6">
        <v>46870</v>
      </c>
      <c r="L82" s="4">
        <v>8</v>
      </c>
    </row>
    <row r="83" spans="1:12" x14ac:dyDescent="0.3">
      <c r="A83" s="16">
        <v>82</v>
      </c>
      <c r="B83" s="4">
        <v>20003</v>
      </c>
      <c r="C83" s="4" t="s">
        <v>161</v>
      </c>
      <c r="D83" s="4" t="s">
        <v>159</v>
      </c>
      <c r="E83" s="4" t="s">
        <v>159</v>
      </c>
      <c r="F83" s="4" t="s">
        <v>162</v>
      </c>
      <c r="G83" s="5">
        <v>43253</v>
      </c>
      <c r="H83" s="4" t="s">
        <v>14</v>
      </c>
      <c r="I83" t="s">
        <v>756</v>
      </c>
      <c r="J83" s="6">
        <v>29365</v>
      </c>
      <c r="K83" s="6">
        <v>48941</v>
      </c>
      <c r="L83" s="4">
        <v>12</v>
      </c>
    </row>
    <row r="84" spans="1:12" x14ac:dyDescent="0.3">
      <c r="A84" s="16">
        <v>83</v>
      </c>
      <c r="B84" s="4">
        <v>90001</v>
      </c>
      <c r="C84" s="4" t="s">
        <v>163</v>
      </c>
      <c r="D84" s="4" t="s">
        <v>63</v>
      </c>
      <c r="E84" s="4" t="s">
        <v>64</v>
      </c>
      <c r="F84" s="4" t="s">
        <v>164</v>
      </c>
      <c r="G84" s="5">
        <v>41699</v>
      </c>
      <c r="H84" s="4" t="s">
        <v>14</v>
      </c>
      <c r="I84" t="s">
        <v>755</v>
      </c>
      <c r="J84" s="6">
        <v>10794</v>
      </c>
      <c r="K84" s="6">
        <v>17991</v>
      </c>
      <c r="L84" s="4">
        <v>8</v>
      </c>
    </row>
    <row r="85" spans="1:12" x14ac:dyDescent="0.3">
      <c r="A85" s="16">
        <v>84</v>
      </c>
      <c r="B85" s="4">
        <v>90017</v>
      </c>
      <c r="C85" s="4" t="s">
        <v>165</v>
      </c>
      <c r="D85" s="4" t="s">
        <v>63</v>
      </c>
      <c r="E85" s="4" t="s">
        <v>166</v>
      </c>
      <c r="F85" s="4" t="s">
        <v>167</v>
      </c>
      <c r="G85" s="5">
        <v>42753</v>
      </c>
      <c r="H85" s="4" t="s">
        <v>14</v>
      </c>
      <c r="I85" t="s">
        <v>756</v>
      </c>
      <c r="J85" s="6">
        <v>10660</v>
      </c>
      <c r="K85" s="6">
        <v>17767</v>
      </c>
      <c r="L85" s="4">
        <v>8</v>
      </c>
    </row>
    <row r="86" spans="1:12" x14ac:dyDescent="0.3">
      <c r="A86" s="16">
        <v>85</v>
      </c>
      <c r="B86" s="4">
        <v>10001</v>
      </c>
      <c r="C86" s="4" t="s">
        <v>168</v>
      </c>
      <c r="D86" s="4" t="s">
        <v>63</v>
      </c>
      <c r="E86" s="4" t="s">
        <v>73</v>
      </c>
      <c r="F86" s="4" t="s">
        <v>169</v>
      </c>
      <c r="G86" s="5">
        <v>41426</v>
      </c>
      <c r="H86" s="4" t="s">
        <v>14</v>
      </c>
      <c r="I86" t="s">
        <v>756</v>
      </c>
      <c r="J86" s="6">
        <v>111000</v>
      </c>
      <c r="K86" s="6">
        <v>185000</v>
      </c>
      <c r="L86" s="4">
        <v>8</v>
      </c>
    </row>
    <row r="87" spans="1:12" x14ac:dyDescent="0.3">
      <c r="A87" s="16">
        <v>86</v>
      </c>
      <c r="B87" s="4">
        <v>10008</v>
      </c>
      <c r="C87" s="4" t="s">
        <v>170</v>
      </c>
      <c r="D87" s="4" t="s">
        <v>63</v>
      </c>
      <c r="E87" s="4" t="s">
        <v>171</v>
      </c>
      <c r="F87" s="4" t="s">
        <v>172</v>
      </c>
      <c r="G87" s="5">
        <v>42679</v>
      </c>
      <c r="H87" s="4" t="s">
        <v>14</v>
      </c>
      <c r="I87" t="s">
        <v>756</v>
      </c>
      <c r="J87" s="6">
        <v>19308</v>
      </c>
      <c r="K87" s="6">
        <v>32179</v>
      </c>
      <c r="L87" s="4">
        <v>12</v>
      </c>
    </row>
    <row r="88" spans="1:12" x14ac:dyDescent="0.3">
      <c r="A88" s="16">
        <v>87</v>
      </c>
      <c r="B88" s="4">
        <v>70304</v>
      </c>
      <c r="C88" s="4" t="s">
        <v>173</v>
      </c>
      <c r="D88" s="4" t="s">
        <v>63</v>
      </c>
      <c r="E88" s="4" t="s">
        <v>76</v>
      </c>
      <c r="F88" s="4" t="s">
        <v>174</v>
      </c>
      <c r="G88" s="5">
        <v>41415</v>
      </c>
      <c r="H88" s="4" t="s">
        <v>14</v>
      </c>
      <c r="I88" t="s">
        <v>755</v>
      </c>
      <c r="J88" s="6">
        <v>14519</v>
      </c>
      <c r="K88" s="6">
        <v>24198</v>
      </c>
      <c r="L88" s="4">
        <v>12</v>
      </c>
    </row>
    <row r="89" spans="1:12" x14ac:dyDescent="0.3">
      <c r="A89" s="16">
        <v>88</v>
      </c>
      <c r="B89" s="4">
        <v>70303</v>
      </c>
      <c r="C89" s="4" t="s">
        <v>175</v>
      </c>
      <c r="D89" s="4" t="s">
        <v>63</v>
      </c>
      <c r="E89" s="4" t="s">
        <v>76</v>
      </c>
      <c r="F89" s="4" t="s">
        <v>176</v>
      </c>
      <c r="G89" s="5">
        <v>40360</v>
      </c>
      <c r="H89" s="4" t="s">
        <v>14</v>
      </c>
      <c r="I89" t="s">
        <v>755</v>
      </c>
      <c r="J89" s="6">
        <v>13935</v>
      </c>
      <c r="K89" s="6">
        <v>23226</v>
      </c>
      <c r="L89" s="4">
        <v>8</v>
      </c>
    </row>
    <row r="90" spans="1:12" x14ac:dyDescent="0.3">
      <c r="A90" s="16">
        <v>89</v>
      </c>
      <c r="B90" s="4">
        <v>70302</v>
      </c>
      <c r="C90" s="4" t="s">
        <v>177</v>
      </c>
      <c r="D90" s="4" t="s">
        <v>63</v>
      </c>
      <c r="E90" s="4" t="s">
        <v>76</v>
      </c>
      <c r="F90" s="4" t="s">
        <v>176</v>
      </c>
      <c r="G90" s="5">
        <v>40550</v>
      </c>
      <c r="H90" s="4" t="s">
        <v>14</v>
      </c>
      <c r="I90" t="s">
        <v>756</v>
      </c>
      <c r="J90" s="6">
        <v>14510</v>
      </c>
      <c r="K90" s="6">
        <v>24184</v>
      </c>
      <c r="L90" s="4">
        <v>8</v>
      </c>
    </row>
    <row r="91" spans="1:12" x14ac:dyDescent="0.3">
      <c r="A91" s="16">
        <v>90</v>
      </c>
      <c r="B91" s="4">
        <v>70943</v>
      </c>
      <c r="C91" s="4" t="s">
        <v>178</v>
      </c>
      <c r="D91" s="4" t="s">
        <v>63</v>
      </c>
      <c r="E91" s="4" t="s">
        <v>76</v>
      </c>
      <c r="F91" s="4" t="s">
        <v>77</v>
      </c>
      <c r="G91" s="5">
        <v>44593</v>
      </c>
      <c r="H91" s="4" t="s">
        <v>14</v>
      </c>
      <c r="I91" t="s">
        <v>755</v>
      </c>
      <c r="J91" s="6">
        <v>9691</v>
      </c>
      <c r="K91" s="6">
        <v>16153</v>
      </c>
      <c r="L91" s="4">
        <v>8</v>
      </c>
    </row>
    <row r="92" spans="1:12" x14ac:dyDescent="0.3">
      <c r="A92" s="16">
        <v>91</v>
      </c>
      <c r="B92" s="4">
        <v>70984</v>
      </c>
      <c r="C92" s="4" t="s">
        <v>179</v>
      </c>
      <c r="D92" s="4" t="s">
        <v>63</v>
      </c>
      <c r="E92" s="4" t="s">
        <v>76</v>
      </c>
      <c r="F92" s="4" t="s">
        <v>180</v>
      </c>
      <c r="G92" s="5">
        <v>45301</v>
      </c>
      <c r="H92" s="4" t="s">
        <v>14</v>
      </c>
      <c r="I92" t="s">
        <v>755</v>
      </c>
      <c r="J92" s="6">
        <v>14500</v>
      </c>
      <c r="K92" s="6">
        <v>25000</v>
      </c>
      <c r="L92" s="4">
        <v>12</v>
      </c>
    </row>
    <row r="93" spans="1:12" x14ac:dyDescent="0.3">
      <c r="A93" s="16">
        <v>92</v>
      </c>
      <c r="B93" s="4">
        <v>70372</v>
      </c>
      <c r="C93" s="4" t="s">
        <v>181</v>
      </c>
      <c r="D93" s="4" t="s">
        <v>63</v>
      </c>
      <c r="E93" s="4" t="s">
        <v>79</v>
      </c>
      <c r="F93" s="4" t="s">
        <v>80</v>
      </c>
      <c r="G93" s="5">
        <v>42756</v>
      </c>
      <c r="H93" s="4" t="s">
        <v>14</v>
      </c>
      <c r="I93" t="s">
        <v>756</v>
      </c>
      <c r="J93" s="6">
        <v>9749</v>
      </c>
      <c r="K93" s="6">
        <v>16248</v>
      </c>
      <c r="L93" s="4">
        <v>12</v>
      </c>
    </row>
    <row r="94" spans="1:12" x14ac:dyDescent="0.3">
      <c r="A94" s="16">
        <v>93</v>
      </c>
      <c r="B94" s="4">
        <v>70945</v>
      </c>
      <c r="C94" s="4" t="s">
        <v>182</v>
      </c>
      <c r="D94" s="4" t="s">
        <v>63</v>
      </c>
      <c r="E94" s="4" t="s">
        <v>79</v>
      </c>
      <c r="F94" s="4" t="s">
        <v>183</v>
      </c>
      <c r="G94" s="5">
        <v>44632</v>
      </c>
      <c r="H94" s="4" t="s">
        <v>14</v>
      </c>
      <c r="I94" t="s">
        <v>755</v>
      </c>
      <c r="J94" s="6">
        <v>11165</v>
      </c>
      <c r="K94" s="6">
        <v>18608</v>
      </c>
      <c r="L94" s="4">
        <v>8</v>
      </c>
    </row>
    <row r="95" spans="1:12" x14ac:dyDescent="0.3">
      <c r="A95" s="16">
        <v>94</v>
      </c>
      <c r="B95" s="4">
        <v>90037</v>
      </c>
      <c r="C95" s="4" t="s">
        <v>184</v>
      </c>
      <c r="D95" s="4" t="s">
        <v>63</v>
      </c>
      <c r="E95" s="4" t="s">
        <v>86</v>
      </c>
      <c r="F95" s="4" t="s">
        <v>87</v>
      </c>
      <c r="G95" s="5">
        <v>45566</v>
      </c>
      <c r="H95" s="4" t="s">
        <v>14</v>
      </c>
      <c r="I95" t="s">
        <v>755</v>
      </c>
      <c r="J95" s="6">
        <v>11600</v>
      </c>
      <c r="K95" s="6">
        <v>20000</v>
      </c>
      <c r="L95" s="4">
        <v>8</v>
      </c>
    </row>
    <row r="96" spans="1:12" x14ac:dyDescent="0.3">
      <c r="A96" s="16">
        <v>95</v>
      </c>
      <c r="B96" s="4">
        <v>60001</v>
      </c>
      <c r="C96" s="4" t="s">
        <v>185</v>
      </c>
      <c r="D96" s="4" t="s">
        <v>93</v>
      </c>
      <c r="E96" s="4" t="s">
        <v>93</v>
      </c>
      <c r="F96" s="4" t="s">
        <v>186</v>
      </c>
      <c r="G96" s="5">
        <v>35582</v>
      </c>
      <c r="H96" s="4" t="s">
        <v>14</v>
      </c>
      <c r="I96" t="s">
        <v>756</v>
      </c>
      <c r="J96" s="6">
        <v>43852</v>
      </c>
      <c r="K96" s="6">
        <v>73087</v>
      </c>
      <c r="L96" s="4">
        <v>8</v>
      </c>
    </row>
    <row r="97" spans="1:12" x14ac:dyDescent="0.3">
      <c r="A97" s="16">
        <v>96</v>
      </c>
      <c r="B97" s="4">
        <v>60003</v>
      </c>
      <c r="C97" s="4" t="s">
        <v>187</v>
      </c>
      <c r="D97" s="4" t="s">
        <v>93</v>
      </c>
      <c r="E97" s="4" t="s">
        <v>93</v>
      </c>
      <c r="F97" s="4" t="s">
        <v>188</v>
      </c>
      <c r="G97" s="5">
        <v>42522</v>
      </c>
      <c r="H97" s="4" t="s">
        <v>14</v>
      </c>
      <c r="I97" t="s">
        <v>755</v>
      </c>
      <c r="J97" s="6">
        <v>18286</v>
      </c>
      <c r="K97" s="6">
        <v>30476</v>
      </c>
      <c r="L97" s="4">
        <v>8</v>
      </c>
    </row>
    <row r="98" spans="1:12" x14ac:dyDescent="0.3">
      <c r="A98" s="16">
        <v>97</v>
      </c>
      <c r="B98" s="4">
        <v>60001</v>
      </c>
      <c r="C98" s="4" t="s">
        <v>189</v>
      </c>
      <c r="D98" s="4" t="s">
        <v>95</v>
      </c>
      <c r="E98" s="4" t="s">
        <v>96</v>
      </c>
      <c r="F98" s="4" t="s">
        <v>162</v>
      </c>
      <c r="G98" s="5">
        <v>40338</v>
      </c>
      <c r="H98" s="4" t="s">
        <v>14</v>
      </c>
      <c r="I98" t="s">
        <v>756</v>
      </c>
      <c r="J98" s="6">
        <v>27141</v>
      </c>
      <c r="K98" s="6">
        <v>45235</v>
      </c>
      <c r="L98" s="4">
        <v>8</v>
      </c>
    </row>
    <row r="99" spans="1:12" x14ac:dyDescent="0.3">
      <c r="A99" s="16">
        <v>98</v>
      </c>
      <c r="B99" s="4">
        <v>10012</v>
      </c>
      <c r="C99" s="4" t="s">
        <v>190</v>
      </c>
      <c r="D99" s="4" t="s">
        <v>95</v>
      </c>
      <c r="E99" s="4" t="s">
        <v>99</v>
      </c>
      <c r="F99" s="4" t="s">
        <v>160</v>
      </c>
      <c r="G99" s="5">
        <v>42125</v>
      </c>
      <c r="H99" s="4" t="s">
        <v>14</v>
      </c>
      <c r="I99" t="s">
        <v>756</v>
      </c>
      <c r="J99" s="6">
        <v>21909</v>
      </c>
      <c r="K99" s="6">
        <v>36515</v>
      </c>
      <c r="L99" s="4">
        <v>12</v>
      </c>
    </row>
    <row r="100" spans="1:12" x14ac:dyDescent="0.3">
      <c r="A100" s="16">
        <v>99</v>
      </c>
      <c r="B100" s="4">
        <v>60004</v>
      </c>
      <c r="C100" s="4" t="s">
        <v>191</v>
      </c>
      <c r="D100" s="4" t="s">
        <v>102</v>
      </c>
      <c r="E100" s="4" t="s">
        <v>102</v>
      </c>
      <c r="F100" s="4" t="s">
        <v>160</v>
      </c>
      <c r="G100" s="5">
        <v>42165</v>
      </c>
      <c r="H100" s="4" t="s">
        <v>14</v>
      </c>
      <c r="I100" t="s">
        <v>756</v>
      </c>
      <c r="J100" s="6">
        <v>30084</v>
      </c>
      <c r="K100" s="6">
        <v>50140</v>
      </c>
      <c r="L100" s="4">
        <v>8</v>
      </c>
    </row>
    <row r="101" spans="1:12" x14ac:dyDescent="0.3">
      <c r="A101" s="16">
        <v>100</v>
      </c>
      <c r="B101" s="4">
        <v>70001</v>
      </c>
      <c r="C101" s="4" t="s">
        <v>192</v>
      </c>
      <c r="D101" s="4" t="s">
        <v>11</v>
      </c>
      <c r="E101" s="4" t="s">
        <v>193</v>
      </c>
      <c r="F101" s="4" t="s">
        <v>194</v>
      </c>
      <c r="G101" s="5">
        <v>34851</v>
      </c>
      <c r="H101" s="4" t="s">
        <v>14</v>
      </c>
      <c r="I101" t="s">
        <v>755</v>
      </c>
      <c r="J101" s="6">
        <v>53236</v>
      </c>
      <c r="K101" s="6">
        <v>88727</v>
      </c>
      <c r="L101" s="4">
        <v>12</v>
      </c>
    </row>
    <row r="102" spans="1:12" x14ac:dyDescent="0.3">
      <c r="A102" s="16">
        <v>101</v>
      </c>
      <c r="B102" s="4">
        <v>70015</v>
      </c>
      <c r="C102" s="4" t="s">
        <v>195</v>
      </c>
      <c r="D102" s="4" t="s">
        <v>11</v>
      </c>
      <c r="E102" s="4" t="s">
        <v>193</v>
      </c>
      <c r="F102" s="4" t="s">
        <v>196</v>
      </c>
      <c r="G102" s="5">
        <v>37007</v>
      </c>
      <c r="H102" s="4" t="s">
        <v>14</v>
      </c>
      <c r="I102" t="s">
        <v>755</v>
      </c>
      <c r="J102" s="6">
        <v>15165</v>
      </c>
      <c r="K102" s="6">
        <v>25274</v>
      </c>
      <c r="L102" s="4">
        <v>8</v>
      </c>
    </row>
    <row r="103" spans="1:12" x14ac:dyDescent="0.3">
      <c r="A103" s="16">
        <v>102</v>
      </c>
      <c r="B103" s="4">
        <v>70009</v>
      </c>
      <c r="C103" s="4" t="s">
        <v>197</v>
      </c>
      <c r="D103" s="4" t="s">
        <v>11</v>
      </c>
      <c r="E103" s="4" t="s">
        <v>193</v>
      </c>
      <c r="F103" s="4" t="s">
        <v>198</v>
      </c>
      <c r="G103" s="5">
        <v>36173</v>
      </c>
      <c r="H103" s="4" t="s">
        <v>14</v>
      </c>
      <c r="I103" t="s">
        <v>756</v>
      </c>
      <c r="J103" s="6">
        <v>29410</v>
      </c>
      <c r="K103" s="6">
        <v>49018</v>
      </c>
      <c r="L103" s="4">
        <v>8</v>
      </c>
    </row>
    <row r="104" spans="1:12" x14ac:dyDescent="0.3">
      <c r="A104" s="16">
        <v>103</v>
      </c>
      <c r="B104" s="4">
        <v>70008</v>
      </c>
      <c r="C104" s="4" t="s">
        <v>199</v>
      </c>
      <c r="D104" s="4" t="s">
        <v>11</v>
      </c>
      <c r="E104" s="4" t="s">
        <v>193</v>
      </c>
      <c r="F104" s="4" t="s">
        <v>200</v>
      </c>
      <c r="G104" s="5">
        <v>35254</v>
      </c>
      <c r="H104" s="4" t="s">
        <v>14</v>
      </c>
      <c r="I104" t="s">
        <v>755</v>
      </c>
      <c r="J104" s="6">
        <v>16312</v>
      </c>
      <c r="K104" s="6">
        <v>27187</v>
      </c>
      <c r="L104" s="4">
        <v>8</v>
      </c>
    </row>
    <row r="105" spans="1:12" x14ac:dyDescent="0.3">
      <c r="A105" s="16">
        <v>104</v>
      </c>
      <c r="B105" s="4">
        <v>70027</v>
      </c>
      <c r="C105" s="4" t="s">
        <v>201</v>
      </c>
      <c r="D105" s="4" t="s">
        <v>11</v>
      </c>
      <c r="E105" s="4" t="s">
        <v>193</v>
      </c>
      <c r="F105" s="4" t="s">
        <v>202</v>
      </c>
      <c r="G105" s="5">
        <v>38353</v>
      </c>
      <c r="H105" s="4" t="s">
        <v>14</v>
      </c>
      <c r="I105" t="s">
        <v>755</v>
      </c>
      <c r="J105" s="6">
        <v>13414</v>
      </c>
      <c r="K105" s="6">
        <v>22357</v>
      </c>
      <c r="L105" s="4">
        <v>12</v>
      </c>
    </row>
    <row r="106" spans="1:12" x14ac:dyDescent="0.3">
      <c r="A106" s="16">
        <v>105</v>
      </c>
      <c r="B106" s="4">
        <v>70005</v>
      </c>
      <c r="C106" s="4" t="s">
        <v>203</v>
      </c>
      <c r="D106" s="4" t="s">
        <v>11</v>
      </c>
      <c r="E106" s="4" t="s">
        <v>193</v>
      </c>
      <c r="F106" s="4" t="s">
        <v>204</v>
      </c>
      <c r="G106" s="5">
        <v>35840</v>
      </c>
      <c r="H106" s="4" t="s">
        <v>14</v>
      </c>
      <c r="I106" t="s">
        <v>756</v>
      </c>
      <c r="J106" s="6">
        <v>34662</v>
      </c>
      <c r="K106" s="6">
        <v>57770</v>
      </c>
      <c r="L106" s="4">
        <v>12</v>
      </c>
    </row>
    <row r="107" spans="1:12" x14ac:dyDescent="0.3">
      <c r="A107" s="16">
        <v>106</v>
      </c>
      <c r="B107" s="4">
        <v>70785</v>
      </c>
      <c r="C107" s="4" t="s">
        <v>108</v>
      </c>
      <c r="D107" s="4" t="s">
        <v>11</v>
      </c>
      <c r="E107" s="4" t="s">
        <v>193</v>
      </c>
      <c r="F107" s="4" t="s">
        <v>53</v>
      </c>
      <c r="G107" s="5">
        <v>41441</v>
      </c>
      <c r="H107" s="4" t="s">
        <v>14</v>
      </c>
      <c r="I107" t="s">
        <v>755</v>
      </c>
      <c r="J107" s="6">
        <v>19620</v>
      </c>
      <c r="K107" s="6">
        <v>32700</v>
      </c>
      <c r="L107" s="4">
        <v>8</v>
      </c>
    </row>
    <row r="108" spans="1:12" x14ac:dyDescent="0.3">
      <c r="A108" s="16">
        <v>107</v>
      </c>
      <c r="B108" s="4">
        <v>70787</v>
      </c>
      <c r="C108" s="4" t="s">
        <v>205</v>
      </c>
      <c r="D108" s="4" t="s">
        <v>11</v>
      </c>
      <c r="E108" s="4" t="s">
        <v>193</v>
      </c>
      <c r="F108" s="4" t="s">
        <v>206</v>
      </c>
      <c r="G108" s="5">
        <v>41944</v>
      </c>
      <c r="H108" s="4" t="s">
        <v>14</v>
      </c>
      <c r="I108" t="s">
        <v>756</v>
      </c>
      <c r="J108" s="6">
        <v>11771</v>
      </c>
      <c r="K108" s="6">
        <v>19620</v>
      </c>
      <c r="L108" s="4">
        <v>8</v>
      </c>
    </row>
    <row r="109" spans="1:12" x14ac:dyDescent="0.3">
      <c r="A109" s="16">
        <v>108</v>
      </c>
      <c r="B109" s="4">
        <v>70788</v>
      </c>
      <c r="C109" s="4" t="s">
        <v>207</v>
      </c>
      <c r="D109" s="4" t="s">
        <v>11</v>
      </c>
      <c r="E109" s="4" t="s">
        <v>193</v>
      </c>
      <c r="F109" s="4" t="s">
        <v>206</v>
      </c>
      <c r="G109" s="5">
        <v>42675</v>
      </c>
      <c r="H109" s="4" t="s">
        <v>14</v>
      </c>
      <c r="I109" t="s">
        <v>756</v>
      </c>
      <c r="J109" s="6">
        <v>12168</v>
      </c>
      <c r="K109" s="6">
        <v>20279</v>
      </c>
      <c r="L109" s="4">
        <v>8</v>
      </c>
    </row>
    <row r="110" spans="1:12" x14ac:dyDescent="0.3">
      <c r="A110" s="16">
        <v>109</v>
      </c>
      <c r="B110" s="4">
        <v>70002</v>
      </c>
      <c r="C110" s="4" t="s">
        <v>208</v>
      </c>
      <c r="D110" s="4" t="s">
        <v>11</v>
      </c>
      <c r="E110" s="4" t="s">
        <v>209</v>
      </c>
      <c r="F110" s="4" t="s">
        <v>194</v>
      </c>
      <c r="G110" s="5">
        <v>35957</v>
      </c>
      <c r="H110" s="4" t="s">
        <v>14</v>
      </c>
      <c r="I110" t="s">
        <v>756</v>
      </c>
      <c r="J110" s="6">
        <v>49639</v>
      </c>
      <c r="K110" s="6">
        <v>82731</v>
      </c>
      <c r="L110" s="4">
        <v>12</v>
      </c>
    </row>
    <row r="111" spans="1:12" x14ac:dyDescent="0.3">
      <c r="A111" s="16">
        <v>110</v>
      </c>
      <c r="B111" s="4">
        <v>70225</v>
      </c>
      <c r="C111" s="4" t="s">
        <v>210</v>
      </c>
      <c r="D111" s="4" t="s">
        <v>11</v>
      </c>
      <c r="E111" s="4" t="s">
        <v>209</v>
      </c>
      <c r="F111" s="4" t="s">
        <v>53</v>
      </c>
      <c r="G111" s="5">
        <v>42140</v>
      </c>
      <c r="H111" s="4" t="s">
        <v>14</v>
      </c>
      <c r="I111" t="s">
        <v>755</v>
      </c>
      <c r="J111" s="6">
        <v>17985</v>
      </c>
      <c r="K111" s="6">
        <v>29975</v>
      </c>
      <c r="L111" s="4">
        <v>12</v>
      </c>
    </row>
    <row r="112" spans="1:12" x14ac:dyDescent="0.3">
      <c r="A112" s="16">
        <v>111</v>
      </c>
      <c r="B112" s="4">
        <v>40005</v>
      </c>
      <c r="C112" s="4" t="s">
        <v>211</v>
      </c>
      <c r="D112" s="4" t="s">
        <v>11</v>
      </c>
      <c r="E112" s="4" t="s">
        <v>209</v>
      </c>
      <c r="F112" s="4" t="s">
        <v>125</v>
      </c>
      <c r="G112" s="5">
        <v>40726</v>
      </c>
      <c r="H112" s="4" t="s">
        <v>14</v>
      </c>
      <c r="I112" t="s">
        <v>755</v>
      </c>
      <c r="J112" s="6">
        <v>15244</v>
      </c>
      <c r="K112" s="6">
        <v>25406</v>
      </c>
      <c r="L112" s="4">
        <v>8</v>
      </c>
    </row>
    <row r="113" spans="1:12" x14ac:dyDescent="0.3">
      <c r="A113" s="16">
        <v>112</v>
      </c>
      <c r="B113" s="4">
        <v>70603</v>
      </c>
      <c r="C113" s="4" t="s">
        <v>212</v>
      </c>
      <c r="D113" s="4" t="s">
        <v>129</v>
      </c>
      <c r="E113" s="4" t="s">
        <v>129</v>
      </c>
      <c r="F113" s="4" t="s">
        <v>130</v>
      </c>
      <c r="G113" s="5">
        <v>43162</v>
      </c>
      <c r="H113" s="4" t="s">
        <v>14</v>
      </c>
      <c r="I113" t="s">
        <v>756</v>
      </c>
      <c r="J113" s="6">
        <v>11739</v>
      </c>
      <c r="K113" s="6">
        <v>19566</v>
      </c>
      <c r="L113" s="4">
        <v>8</v>
      </c>
    </row>
    <row r="114" spans="1:12" x14ac:dyDescent="0.3">
      <c r="A114" s="16">
        <v>113</v>
      </c>
      <c r="B114" s="4">
        <v>50011</v>
      </c>
      <c r="C114" s="4" t="s">
        <v>213</v>
      </c>
      <c r="D114" s="4" t="s">
        <v>129</v>
      </c>
      <c r="E114" s="4" t="s">
        <v>129</v>
      </c>
      <c r="F114" s="4" t="s">
        <v>132</v>
      </c>
      <c r="G114" s="5">
        <v>43025</v>
      </c>
      <c r="H114" s="4" t="s">
        <v>14</v>
      </c>
      <c r="I114" t="s">
        <v>755</v>
      </c>
      <c r="J114" s="6">
        <v>15958</v>
      </c>
      <c r="K114" s="6">
        <v>26597</v>
      </c>
      <c r="L114" s="4">
        <v>8</v>
      </c>
    </row>
    <row r="115" spans="1:12" x14ac:dyDescent="0.3">
      <c r="A115" s="16">
        <v>114</v>
      </c>
      <c r="B115" s="4">
        <v>50014</v>
      </c>
      <c r="C115" s="4" t="s">
        <v>214</v>
      </c>
      <c r="D115" s="4" t="s">
        <v>129</v>
      </c>
      <c r="E115" s="4" t="s">
        <v>129</v>
      </c>
      <c r="F115" s="4" t="s">
        <v>215</v>
      </c>
      <c r="G115" s="5">
        <v>45482</v>
      </c>
      <c r="H115" s="4" t="s">
        <v>14</v>
      </c>
      <c r="I115" t="s">
        <v>755</v>
      </c>
      <c r="J115" s="6">
        <v>8700</v>
      </c>
      <c r="K115" s="6">
        <v>15000</v>
      </c>
      <c r="L115" s="4">
        <v>8</v>
      </c>
    </row>
    <row r="116" spans="1:12" x14ac:dyDescent="0.3">
      <c r="A116" s="16">
        <v>115</v>
      </c>
      <c r="B116" s="4">
        <v>50015</v>
      </c>
      <c r="C116" s="4" t="s">
        <v>216</v>
      </c>
      <c r="D116" s="4" t="s">
        <v>129</v>
      </c>
      <c r="E116" s="4" t="s">
        <v>129</v>
      </c>
      <c r="F116" s="4" t="s">
        <v>217</v>
      </c>
      <c r="G116" s="5">
        <v>42768</v>
      </c>
      <c r="H116" s="4" t="s">
        <v>14</v>
      </c>
      <c r="I116" t="s">
        <v>756</v>
      </c>
      <c r="J116" s="6">
        <v>15272</v>
      </c>
      <c r="K116" s="6">
        <v>25454</v>
      </c>
      <c r="L116" s="4">
        <v>8</v>
      </c>
    </row>
    <row r="117" spans="1:12" x14ac:dyDescent="0.3">
      <c r="A117" s="16">
        <v>116</v>
      </c>
      <c r="B117" s="4">
        <v>50013</v>
      </c>
      <c r="C117" s="4" t="s">
        <v>218</v>
      </c>
      <c r="D117" s="4" t="s">
        <v>129</v>
      </c>
      <c r="E117" s="4" t="s">
        <v>129</v>
      </c>
      <c r="F117" s="4" t="s">
        <v>215</v>
      </c>
      <c r="G117" s="5">
        <v>45116</v>
      </c>
      <c r="H117" s="4" t="s">
        <v>14</v>
      </c>
      <c r="I117" t="s">
        <v>755</v>
      </c>
      <c r="J117" s="6">
        <v>11510</v>
      </c>
      <c r="K117" s="6">
        <v>19184</v>
      </c>
      <c r="L117" s="4">
        <v>12</v>
      </c>
    </row>
    <row r="118" spans="1:12" x14ac:dyDescent="0.3">
      <c r="A118" s="16">
        <v>117</v>
      </c>
      <c r="B118" s="4">
        <v>40017</v>
      </c>
      <c r="C118" s="4" t="s">
        <v>219</v>
      </c>
      <c r="D118" s="4" t="s">
        <v>59</v>
      </c>
      <c r="E118" s="4" t="s">
        <v>60</v>
      </c>
      <c r="F118" s="4" t="s">
        <v>61</v>
      </c>
      <c r="G118" s="5">
        <v>45486</v>
      </c>
      <c r="H118" s="4" t="s">
        <v>14</v>
      </c>
      <c r="I118" t="s">
        <v>755</v>
      </c>
      <c r="J118" s="6">
        <v>11600</v>
      </c>
      <c r="K118" s="6">
        <v>20000</v>
      </c>
      <c r="L118" s="4">
        <v>8</v>
      </c>
    </row>
    <row r="119" spans="1:12" x14ac:dyDescent="0.3">
      <c r="A119" s="16">
        <v>118</v>
      </c>
      <c r="B119" s="4">
        <v>40011</v>
      </c>
      <c r="C119" s="4" t="s">
        <v>220</v>
      </c>
      <c r="D119" s="4" t="s">
        <v>59</v>
      </c>
      <c r="E119" s="4" t="s">
        <v>60</v>
      </c>
      <c r="F119" s="4" t="s">
        <v>138</v>
      </c>
      <c r="G119" s="5">
        <v>43353</v>
      </c>
      <c r="H119" s="4" t="s">
        <v>14</v>
      </c>
      <c r="I119" t="s">
        <v>756</v>
      </c>
      <c r="J119" s="6">
        <v>13080</v>
      </c>
      <c r="K119" s="6">
        <v>21800</v>
      </c>
      <c r="L119" s="4">
        <v>12</v>
      </c>
    </row>
    <row r="120" spans="1:12" x14ac:dyDescent="0.3">
      <c r="A120" s="16">
        <v>119</v>
      </c>
      <c r="B120" s="4">
        <v>40015</v>
      </c>
      <c r="C120" s="4" t="s">
        <v>221</v>
      </c>
      <c r="D120" s="4" t="s">
        <v>59</v>
      </c>
      <c r="E120" s="4" t="s">
        <v>60</v>
      </c>
      <c r="F120" s="4" t="s">
        <v>162</v>
      </c>
      <c r="G120" s="5">
        <v>42430</v>
      </c>
      <c r="H120" s="4" t="s">
        <v>14</v>
      </c>
      <c r="I120" t="s">
        <v>755</v>
      </c>
      <c r="J120" s="6">
        <v>36297</v>
      </c>
      <c r="K120" s="6">
        <v>60496</v>
      </c>
      <c r="L120" s="4">
        <v>8</v>
      </c>
    </row>
    <row r="121" spans="1:12" x14ac:dyDescent="0.3">
      <c r="A121" s="16">
        <v>120</v>
      </c>
      <c r="B121" s="4">
        <v>40003</v>
      </c>
      <c r="C121" s="4" t="s">
        <v>222</v>
      </c>
      <c r="D121" s="4" t="s">
        <v>59</v>
      </c>
      <c r="E121" s="4" t="s">
        <v>150</v>
      </c>
      <c r="F121" s="4" t="s">
        <v>223</v>
      </c>
      <c r="G121" s="5">
        <v>40400</v>
      </c>
      <c r="H121" s="4" t="s">
        <v>14</v>
      </c>
      <c r="I121" t="s">
        <v>755</v>
      </c>
      <c r="J121" s="6">
        <v>32700</v>
      </c>
      <c r="K121" s="6">
        <v>54500</v>
      </c>
      <c r="L121" s="4">
        <v>8</v>
      </c>
    </row>
    <row r="122" spans="1:12" x14ac:dyDescent="0.3">
      <c r="A122" s="16">
        <v>121</v>
      </c>
      <c r="B122" s="4">
        <v>70365</v>
      </c>
      <c r="C122" s="4" t="s">
        <v>224</v>
      </c>
      <c r="D122" s="4" t="s">
        <v>63</v>
      </c>
      <c r="E122" s="4" t="s">
        <v>76</v>
      </c>
      <c r="F122" s="4" t="s">
        <v>176</v>
      </c>
      <c r="G122" s="5">
        <v>42950</v>
      </c>
      <c r="H122" s="4" t="s">
        <v>14</v>
      </c>
      <c r="I122" t="s">
        <v>756</v>
      </c>
      <c r="J122" s="6">
        <v>10793</v>
      </c>
      <c r="K122" s="6">
        <v>17989</v>
      </c>
      <c r="L122" s="4">
        <v>8</v>
      </c>
    </row>
    <row r="123" spans="1:12" x14ac:dyDescent="0.3">
      <c r="A123" s="16">
        <v>122</v>
      </c>
      <c r="B123" s="4">
        <v>70283</v>
      </c>
      <c r="C123" s="4" t="s">
        <v>225</v>
      </c>
      <c r="D123" s="4" t="s">
        <v>63</v>
      </c>
      <c r="E123" s="4" t="s">
        <v>76</v>
      </c>
      <c r="F123" s="4" t="s">
        <v>176</v>
      </c>
      <c r="G123" s="5">
        <v>43135</v>
      </c>
      <c r="H123" s="4" t="s">
        <v>14</v>
      </c>
      <c r="I123" t="s">
        <v>756</v>
      </c>
      <c r="J123" s="6">
        <v>10546</v>
      </c>
      <c r="K123" s="6">
        <v>17576</v>
      </c>
      <c r="L123" s="4">
        <v>12</v>
      </c>
    </row>
    <row r="124" spans="1:12" x14ac:dyDescent="0.3">
      <c r="A124" s="16">
        <v>123</v>
      </c>
      <c r="B124" s="4">
        <v>70256</v>
      </c>
      <c r="C124" s="4" t="s">
        <v>226</v>
      </c>
      <c r="D124" s="4" t="s">
        <v>63</v>
      </c>
      <c r="E124" s="4" t="s">
        <v>76</v>
      </c>
      <c r="F124" s="4" t="s">
        <v>176</v>
      </c>
      <c r="G124" s="5">
        <v>43001</v>
      </c>
      <c r="H124" s="4" t="s">
        <v>14</v>
      </c>
      <c r="I124" t="s">
        <v>756</v>
      </c>
      <c r="J124" s="6">
        <v>10793</v>
      </c>
      <c r="K124" s="6">
        <v>17989</v>
      </c>
      <c r="L124" s="4">
        <v>12</v>
      </c>
    </row>
    <row r="125" spans="1:12" x14ac:dyDescent="0.3">
      <c r="A125" s="16">
        <v>124</v>
      </c>
      <c r="B125" s="4">
        <v>70203</v>
      </c>
      <c r="C125" s="4" t="s">
        <v>227</v>
      </c>
      <c r="D125" s="4" t="s">
        <v>63</v>
      </c>
      <c r="E125" s="4" t="s">
        <v>76</v>
      </c>
      <c r="F125" s="4" t="s">
        <v>176</v>
      </c>
      <c r="G125" s="5">
        <v>42918</v>
      </c>
      <c r="H125" s="4" t="s">
        <v>14</v>
      </c>
      <c r="I125" t="s">
        <v>755</v>
      </c>
      <c r="J125" s="6">
        <v>10793</v>
      </c>
      <c r="K125" s="6">
        <v>17989</v>
      </c>
      <c r="L125" s="4">
        <v>8</v>
      </c>
    </row>
    <row r="126" spans="1:12" x14ac:dyDescent="0.3">
      <c r="A126" s="16">
        <v>125</v>
      </c>
      <c r="B126" s="4">
        <v>70229</v>
      </c>
      <c r="C126" s="4" t="s">
        <v>228</v>
      </c>
      <c r="D126" s="4" t="s">
        <v>63</v>
      </c>
      <c r="E126" s="4" t="s">
        <v>76</v>
      </c>
      <c r="F126" s="4" t="s">
        <v>176</v>
      </c>
      <c r="G126" s="5">
        <v>42117</v>
      </c>
      <c r="H126" s="4" t="s">
        <v>14</v>
      </c>
      <c r="I126" t="s">
        <v>755</v>
      </c>
      <c r="J126" s="6">
        <v>12145</v>
      </c>
      <c r="K126" s="6">
        <v>20241</v>
      </c>
      <c r="L126" s="4">
        <v>8</v>
      </c>
    </row>
    <row r="127" spans="1:12" x14ac:dyDescent="0.3">
      <c r="A127" s="16">
        <v>126</v>
      </c>
      <c r="B127" s="4">
        <v>70230</v>
      </c>
      <c r="C127" s="4" t="s">
        <v>229</v>
      </c>
      <c r="D127" s="4" t="s">
        <v>63</v>
      </c>
      <c r="E127" s="4" t="s">
        <v>76</v>
      </c>
      <c r="F127" s="4" t="s">
        <v>176</v>
      </c>
      <c r="G127" s="5">
        <v>42126</v>
      </c>
      <c r="H127" s="4" t="s">
        <v>14</v>
      </c>
      <c r="I127" t="s">
        <v>756</v>
      </c>
      <c r="J127" s="6">
        <v>12145</v>
      </c>
      <c r="K127" s="6">
        <v>20241</v>
      </c>
      <c r="L127" s="4">
        <v>8</v>
      </c>
    </row>
    <row r="128" spans="1:12" x14ac:dyDescent="0.3">
      <c r="A128" s="16">
        <v>127</v>
      </c>
      <c r="B128" s="4">
        <v>70234</v>
      </c>
      <c r="C128" s="4" t="s">
        <v>230</v>
      </c>
      <c r="D128" s="4" t="s">
        <v>63</v>
      </c>
      <c r="E128" s="4" t="s">
        <v>76</v>
      </c>
      <c r="F128" s="4" t="s">
        <v>176</v>
      </c>
      <c r="G128" s="5">
        <v>42764</v>
      </c>
      <c r="H128" s="4" t="s">
        <v>14</v>
      </c>
      <c r="I128" t="s">
        <v>755</v>
      </c>
      <c r="J128" s="6">
        <v>11875</v>
      </c>
      <c r="K128" s="6">
        <v>19792</v>
      </c>
      <c r="L128" s="4">
        <v>12</v>
      </c>
    </row>
    <row r="129" spans="1:12" x14ac:dyDescent="0.3">
      <c r="A129" s="16">
        <v>128</v>
      </c>
      <c r="B129" s="4">
        <v>70550</v>
      </c>
      <c r="C129" s="4" t="s">
        <v>231</v>
      </c>
      <c r="D129" s="4" t="s">
        <v>63</v>
      </c>
      <c r="E129" s="4" t="s">
        <v>76</v>
      </c>
      <c r="F129" s="4" t="s">
        <v>232</v>
      </c>
      <c r="G129" s="5">
        <v>45678</v>
      </c>
      <c r="H129" s="4" t="s">
        <v>14</v>
      </c>
      <c r="I129" t="s">
        <v>755</v>
      </c>
      <c r="J129" s="6">
        <v>8700</v>
      </c>
      <c r="K129" s="6">
        <v>14500</v>
      </c>
      <c r="L129" s="4">
        <v>12</v>
      </c>
    </row>
    <row r="130" spans="1:12" x14ac:dyDescent="0.3">
      <c r="A130" s="16">
        <v>129</v>
      </c>
      <c r="B130" s="4">
        <v>70549</v>
      </c>
      <c r="C130" s="4" t="s">
        <v>233</v>
      </c>
      <c r="D130" s="4" t="s">
        <v>63</v>
      </c>
      <c r="E130" s="4" t="s">
        <v>76</v>
      </c>
      <c r="F130" s="4" t="s">
        <v>232</v>
      </c>
      <c r="G130" s="5">
        <v>45678</v>
      </c>
      <c r="H130" s="4" t="s">
        <v>14</v>
      </c>
      <c r="I130" t="s">
        <v>756</v>
      </c>
      <c r="J130" s="6">
        <v>8700</v>
      </c>
      <c r="K130" s="6">
        <v>14500</v>
      </c>
      <c r="L130" s="4">
        <v>8</v>
      </c>
    </row>
    <row r="131" spans="1:12" x14ac:dyDescent="0.3">
      <c r="A131" s="16">
        <v>130</v>
      </c>
      <c r="B131" s="4">
        <v>70551</v>
      </c>
      <c r="C131" s="4" t="s">
        <v>234</v>
      </c>
      <c r="D131" s="4" t="s">
        <v>63</v>
      </c>
      <c r="E131" s="4" t="s">
        <v>76</v>
      </c>
      <c r="F131" s="4" t="s">
        <v>232</v>
      </c>
      <c r="G131" s="5">
        <v>45678</v>
      </c>
      <c r="H131" s="4" t="s">
        <v>14</v>
      </c>
      <c r="I131" t="s">
        <v>755</v>
      </c>
      <c r="J131" s="6">
        <v>8700</v>
      </c>
      <c r="K131" s="6">
        <v>14500</v>
      </c>
      <c r="L131" s="4">
        <v>8</v>
      </c>
    </row>
    <row r="132" spans="1:12" x14ac:dyDescent="0.3">
      <c r="A132" s="16">
        <v>131</v>
      </c>
      <c r="B132" s="4">
        <v>70552</v>
      </c>
      <c r="C132" s="4" t="s">
        <v>235</v>
      </c>
      <c r="D132" s="4" t="s">
        <v>63</v>
      </c>
      <c r="E132" s="4" t="s">
        <v>76</v>
      </c>
      <c r="F132" s="4" t="s">
        <v>232</v>
      </c>
      <c r="G132" s="5">
        <v>45678</v>
      </c>
      <c r="H132" s="4" t="s">
        <v>14</v>
      </c>
      <c r="I132" t="s">
        <v>756</v>
      </c>
      <c r="J132" s="6">
        <v>8700</v>
      </c>
      <c r="K132" s="6">
        <v>14500</v>
      </c>
      <c r="L132" s="4">
        <v>8</v>
      </c>
    </row>
    <row r="133" spans="1:12" x14ac:dyDescent="0.3">
      <c r="A133" s="16">
        <v>132</v>
      </c>
      <c r="B133" s="4">
        <v>70535</v>
      </c>
      <c r="C133" s="4" t="s">
        <v>236</v>
      </c>
      <c r="D133" s="4" t="s">
        <v>63</v>
      </c>
      <c r="E133" s="4" t="s">
        <v>76</v>
      </c>
      <c r="F133" s="4" t="s">
        <v>232</v>
      </c>
      <c r="G133" s="5">
        <v>45339</v>
      </c>
      <c r="H133" s="4" t="s">
        <v>14</v>
      </c>
      <c r="I133" t="s">
        <v>756</v>
      </c>
      <c r="J133" s="6">
        <v>9000</v>
      </c>
      <c r="K133" s="6">
        <v>15000</v>
      </c>
      <c r="L133" s="4">
        <v>8</v>
      </c>
    </row>
    <row r="134" spans="1:12" x14ac:dyDescent="0.3">
      <c r="A134" s="16">
        <v>133</v>
      </c>
      <c r="B134" s="4">
        <v>70536</v>
      </c>
      <c r="C134" s="4" t="s">
        <v>128</v>
      </c>
      <c r="D134" s="4" t="s">
        <v>63</v>
      </c>
      <c r="E134" s="4" t="s">
        <v>76</v>
      </c>
      <c r="F134" s="4" t="s">
        <v>237</v>
      </c>
      <c r="G134" s="5">
        <v>45353</v>
      </c>
      <c r="H134" s="4" t="s">
        <v>14</v>
      </c>
      <c r="I134" t="s">
        <v>756</v>
      </c>
      <c r="J134" s="6">
        <v>11142</v>
      </c>
      <c r="K134" s="6">
        <v>18570</v>
      </c>
      <c r="L134" s="4">
        <v>8</v>
      </c>
    </row>
    <row r="135" spans="1:12" x14ac:dyDescent="0.3">
      <c r="A135" s="16">
        <v>134</v>
      </c>
      <c r="B135" s="4">
        <v>70513</v>
      </c>
      <c r="C135" s="4" t="s">
        <v>238</v>
      </c>
      <c r="D135" s="4" t="s">
        <v>63</v>
      </c>
      <c r="E135" s="4" t="s">
        <v>76</v>
      </c>
      <c r="F135" s="4" t="s">
        <v>176</v>
      </c>
      <c r="G135" s="5">
        <v>45049</v>
      </c>
      <c r="H135" s="4" t="s">
        <v>14</v>
      </c>
      <c r="I135" t="s">
        <v>755</v>
      </c>
      <c r="J135" s="6">
        <v>9941</v>
      </c>
      <c r="K135" s="6">
        <v>16568</v>
      </c>
      <c r="L135" s="4">
        <v>12</v>
      </c>
    </row>
    <row r="136" spans="1:12" x14ac:dyDescent="0.3">
      <c r="A136" s="16">
        <v>135</v>
      </c>
      <c r="B136" s="4">
        <v>70514</v>
      </c>
      <c r="C136" s="4" t="s">
        <v>239</v>
      </c>
      <c r="D136" s="4" t="s">
        <v>63</v>
      </c>
      <c r="E136" s="4" t="s">
        <v>76</v>
      </c>
      <c r="F136" s="4" t="s">
        <v>176</v>
      </c>
      <c r="G136" s="5">
        <v>45049</v>
      </c>
      <c r="H136" s="4" t="s">
        <v>14</v>
      </c>
      <c r="I136" t="s">
        <v>755</v>
      </c>
      <c r="J136" s="6">
        <v>9941</v>
      </c>
      <c r="K136" s="6">
        <v>16568</v>
      </c>
      <c r="L136" s="4">
        <v>8</v>
      </c>
    </row>
    <row r="137" spans="1:12" x14ac:dyDescent="0.3">
      <c r="A137" s="16">
        <v>136</v>
      </c>
      <c r="B137" s="4">
        <v>70529</v>
      </c>
      <c r="C137" s="4" t="s">
        <v>240</v>
      </c>
      <c r="D137" s="4" t="s">
        <v>63</v>
      </c>
      <c r="E137" s="4" t="s">
        <v>76</v>
      </c>
      <c r="F137" s="4" t="s">
        <v>176</v>
      </c>
      <c r="G137" s="5">
        <v>45215</v>
      </c>
      <c r="H137" s="4" t="s">
        <v>14</v>
      </c>
      <c r="I137" t="s">
        <v>756</v>
      </c>
      <c r="J137" s="6">
        <v>9941</v>
      </c>
      <c r="K137" s="6">
        <v>16568</v>
      </c>
      <c r="L137" s="4">
        <v>12</v>
      </c>
    </row>
    <row r="138" spans="1:12" x14ac:dyDescent="0.3">
      <c r="A138" s="16">
        <v>137</v>
      </c>
      <c r="B138" s="4">
        <v>70528</v>
      </c>
      <c r="C138" s="4" t="s">
        <v>241</v>
      </c>
      <c r="D138" s="4" t="s">
        <v>63</v>
      </c>
      <c r="E138" s="4" t="s">
        <v>76</v>
      </c>
      <c r="F138" s="4" t="s">
        <v>176</v>
      </c>
      <c r="G138" s="5">
        <v>45206</v>
      </c>
      <c r="H138" s="4" t="s">
        <v>14</v>
      </c>
      <c r="I138" t="s">
        <v>755</v>
      </c>
      <c r="J138" s="6">
        <v>9941</v>
      </c>
      <c r="K138" s="6">
        <v>16568</v>
      </c>
      <c r="L138" s="4">
        <v>8</v>
      </c>
    </row>
    <row r="139" spans="1:12" x14ac:dyDescent="0.3">
      <c r="A139" s="16">
        <v>138</v>
      </c>
      <c r="B139" s="4">
        <v>70512</v>
      </c>
      <c r="C139" s="4" t="s">
        <v>242</v>
      </c>
      <c r="D139" s="4" t="s">
        <v>63</v>
      </c>
      <c r="E139" s="4" t="s">
        <v>79</v>
      </c>
      <c r="F139" s="4" t="s">
        <v>243</v>
      </c>
      <c r="G139" s="5">
        <v>45049</v>
      </c>
      <c r="H139" s="4" t="s">
        <v>14</v>
      </c>
      <c r="I139" t="s">
        <v>755</v>
      </c>
      <c r="J139" s="6">
        <v>9718</v>
      </c>
      <c r="K139" s="6">
        <v>16197</v>
      </c>
      <c r="L139" s="4">
        <v>8</v>
      </c>
    </row>
    <row r="140" spans="1:12" x14ac:dyDescent="0.3">
      <c r="A140" s="16">
        <v>139</v>
      </c>
      <c r="B140" s="4">
        <v>70518</v>
      </c>
      <c r="C140" s="4" t="s">
        <v>244</v>
      </c>
      <c r="D140" s="4" t="s">
        <v>63</v>
      </c>
      <c r="E140" s="4" t="s">
        <v>79</v>
      </c>
      <c r="F140" s="4" t="s">
        <v>243</v>
      </c>
      <c r="G140" s="5">
        <v>45090</v>
      </c>
      <c r="H140" s="4" t="s">
        <v>14</v>
      </c>
      <c r="I140" t="s">
        <v>756</v>
      </c>
      <c r="J140" s="6">
        <v>9718</v>
      </c>
      <c r="K140" s="6">
        <v>16197</v>
      </c>
      <c r="L140" s="4">
        <v>8</v>
      </c>
    </row>
    <row r="141" spans="1:12" x14ac:dyDescent="0.3">
      <c r="A141" s="16">
        <v>140</v>
      </c>
      <c r="B141" s="4">
        <v>70538</v>
      </c>
      <c r="C141" s="4" t="s">
        <v>245</v>
      </c>
      <c r="D141" s="4" t="s">
        <v>63</v>
      </c>
      <c r="E141" s="4" t="s">
        <v>79</v>
      </c>
      <c r="F141" s="4" t="s">
        <v>243</v>
      </c>
      <c r="G141" s="5">
        <v>45475</v>
      </c>
      <c r="H141" s="4" t="s">
        <v>14</v>
      </c>
      <c r="I141" t="s">
        <v>755</v>
      </c>
      <c r="J141" s="6">
        <v>9000</v>
      </c>
      <c r="K141" s="6">
        <v>15000</v>
      </c>
      <c r="L141" s="4">
        <v>12</v>
      </c>
    </row>
    <row r="142" spans="1:12" x14ac:dyDescent="0.3">
      <c r="A142" s="16">
        <v>141</v>
      </c>
      <c r="B142" s="4">
        <v>70539</v>
      </c>
      <c r="C142" s="4" t="s">
        <v>246</v>
      </c>
      <c r="D142" s="4" t="s">
        <v>63</v>
      </c>
      <c r="E142" s="4" t="s">
        <v>79</v>
      </c>
      <c r="F142" s="4" t="s">
        <v>243</v>
      </c>
      <c r="G142" s="5">
        <v>45476</v>
      </c>
      <c r="H142" s="4" t="s">
        <v>14</v>
      </c>
      <c r="I142" t="s">
        <v>755</v>
      </c>
      <c r="J142" s="6">
        <v>9000</v>
      </c>
      <c r="K142" s="6">
        <v>15000</v>
      </c>
      <c r="L142" s="4">
        <v>12</v>
      </c>
    </row>
    <row r="143" spans="1:12" x14ac:dyDescent="0.3">
      <c r="A143" s="16">
        <v>142</v>
      </c>
      <c r="B143" s="4">
        <v>70544</v>
      </c>
      <c r="C143" s="4" t="s">
        <v>247</v>
      </c>
      <c r="D143" s="4" t="s">
        <v>63</v>
      </c>
      <c r="E143" s="4" t="s">
        <v>79</v>
      </c>
      <c r="F143" s="4" t="s">
        <v>243</v>
      </c>
      <c r="G143" s="5">
        <v>44940</v>
      </c>
      <c r="H143" s="4" t="s">
        <v>14</v>
      </c>
      <c r="I143" t="s">
        <v>756</v>
      </c>
      <c r="J143" s="6">
        <v>9543</v>
      </c>
      <c r="K143" s="6">
        <v>15904</v>
      </c>
      <c r="L143" s="4">
        <v>8</v>
      </c>
    </row>
    <row r="144" spans="1:12" x14ac:dyDescent="0.3">
      <c r="A144" s="16">
        <v>143</v>
      </c>
      <c r="B144" s="4">
        <v>70546</v>
      </c>
      <c r="C144" s="4" t="s">
        <v>248</v>
      </c>
      <c r="D144" s="4" t="s">
        <v>63</v>
      </c>
      <c r="E144" s="4" t="s">
        <v>79</v>
      </c>
      <c r="F144" s="4" t="s">
        <v>243</v>
      </c>
      <c r="G144" s="5">
        <v>44774</v>
      </c>
      <c r="H144" s="4" t="s">
        <v>14</v>
      </c>
      <c r="I144" t="s">
        <v>755</v>
      </c>
      <c r="J144" s="6">
        <v>9543</v>
      </c>
      <c r="K144" s="6">
        <v>15904</v>
      </c>
      <c r="L144" s="4">
        <v>8</v>
      </c>
    </row>
    <row r="145" spans="1:12" x14ac:dyDescent="0.3">
      <c r="A145" s="16">
        <v>144</v>
      </c>
      <c r="B145" s="4">
        <v>70547</v>
      </c>
      <c r="C145" s="4" t="s">
        <v>249</v>
      </c>
      <c r="D145" s="4" t="s">
        <v>63</v>
      </c>
      <c r="E145" s="4" t="s">
        <v>79</v>
      </c>
      <c r="F145" s="4" t="s">
        <v>243</v>
      </c>
      <c r="G145" s="5">
        <v>45123</v>
      </c>
      <c r="H145" s="4" t="s">
        <v>14</v>
      </c>
      <c r="I145" t="s">
        <v>755</v>
      </c>
      <c r="J145" s="6">
        <v>9543</v>
      </c>
      <c r="K145" s="6">
        <v>15904</v>
      </c>
      <c r="L145" s="4">
        <v>8</v>
      </c>
    </row>
    <row r="146" spans="1:12" x14ac:dyDescent="0.3">
      <c r="A146" s="16">
        <v>145</v>
      </c>
      <c r="B146" s="4">
        <v>90006</v>
      </c>
      <c r="C146" s="4" t="s">
        <v>250</v>
      </c>
      <c r="D146" s="4" t="s">
        <v>63</v>
      </c>
      <c r="E146" s="4" t="s">
        <v>79</v>
      </c>
      <c r="F146" s="4" t="s">
        <v>251</v>
      </c>
      <c r="G146" s="5">
        <v>39541</v>
      </c>
      <c r="H146" s="4" t="s">
        <v>14</v>
      </c>
      <c r="I146" t="s">
        <v>756</v>
      </c>
      <c r="J146" s="6">
        <v>13407</v>
      </c>
      <c r="K146" s="6">
        <v>22345</v>
      </c>
      <c r="L146" s="4">
        <v>12</v>
      </c>
    </row>
    <row r="147" spans="1:12" x14ac:dyDescent="0.3">
      <c r="A147" s="16">
        <v>146</v>
      </c>
      <c r="B147" s="4">
        <v>70013</v>
      </c>
      <c r="C147" s="4" t="s">
        <v>252</v>
      </c>
      <c r="D147" s="4" t="s">
        <v>63</v>
      </c>
      <c r="E147" s="4" t="s">
        <v>79</v>
      </c>
      <c r="F147" s="4" t="s">
        <v>253</v>
      </c>
      <c r="G147" s="5">
        <v>37043</v>
      </c>
      <c r="H147" s="4" t="s">
        <v>14</v>
      </c>
      <c r="I147" t="s">
        <v>756</v>
      </c>
      <c r="J147" s="6">
        <v>15277</v>
      </c>
      <c r="K147" s="6">
        <v>25461</v>
      </c>
      <c r="L147" s="4">
        <v>12</v>
      </c>
    </row>
    <row r="148" spans="1:12" x14ac:dyDescent="0.3">
      <c r="A148" s="16">
        <v>147</v>
      </c>
      <c r="B148" s="4">
        <v>70015</v>
      </c>
      <c r="C148" s="4" t="s">
        <v>90</v>
      </c>
      <c r="D148" s="4" t="s">
        <v>63</v>
      </c>
      <c r="E148" s="4" t="s">
        <v>79</v>
      </c>
      <c r="F148" s="4" t="s">
        <v>80</v>
      </c>
      <c r="G148" s="5">
        <v>37561</v>
      </c>
      <c r="H148" s="4" t="s">
        <v>14</v>
      </c>
      <c r="I148" t="s">
        <v>756</v>
      </c>
      <c r="J148" s="6">
        <v>14669</v>
      </c>
      <c r="K148" s="6">
        <v>24447</v>
      </c>
      <c r="L148" s="4">
        <v>8</v>
      </c>
    </row>
    <row r="149" spans="1:12" x14ac:dyDescent="0.3">
      <c r="A149" s="16">
        <v>148</v>
      </c>
      <c r="B149" s="4">
        <v>70081</v>
      </c>
      <c r="C149" s="4" t="s">
        <v>254</v>
      </c>
      <c r="D149" s="4" t="s">
        <v>63</v>
      </c>
      <c r="E149" s="4" t="s">
        <v>79</v>
      </c>
      <c r="F149" s="4" t="s">
        <v>251</v>
      </c>
      <c r="G149" s="5">
        <v>41772</v>
      </c>
      <c r="H149" s="4" t="s">
        <v>14</v>
      </c>
      <c r="I149" t="s">
        <v>755</v>
      </c>
      <c r="J149" s="6">
        <v>11151</v>
      </c>
      <c r="K149" s="6">
        <v>18586</v>
      </c>
      <c r="L149" s="4">
        <v>8</v>
      </c>
    </row>
    <row r="150" spans="1:12" x14ac:dyDescent="0.3">
      <c r="A150" s="16">
        <v>149</v>
      </c>
      <c r="B150" s="4">
        <v>70404</v>
      </c>
      <c r="C150" s="4" t="s">
        <v>255</v>
      </c>
      <c r="D150" s="4" t="s">
        <v>63</v>
      </c>
      <c r="E150" s="4" t="s">
        <v>79</v>
      </c>
      <c r="F150" s="4" t="s">
        <v>243</v>
      </c>
      <c r="G150" s="5">
        <v>44256</v>
      </c>
      <c r="H150" s="4" t="s">
        <v>14</v>
      </c>
      <c r="I150" t="s">
        <v>755</v>
      </c>
      <c r="J150" s="6">
        <v>9718</v>
      </c>
      <c r="K150" s="6">
        <v>16197</v>
      </c>
      <c r="L150" s="4">
        <v>8</v>
      </c>
    </row>
    <row r="151" spans="1:12" x14ac:dyDescent="0.3">
      <c r="A151" s="16">
        <v>150</v>
      </c>
      <c r="B151" s="4">
        <v>70381</v>
      </c>
      <c r="C151" s="4" t="s">
        <v>256</v>
      </c>
      <c r="D151" s="4" t="s">
        <v>63</v>
      </c>
      <c r="E151" s="4" t="s">
        <v>79</v>
      </c>
      <c r="F151" s="4" t="s">
        <v>243</v>
      </c>
      <c r="G151" s="5">
        <v>44052</v>
      </c>
      <c r="H151" s="4" t="s">
        <v>14</v>
      </c>
      <c r="I151" t="s">
        <v>756</v>
      </c>
      <c r="J151" s="6">
        <v>9718</v>
      </c>
      <c r="K151" s="6">
        <v>16197</v>
      </c>
      <c r="L151" s="4">
        <v>8</v>
      </c>
    </row>
    <row r="152" spans="1:12" x14ac:dyDescent="0.3">
      <c r="A152" s="16">
        <v>151</v>
      </c>
      <c r="B152" s="4">
        <v>70414</v>
      </c>
      <c r="C152" s="4" t="s">
        <v>257</v>
      </c>
      <c r="D152" s="4" t="s">
        <v>63</v>
      </c>
      <c r="E152" s="4" t="s">
        <v>86</v>
      </c>
      <c r="F152" s="4" t="s">
        <v>258</v>
      </c>
      <c r="G152" s="5">
        <v>44353</v>
      </c>
      <c r="H152" s="4" t="s">
        <v>14</v>
      </c>
      <c r="I152" t="s">
        <v>755</v>
      </c>
      <c r="J152" s="6">
        <v>9156</v>
      </c>
      <c r="K152" s="6">
        <v>15260</v>
      </c>
      <c r="L152" s="4">
        <v>8</v>
      </c>
    </row>
    <row r="153" spans="1:12" x14ac:dyDescent="0.3">
      <c r="A153" s="16">
        <v>152</v>
      </c>
      <c r="B153" s="4">
        <v>60025</v>
      </c>
      <c r="C153" s="4" t="s">
        <v>259</v>
      </c>
      <c r="D153" s="4" t="s">
        <v>63</v>
      </c>
      <c r="E153" s="4" t="s">
        <v>86</v>
      </c>
      <c r="F153" s="4" t="s">
        <v>87</v>
      </c>
      <c r="G153" s="5">
        <v>44614</v>
      </c>
      <c r="H153" s="4" t="s">
        <v>14</v>
      </c>
      <c r="I153" t="s">
        <v>755</v>
      </c>
      <c r="J153" s="6">
        <v>13080</v>
      </c>
      <c r="K153" s="6">
        <v>21800</v>
      </c>
      <c r="L153" s="4">
        <v>12</v>
      </c>
    </row>
    <row r="154" spans="1:12" x14ac:dyDescent="0.3">
      <c r="A154" s="16">
        <v>153</v>
      </c>
      <c r="B154" s="4">
        <v>60023</v>
      </c>
      <c r="C154" s="4" t="s">
        <v>260</v>
      </c>
      <c r="D154" s="4" t="s">
        <v>63</v>
      </c>
      <c r="E154" s="4" t="s">
        <v>86</v>
      </c>
      <c r="F154" s="4" t="s">
        <v>258</v>
      </c>
      <c r="G154" s="5">
        <v>42413</v>
      </c>
      <c r="H154" s="4" t="s">
        <v>14</v>
      </c>
      <c r="I154" t="s">
        <v>756</v>
      </c>
      <c r="J154" s="6">
        <v>9483</v>
      </c>
      <c r="K154" s="6">
        <v>15805</v>
      </c>
      <c r="L154" s="4">
        <v>8</v>
      </c>
    </row>
    <row r="155" spans="1:12" x14ac:dyDescent="0.3">
      <c r="A155" s="16">
        <v>154</v>
      </c>
      <c r="B155" s="4">
        <v>60002</v>
      </c>
      <c r="C155" s="4" t="s">
        <v>261</v>
      </c>
      <c r="D155" s="4" t="s">
        <v>63</v>
      </c>
      <c r="E155" s="4" t="s">
        <v>86</v>
      </c>
      <c r="F155" s="4" t="s">
        <v>87</v>
      </c>
      <c r="G155" s="5">
        <v>37031</v>
      </c>
      <c r="H155" s="4" t="s">
        <v>14</v>
      </c>
      <c r="I155" t="s">
        <v>755</v>
      </c>
      <c r="J155" s="6">
        <v>18312</v>
      </c>
      <c r="K155" s="6">
        <v>30521</v>
      </c>
      <c r="L155" s="4">
        <v>12</v>
      </c>
    </row>
    <row r="156" spans="1:12" x14ac:dyDescent="0.3">
      <c r="A156" s="16">
        <v>155</v>
      </c>
      <c r="B156" s="4">
        <v>60013</v>
      </c>
      <c r="C156" s="4" t="s">
        <v>262</v>
      </c>
      <c r="D156" s="4" t="s">
        <v>63</v>
      </c>
      <c r="E156" s="4" t="s">
        <v>86</v>
      </c>
      <c r="F156" s="4" t="s">
        <v>87</v>
      </c>
      <c r="G156" s="5">
        <v>43070</v>
      </c>
      <c r="H156" s="4" t="s">
        <v>14</v>
      </c>
      <c r="I156" t="s">
        <v>756</v>
      </c>
      <c r="J156" s="6">
        <v>16023</v>
      </c>
      <c r="K156" s="6">
        <v>26705</v>
      </c>
      <c r="L156" s="4">
        <v>8</v>
      </c>
    </row>
    <row r="157" spans="1:12" x14ac:dyDescent="0.3">
      <c r="A157" s="16">
        <v>156</v>
      </c>
      <c r="B157" s="4">
        <v>60039</v>
      </c>
      <c r="C157" s="4" t="s">
        <v>263</v>
      </c>
      <c r="D157" s="4" t="s">
        <v>63</v>
      </c>
      <c r="E157" s="4" t="s">
        <v>86</v>
      </c>
      <c r="F157" s="4" t="s">
        <v>87</v>
      </c>
      <c r="G157" s="5">
        <v>45549</v>
      </c>
      <c r="H157" s="4" t="s">
        <v>14</v>
      </c>
      <c r="I157" t="s">
        <v>756</v>
      </c>
      <c r="J157" s="6">
        <v>10440</v>
      </c>
      <c r="K157" s="6">
        <v>18000</v>
      </c>
      <c r="L157" s="4">
        <v>8</v>
      </c>
    </row>
    <row r="158" spans="1:12" x14ac:dyDescent="0.3">
      <c r="A158" s="16">
        <v>157</v>
      </c>
      <c r="B158" s="4">
        <v>60041</v>
      </c>
      <c r="C158" s="4" t="s">
        <v>264</v>
      </c>
      <c r="D158" s="4" t="s">
        <v>63</v>
      </c>
      <c r="E158" s="4" t="s">
        <v>86</v>
      </c>
      <c r="F158" s="4" t="s">
        <v>87</v>
      </c>
      <c r="G158" s="5">
        <v>45566</v>
      </c>
      <c r="H158" s="4" t="s">
        <v>14</v>
      </c>
      <c r="I158" t="s">
        <v>756</v>
      </c>
      <c r="J158" s="6">
        <v>10440</v>
      </c>
      <c r="K158" s="6">
        <v>18000</v>
      </c>
      <c r="L158" s="4">
        <v>8</v>
      </c>
    </row>
    <row r="159" spans="1:12" x14ac:dyDescent="0.3">
      <c r="A159" s="16">
        <v>158</v>
      </c>
      <c r="B159" s="4">
        <v>70537</v>
      </c>
      <c r="C159" s="4" t="s">
        <v>265</v>
      </c>
      <c r="D159" s="4" t="s">
        <v>63</v>
      </c>
      <c r="E159" s="4" t="s">
        <v>86</v>
      </c>
      <c r="F159" s="4" t="s">
        <v>258</v>
      </c>
      <c r="G159" s="5">
        <v>45423</v>
      </c>
      <c r="H159" s="4" t="s">
        <v>14</v>
      </c>
      <c r="I159" t="s">
        <v>755</v>
      </c>
      <c r="J159" s="6">
        <v>8400</v>
      </c>
      <c r="K159" s="6">
        <v>14000</v>
      </c>
      <c r="L159" s="4">
        <v>12</v>
      </c>
    </row>
    <row r="160" spans="1:12" x14ac:dyDescent="0.3">
      <c r="A160" s="16">
        <v>159</v>
      </c>
      <c r="B160" s="4">
        <v>60029</v>
      </c>
      <c r="C160" s="4" t="s">
        <v>266</v>
      </c>
      <c r="D160" s="4" t="s">
        <v>63</v>
      </c>
      <c r="E160" s="4" t="s">
        <v>86</v>
      </c>
      <c r="F160" s="4" t="s">
        <v>258</v>
      </c>
      <c r="G160" s="5">
        <v>45141</v>
      </c>
      <c r="H160" s="4" t="s">
        <v>14</v>
      </c>
      <c r="I160" t="s">
        <v>755</v>
      </c>
      <c r="J160" s="6">
        <v>9156</v>
      </c>
      <c r="K160" s="6">
        <v>15260</v>
      </c>
      <c r="L160" s="4">
        <v>12</v>
      </c>
    </row>
    <row r="161" spans="1:12" x14ac:dyDescent="0.3">
      <c r="A161" s="16">
        <v>160</v>
      </c>
      <c r="B161" s="4">
        <v>60031</v>
      </c>
      <c r="C161" s="4" t="s">
        <v>267</v>
      </c>
      <c r="D161" s="4" t="s">
        <v>63</v>
      </c>
      <c r="E161" s="4" t="s">
        <v>86</v>
      </c>
      <c r="F161" s="4" t="s">
        <v>258</v>
      </c>
      <c r="G161" s="5">
        <v>44653</v>
      </c>
      <c r="H161" s="4" t="s">
        <v>14</v>
      </c>
      <c r="I161" t="s">
        <v>756</v>
      </c>
      <c r="J161" s="6">
        <v>9156</v>
      </c>
      <c r="K161" s="6">
        <v>15260</v>
      </c>
      <c r="L161" s="4">
        <v>8</v>
      </c>
    </row>
    <row r="162" spans="1:12" x14ac:dyDescent="0.3">
      <c r="A162" s="16">
        <v>161</v>
      </c>
      <c r="B162" s="4">
        <v>60030</v>
      </c>
      <c r="C162" s="4" t="s">
        <v>268</v>
      </c>
      <c r="D162" s="4" t="s">
        <v>63</v>
      </c>
      <c r="E162" s="4" t="s">
        <v>86</v>
      </c>
      <c r="F162" s="4" t="s">
        <v>87</v>
      </c>
      <c r="G162" s="5">
        <v>45148</v>
      </c>
      <c r="H162" s="4" t="s">
        <v>14</v>
      </c>
      <c r="I162" t="s">
        <v>755</v>
      </c>
      <c r="J162" s="6">
        <v>12516</v>
      </c>
      <c r="K162" s="6">
        <v>20860</v>
      </c>
      <c r="L162" s="4">
        <v>8</v>
      </c>
    </row>
    <row r="163" spans="1:12" x14ac:dyDescent="0.3">
      <c r="A163" s="16">
        <v>162</v>
      </c>
      <c r="B163" s="4">
        <v>70492</v>
      </c>
      <c r="C163" s="4" t="s">
        <v>185</v>
      </c>
      <c r="D163" s="4" t="s">
        <v>63</v>
      </c>
      <c r="E163" s="4" t="s">
        <v>86</v>
      </c>
      <c r="F163" s="4" t="s">
        <v>258</v>
      </c>
      <c r="G163" s="5">
        <v>44867</v>
      </c>
      <c r="H163" s="4" t="s">
        <v>14</v>
      </c>
      <c r="I163" t="s">
        <v>755</v>
      </c>
      <c r="J163" s="6">
        <v>9156</v>
      </c>
      <c r="K163" s="6">
        <v>15260</v>
      </c>
      <c r="L163" s="4">
        <v>8</v>
      </c>
    </row>
    <row r="164" spans="1:12" x14ac:dyDescent="0.3">
      <c r="A164" s="16">
        <v>163</v>
      </c>
      <c r="B164" s="4">
        <v>60038</v>
      </c>
      <c r="C164" s="4" t="s">
        <v>269</v>
      </c>
      <c r="D164" s="4" t="s">
        <v>93</v>
      </c>
      <c r="E164" s="4" t="s">
        <v>93</v>
      </c>
      <c r="F164" s="4" t="s">
        <v>116</v>
      </c>
      <c r="G164" s="5">
        <v>44943</v>
      </c>
      <c r="H164" s="4" t="s">
        <v>14</v>
      </c>
      <c r="I164" t="s">
        <v>756</v>
      </c>
      <c r="J164" s="6">
        <v>9798</v>
      </c>
      <c r="K164" s="6">
        <v>16330</v>
      </c>
      <c r="L164" s="4">
        <v>12</v>
      </c>
    </row>
    <row r="165" spans="1:12" x14ac:dyDescent="0.3">
      <c r="A165" s="16">
        <v>164</v>
      </c>
      <c r="B165" s="4">
        <v>60011</v>
      </c>
      <c r="C165" s="4" t="s">
        <v>270</v>
      </c>
      <c r="D165" s="4" t="s">
        <v>93</v>
      </c>
      <c r="E165" s="4" t="s">
        <v>93</v>
      </c>
      <c r="F165" s="4" t="s">
        <v>271</v>
      </c>
      <c r="G165" s="5">
        <v>42949</v>
      </c>
      <c r="H165" s="4" t="s">
        <v>14</v>
      </c>
      <c r="I165" t="s">
        <v>755</v>
      </c>
      <c r="J165" s="6">
        <v>19005</v>
      </c>
      <c r="K165" s="6">
        <v>31675</v>
      </c>
      <c r="L165" s="4">
        <v>12</v>
      </c>
    </row>
    <row r="166" spans="1:12" x14ac:dyDescent="0.3">
      <c r="A166" s="16">
        <v>165</v>
      </c>
      <c r="B166" s="4">
        <v>60001</v>
      </c>
      <c r="C166" s="4" t="s">
        <v>272</v>
      </c>
      <c r="D166" s="4" t="s">
        <v>93</v>
      </c>
      <c r="E166" s="4" t="s">
        <v>93</v>
      </c>
      <c r="F166" s="4" t="s">
        <v>188</v>
      </c>
      <c r="G166" s="5">
        <v>41255</v>
      </c>
      <c r="H166" s="4" t="s">
        <v>14</v>
      </c>
      <c r="I166" t="s">
        <v>755</v>
      </c>
      <c r="J166" s="6">
        <v>21647</v>
      </c>
      <c r="K166" s="6">
        <v>36078</v>
      </c>
      <c r="L166" s="4">
        <v>8</v>
      </c>
    </row>
    <row r="167" spans="1:12" x14ac:dyDescent="0.3">
      <c r="A167" s="16">
        <v>166</v>
      </c>
      <c r="B167" s="4">
        <v>70007</v>
      </c>
      <c r="C167" s="4" t="s">
        <v>273</v>
      </c>
      <c r="D167" s="4" t="s">
        <v>11</v>
      </c>
      <c r="E167" s="4" t="s">
        <v>274</v>
      </c>
      <c r="F167" s="4" t="s">
        <v>17</v>
      </c>
      <c r="G167" s="5">
        <v>36312</v>
      </c>
      <c r="H167" s="4" t="s">
        <v>14</v>
      </c>
      <c r="I167" t="s">
        <v>756</v>
      </c>
      <c r="J167" s="6">
        <v>22628</v>
      </c>
      <c r="K167" s="6">
        <v>37713</v>
      </c>
      <c r="L167" s="4">
        <v>8</v>
      </c>
    </row>
    <row r="168" spans="1:12" x14ac:dyDescent="0.3">
      <c r="A168" s="16">
        <v>167</v>
      </c>
      <c r="B168" s="4">
        <v>70214</v>
      </c>
      <c r="C168" s="4" t="s">
        <v>275</v>
      </c>
      <c r="D168" s="4" t="s">
        <v>11</v>
      </c>
      <c r="E168" s="4" t="s">
        <v>274</v>
      </c>
      <c r="F168" s="4" t="s">
        <v>276</v>
      </c>
      <c r="G168" s="5">
        <v>42926</v>
      </c>
      <c r="H168" s="4" t="s">
        <v>14</v>
      </c>
      <c r="I168" t="s">
        <v>755</v>
      </c>
      <c r="J168" s="6">
        <v>12897</v>
      </c>
      <c r="K168" s="6">
        <v>21495</v>
      </c>
      <c r="L168" s="4">
        <v>8</v>
      </c>
    </row>
    <row r="169" spans="1:12" x14ac:dyDescent="0.3">
      <c r="A169" s="16">
        <v>168</v>
      </c>
      <c r="B169" s="4">
        <v>70017</v>
      </c>
      <c r="C169" s="4" t="s">
        <v>277</v>
      </c>
      <c r="D169" s="4" t="s">
        <v>11</v>
      </c>
      <c r="E169" s="4" t="s">
        <v>274</v>
      </c>
      <c r="F169" s="4" t="s">
        <v>278</v>
      </c>
      <c r="G169" s="5">
        <v>38961</v>
      </c>
      <c r="H169" s="4" t="s">
        <v>14</v>
      </c>
      <c r="I169" t="s">
        <v>755</v>
      </c>
      <c r="J169" s="6">
        <v>13482</v>
      </c>
      <c r="K169" s="6">
        <v>22470</v>
      </c>
      <c r="L169" s="4">
        <v>8</v>
      </c>
    </row>
    <row r="170" spans="1:12" x14ac:dyDescent="0.3">
      <c r="A170" s="16">
        <v>169</v>
      </c>
      <c r="B170" s="4">
        <v>70012</v>
      </c>
      <c r="C170" s="4" t="s">
        <v>279</v>
      </c>
      <c r="D170" s="4" t="s">
        <v>11</v>
      </c>
      <c r="E170" s="4" t="s">
        <v>274</v>
      </c>
      <c r="F170" s="4" t="s">
        <v>17</v>
      </c>
      <c r="G170" s="5">
        <v>36951</v>
      </c>
      <c r="H170" s="4" t="s">
        <v>14</v>
      </c>
      <c r="I170" t="s">
        <v>756</v>
      </c>
      <c r="J170" s="6">
        <v>19620</v>
      </c>
      <c r="K170" s="6">
        <v>32700</v>
      </c>
      <c r="L170" s="4">
        <v>8</v>
      </c>
    </row>
    <row r="171" spans="1:12" x14ac:dyDescent="0.3">
      <c r="A171" s="16">
        <v>170</v>
      </c>
      <c r="B171" s="4">
        <v>70369</v>
      </c>
      <c r="C171" s="4" t="s">
        <v>280</v>
      </c>
      <c r="D171" s="4" t="s">
        <v>11</v>
      </c>
      <c r="E171" s="4" t="s">
        <v>274</v>
      </c>
      <c r="F171" s="4" t="s">
        <v>281</v>
      </c>
      <c r="G171" s="5">
        <v>37980</v>
      </c>
      <c r="H171" s="4" t="s">
        <v>14</v>
      </c>
      <c r="I171" t="s">
        <v>756</v>
      </c>
      <c r="J171" s="6">
        <v>14021</v>
      </c>
      <c r="K171" s="6">
        <v>23369</v>
      </c>
      <c r="L171" s="4">
        <v>12</v>
      </c>
    </row>
    <row r="172" spans="1:12" x14ac:dyDescent="0.3">
      <c r="A172" s="16">
        <v>171</v>
      </c>
      <c r="B172" s="4">
        <v>70391</v>
      </c>
      <c r="C172" s="4" t="s">
        <v>282</v>
      </c>
      <c r="D172" s="4" t="s">
        <v>11</v>
      </c>
      <c r="E172" s="4" t="s">
        <v>283</v>
      </c>
      <c r="F172" s="4" t="s">
        <v>22</v>
      </c>
      <c r="G172" s="5">
        <v>42108</v>
      </c>
      <c r="H172" s="4" t="s">
        <v>14</v>
      </c>
      <c r="I172" t="s">
        <v>756</v>
      </c>
      <c r="J172" s="6">
        <v>10512</v>
      </c>
      <c r="K172" s="6">
        <v>17521</v>
      </c>
      <c r="L172" s="4">
        <v>8</v>
      </c>
    </row>
    <row r="173" spans="1:12" x14ac:dyDescent="0.3">
      <c r="A173" s="16">
        <v>172</v>
      </c>
      <c r="B173" s="4">
        <v>70053</v>
      </c>
      <c r="C173" s="4" t="s">
        <v>284</v>
      </c>
      <c r="D173" s="4" t="s">
        <v>11</v>
      </c>
      <c r="E173" s="4" t="s">
        <v>283</v>
      </c>
      <c r="F173" s="4" t="s">
        <v>22</v>
      </c>
      <c r="G173" s="5">
        <v>41011</v>
      </c>
      <c r="H173" s="4" t="s">
        <v>14</v>
      </c>
      <c r="I173" t="s">
        <v>755</v>
      </c>
      <c r="J173" s="6">
        <v>11559</v>
      </c>
      <c r="K173" s="6">
        <v>19266</v>
      </c>
      <c r="L173" s="4">
        <v>12</v>
      </c>
    </row>
    <row r="174" spans="1:12" x14ac:dyDescent="0.3">
      <c r="A174" s="16">
        <v>173</v>
      </c>
      <c r="B174" s="4">
        <v>70068</v>
      </c>
      <c r="C174" s="4" t="s">
        <v>285</v>
      </c>
      <c r="D174" s="4" t="s">
        <v>11</v>
      </c>
      <c r="E174" s="4" t="s">
        <v>283</v>
      </c>
      <c r="F174" s="4" t="s">
        <v>123</v>
      </c>
      <c r="G174" s="5">
        <v>41673</v>
      </c>
      <c r="H174" s="4" t="s">
        <v>14</v>
      </c>
      <c r="I174" t="s">
        <v>755</v>
      </c>
      <c r="J174" s="6">
        <v>13734</v>
      </c>
      <c r="K174" s="6">
        <v>22891</v>
      </c>
      <c r="L174" s="4">
        <v>8</v>
      </c>
    </row>
    <row r="175" spans="1:12" x14ac:dyDescent="0.3">
      <c r="A175" s="16">
        <v>174</v>
      </c>
      <c r="B175" s="4">
        <v>70095</v>
      </c>
      <c r="C175" s="4" t="s">
        <v>286</v>
      </c>
      <c r="D175" s="4" t="s">
        <v>11</v>
      </c>
      <c r="E175" s="4" t="s">
        <v>283</v>
      </c>
      <c r="F175" s="4" t="s">
        <v>287</v>
      </c>
      <c r="G175" s="5">
        <v>42098</v>
      </c>
      <c r="H175" s="4" t="s">
        <v>14</v>
      </c>
      <c r="I175" t="s">
        <v>756</v>
      </c>
      <c r="J175" s="6">
        <v>11118</v>
      </c>
      <c r="K175" s="6">
        <v>18530</v>
      </c>
      <c r="L175" s="4">
        <v>8</v>
      </c>
    </row>
    <row r="176" spans="1:12" x14ac:dyDescent="0.3">
      <c r="A176" s="16">
        <v>175</v>
      </c>
      <c r="B176" s="4">
        <v>70553</v>
      </c>
      <c r="C176" s="4" t="s">
        <v>121</v>
      </c>
      <c r="D176" s="4" t="s">
        <v>11</v>
      </c>
      <c r="E176" s="4" t="s">
        <v>283</v>
      </c>
      <c r="F176" s="4" t="s">
        <v>17</v>
      </c>
      <c r="G176" s="5">
        <v>42005</v>
      </c>
      <c r="H176" s="4" t="s">
        <v>14</v>
      </c>
      <c r="I176" t="s">
        <v>755</v>
      </c>
      <c r="J176" s="6">
        <v>19620</v>
      </c>
      <c r="K176" s="6">
        <v>32700</v>
      </c>
      <c r="L176" s="4">
        <v>8</v>
      </c>
    </row>
    <row r="177" spans="1:12" x14ac:dyDescent="0.3">
      <c r="A177" s="16">
        <v>176</v>
      </c>
      <c r="B177" s="4">
        <v>50002</v>
      </c>
      <c r="C177" s="4" t="s">
        <v>288</v>
      </c>
      <c r="D177" s="4" t="s">
        <v>129</v>
      </c>
      <c r="E177" s="4" t="s">
        <v>129</v>
      </c>
      <c r="F177" s="4" t="s">
        <v>25</v>
      </c>
      <c r="G177" s="5">
        <v>44929</v>
      </c>
      <c r="H177" s="4" t="s">
        <v>14</v>
      </c>
      <c r="I177" t="s">
        <v>755</v>
      </c>
      <c r="J177" s="6">
        <v>9776</v>
      </c>
      <c r="K177" s="6">
        <v>16294</v>
      </c>
      <c r="L177" s="4">
        <v>12</v>
      </c>
    </row>
    <row r="178" spans="1:12" x14ac:dyDescent="0.3">
      <c r="A178" s="16">
        <v>177</v>
      </c>
      <c r="B178" s="4">
        <v>50001</v>
      </c>
      <c r="C178" s="4" t="s">
        <v>289</v>
      </c>
      <c r="D178" s="4" t="s">
        <v>129</v>
      </c>
      <c r="E178" s="4" t="s">
        <v>129</v>
      </c>
      <c r="F178" s="4" t="s">
        <v>290</v>
      </c>
      <c r="G178" s="5">
        <v>43801</v>
      </c>
      <c r="H178" s="4" t="s">
        <v>14</v>
      </c>
      <c r="I178" t="s">
        <v>756</v>
      </c>
      <c r="J178" s="6">
        <v>14764</v>
      </c>
      <c r="K178" s="6">
        <v>24606</v>
      </c>
      <c r="L178" s="4">
        <v>12</v>
      </c>
    </row>
    <row r="179" spans="1:12" x14ac:dyDescent="0.3">
      <c r="A179" s="16">
        <v>178</v>
      </c>
      <c r="B179" s="4">
        <v>40023</v>
      </c>
      <c r="C179" s="4" t="s">
        <v>291</v>
      </c>
      <c r="D179" s="4" t="s">
        <v>59</v>
      </c>
      <c r="E179" s="4" t="s">
        <v>60</v>
      </c>
      <c r="F179" s="4" t="s">
        <v>292</v>
      </c>
      <c r="G179" s="5">
        <v>44571</v>
      </c>
      <c r="H179" s="4" t="s">
        <v>14</v>
      </c>
      <c r="I179" t="s">
        <v>755</v>
      </c>
      <c r="J179" s="6">
        <v>19130</v>
      </c>
      <c r="K179" s="6">
        <v>31884</v>
      </c>
      <c r="L179" s="4">
        <v>8</v>
      </c>
    </row>
    <row r="180" spans="1:12" x14ac:dyDescent="0.3">
      <c r="A180" s="16">
        <v>179</v>
      </c>
      <c r="B180" s="4">
        <v>40018</v>
      </c>
      <c r="C180" s="4" t="s">
        <v>293</v>
      </c>
      <c r="D180" s="4" t="s">
        <v>59</v>
      </c>
      <c r="E180" s="4" t="s">
        <v>60</v>
      </c>
      <c r="F180" s="4" t="s">
        <v>135</v>
      </c>
      <c r="G180" s="5">
        <v>44210</v>
      </c>
      <c r="H180" s="4" t="s">
        <v>14</v>
      </c>
      <c r="I180" t="s">
        <v>756</v>
      </c>
      <c r="J180" s="6">
        <v>16481</v>
      </c>
      <c r="K180" s="6">
        <v>27468</v>
      </c>
      <c r="L180" s="4">
        <v>8</v>
      </c>
    </row>
    <row r="181" spans="1:12" x14ac:dyDescent="0.3">
      <c r="A181" s="16">
        <v>180</v>
      </c>
      <c r="B181" s="4">
        <v>40016</v>
      </c>
      <c r="C181" s="4" t="s">
        <v>294</v>
      </c>
      <c r="D181" s="4" t="s">
        <v>59</v>
      </c>
      <c r="E181" s="4" t="s">
        <v>150</v>
      </c>
      <c r="F181" s="4" t="s">
        <v>295</v>
      </c>
      <c r="G181" s="5">
        <v>43557</v>
      </c>
      <c r="H181" s="4" t="s">
        <v>14</v>
      </c>
      <c r="I181" t="s">
        <v>756</v>
      </c>
      <c r="J181" s="6">
        <v>13734</v>
      </c>
      <c r="K181" s="6">
        <v>22891</v>
      </c>
      <c r="L181" s="4">
        <v>8</v>
      </c>
    </row>
    <row r="182" spans="1:12" x14ac:dyDescent="0.3">
      <c r="A182" s="16">
        <v>181</v>
      </c>
      <c r="B182" s="4">
        <v>40022</v>
      </c>
      <c r="C182" s="4" t="s">
        <v>296</v>
      </c>
      <c r="D182" s="4" t="s">
        <v>59</v>
      </c>
      <c r="E182" s="4" t="s">
        <v>150</v>
      </c>
      <c r="F182" s="4" t="s">
        <v>297</v>
      </c>
      <c r="G182" s="5">
        <v>44431</v>
      </c>
      <c r="H182" s="4" t="s">
        <v>14</v>
      </c>
      <c r="I182" t="s">
        <v>756</v>
      </c>
      <c r="J182" s="6">
        <v>9675</v>
      </c>
      <c r="K182" s="6">
        <v>16126</v>
      </c>
      <c r="L182" s="4">
        <v>12</v>
      </c>
    </row>
    <row r="183" spans="1:12" x14ac:dyDescent="0.3">
      <c r="A183" s="16">
        <v>182</v>
      </c>
      <c r="B183" s="4">
        <v>40021</v>
      </c>
      <c r="C183" s="4" t="s">
        <v>298</v>
      </c>
      <c r="D183" s="4" t="s">
        <v>59</v>
      </c>
      <c r="E183" s="4" t="s">
        <v>150</v>
      </c>
      <c r="F183" s="4" t="s">
        <v>297</v>
      </c>
      <c r="G183" s="5">
        <v>44434</v>
      </c>
      <c r="H183" s="4" t="s">
        <v>14</v>
      </c>
      <c r="I183" t="s">
        <v>755</v>
      </c>
      <c r="J183" s="6">
        <v>12099</v>
      </c>
      <c r="K183" s="6">
        <v>20166</v>
      </c>
      <c r="L183" s="4">
        <v>12</v>
      </c>
    </row>
    <row r="184" spans="1:12" x14ac:dyDescent="0.3">
      <c r="A184" s="16">
        <v>183</v>
      </c>
      <c r="B184" s="4">
        <v>40019</v>
      </c>
      <c r="C184" s="4" t="s">
        <v>299</v>
      </c>
      <c r="D184" s="4" t="s">
        <v>59</v>
      </c>
      <c r="E184" s="4" t="s">
        <v>150</v>
      </c>
      <c r="F184" s="4" t="s">
        <v>297</v>
      </c>
      <c r="G184" s="5">
        <v>44431</v>
      </c>
      <c r="H184" s="4" t="s">
        <v>14</v>
      </c>
      <c r="I184" t="s">
        <v>755</v>
      </c>
      <c r="J184" s="6">
        <v>9756</v>
      </c>
      <c r="K184" s="6">
        <v>16260</v>
      </c>
      <c r="L184" s="4">
        <v>8</v>
      </c>
    </row>
    <row r="185" spans="1:12" x14ac:dyDescent="0.3">
      <c r="A185" s="16">
        <v>184</v>
      </c>
      <c r="B185" s="4">
        <v>40014</v>
      </c>
      <c r="C185" s="4" t="s">
        <v>300</v>
      </c>
      <c r="D185" s="4" t="s">
        <v>59</v>
      </c>
      <c r="E185" s="4" t="s">
        <v>150</v>
      </c>
      <c r="F185" s="4" t="s">
        <v>301</v>
      </c>
      <c r="G185" s="5">
        <v>42462</v>
      </c>
      <c r="H185" s="4" t="s">
        <v>14</v>
      </c>
      <c r="I185" t="s">
        <v>756</v>
      </c>
      <c r="J185" s="6">
        <v>16023</v>
      </c>
      <c r="K185" s="6">
        <v>26705</v>
      </c>
      <c r="L185" s="4">
        <v>8</v>
      </c>
    </row>
    <row r="186" spans="1:12" x14ac:dyDescent="0.3">
      <c r="A186" s="16">
        <v>185</v>
      </c>
      <c r="B186" s="4">
        <v>40011</v>
      </c>
      <c r="C186" s="4" t="s">
        <v>302</v>
      </c>
      <c r="D186" s="4" t="s">
        <v>59</v>
      </c>
      <c r="E186" s="4" t="s">
        <v>150</v>
      </c>
      <c r="F186" s="4" t="s">
        <v>297</v>
      </c>
      <c r="G186" s="5">
        <v>42227</v>
      </c>
      <c r="H186" s="4" t="s">
        <v>14</v>
      </c>
      <c r="I186" t="s">
        <v>755</v>
      </c>
      <c r="J186" s="6">
        <v>14388</v>
      </c>
      <c r="K186" s="6">
        <v>23979</v>
      </c>
      <c r="L186" s="4">
        <v>8</v>
      </c>
    </row>
    <row r="187" spans="1:12" x14ac:dyDescent="0.3">
      <c r="A187" s="16">
        <v>186</v>
      </c>
      <c r="B187" s="4">
        <v>40026</v>
      </c>
      <c r="C187" s="4" t="s">
        <v>303</v>
      </c>
      <c r="D187" s="4" t="s">
        <v>59</v>
      </c>
      <c r="E187" s="4" t="s">
        <v>150</v>
      </c>
      <c r="F187" s="4" t="s">
        <v>25</v>
      </c>
      <c r="G187" s="5">
        <v>44440</v>
      </c>
      <c r="H187" s="4" t="s">
        <v>14</v>
      </c>
      <c r="I187" t="s">
        <v>755</v>
      </c>
      <c r="J187" s="6">
        <v>9543</v>
      </c>
      <c r="K187" s="6">
        <v>15904</v>
      </c>
      <c r="L187" s="4">
        <v>8</v>
      </c>
    </row>
    <row r="188" spans="1:12" x14ac:dyDescent="0.3">
      <c r="A188" s="16">
        <v>187</v>
      </c>
      <c r="B188" s="4">
        <v>40027</v>
      </c>
      <c r="C188" s="4" t="s">
        <v>304</v>
      </c>
      <c r="D188" s="4" t="s">
        <v>59</v>
      </c>
      <c r="E188" s="4" t="s">
        <v>150</v>
      </c>
      <c r="F188" s="4" t="s">
        <v>25</v>
      </c>
      <c r="G188" s="5">
        <v>44256</v>
      </c>
      <c r="H188" s="4" t="s">
        <v>14</v>
      </c>
      <c r="I188" t="s">
        <v>756</v>
      </c>
      <c r="J188" s="6">
        <v>9543</v>
      </c>
      <c r="K188" s="6">
        <v>15904</v>
      </c>
      <c r="L188" s="4">
        <v>8</v>
      </c>
    </row>
    <row r="189" spans="1:12" x14ac:dyDescent="0.3">
      <c r="A189" s="16">
        <v>188</v>
      </c>
      <c r="B189" s="4">
        <v>40028</v>
      </c>
      <c r="C189" s="4" t="s">
        <v>305</v>
      </c>
      <c r="D189" s="4" t="s">
        <v>59</v>
      </c>
      <c r="E189" s="4" t="s">
        <v>150</v>
      </c>
      <c r="F189" s="4" t="s">
        <v>25</v>
      </c>
      <c r="G189" s="5">
        <v>45204</v>
      </c>
      <c r="H189" s="4" t="s">
        <v>14</v>
      </c>
      <c r="I189" t="s">
        <v>755</v>
      </c>
      <c r="J189" s="6">
        <v>9543</v>
      </c>
      <c r="K189" s="6">
        <v>15904</v>
      </c>
      <c r="L189" s="4">
        <v>12</v>
      </c>
    </row>
    <row r="190" spans="1:12" x14ac:dyDescent="0.3">
      <c r="A190" s="16">
        <v>189</v>
      </c>
      <c r="B190" s="4">
        <v>40025</v>
      </c>
      <c r="C190" s="4" t="s">
        <v>306</v>
      </c>
      <c r="D190" s="4" t="s">
        <v>59</v>
      </c>
      <c r="E190" s="4" t="s">
        <v>150</v>
      </c>
      <c r="F190" s="4" t="s">
        <v>297</v>
      </c>
      <c r="G190" s="5">
        <v>44873</v>
      </c>
      <c r="H190" s="4" t="s">
        <v>14</v>
      </c>
      <c r="I190" t="s">
        <v>755</v>
      </c>
      <c r="J190" s="6">
        <v>13868</v>
      </c>
      <c r="K190" s="6">
        <v>23113</v>
      </c>
      <c r="L190" s="4">
        <v>8</v>
      </c>
    </row>
    <row r="191" spans="1:12" x14ac:dyDescent="0.3">
      <c r="A191" s="16">
        <v>190</v>
      </c>
      <c r="B191" s="4">
        <v>40024</v>
      </c>
      <c r="C191" s="4" t="s">
        <v>307</v>
      </c>
      <c r="D191" s="4" t="s">
        <v>59</v>
      </c>
      <c r="E191" s="4" t="s">
        <v>150</v>
      </c>
      <c r="F191" s="4" t="s">
        <v>297</v>
      </c>
      <c r="G191" s="5">
        <v>45050</v>
      </c>
      <c r="H191" s="4" t="s">
        <v>14</v>
      </c>
      <c r="I191" t="s">
        <v>756</v>
      </c>
      <c r="J191" s="6">
        <v>9675</v>
      </c>
      <c r="K191" s="6">
        <v>16126</v>
      </c>
      <c r="L191" s="4">
        <v>12</v>
      </c>
    </row>
    <row r="192" spans="1:12" x14ac:dyDescent="0.3">
      <c r="A192" s="16">
        <v>191</v>
      </c>
      <c r="B192" s="4">
        <v>70198</v>
      </c>
      <c r="C192" s="4" t="s">
        <v>308</v>
      </c>
      <c r="D192" s="4" t="s">
        <v>11</v>
      </c>
      <c r="E192" s="4" t="s">
        <v>309</v>
      </c>
      <c r="F192" s="4" t="s">
        <v>310</v>
      </c>
      <c r="G192" s="5">
        <v>44636</v>
      </c>
      <c r="H192" s="4" t="s">
        <v>14</v>
      </c>
      <c r="I192" t="s">
        <v>755</v>
      </c>
      <c r="J192" s="6">
        <v>18639</v>
      </c>
      <c r="K192" s="6">
        <v>31066</v>
      </c>
      <c r="L192" s="4">
        <v>8</v>
      </c>
    </row>
    <row r="193" spans="1:12" x14ac:dyDescent="0.3">
      <c r="A193" s="16">
        <v>192</v>
      </c>
      <c r="B193" s="4">
        <v>70115</v>
      </c>
      <c r="C193" s="4" t="s">
        <v>311</v>
      </c>
      <c r="D193" s="4" t="s">
        <v>11</v>
      </c>
      <c r="E193" s="4" t="s">
        <v>309</v>
      </c>
      <c r="F193" s="4" t="s">
        <v>312</v>
      </c>
      <c r="G193" s="5">
        <v>44378</v>
      </c>
      <c r="H193" s="4" t="s">
        <v>14</v>
      </c>
      <c r="I193" t="s">
        <v>756</v>
      </c>
      <c r="J193" s="6">
        <v>10464</v>
      </c>
      <c r="K193" s="6">
        <v>17440</v>
      </c>
      <c r="L193" s="4">
        <v>8</v>
      </c>
    </row>
    <row r="194" spans="1:12" x14ac:dyDescent="0.3">
      <c r="A194" s="16">
        <v>193</v>
      </c>
      <c r="B194" s="4">
        <v>70274</v>
      </c>
      <c r="C194" s="4" t="s">
        <v>313</v>
      </c>
      <c r="D194" s="4" t="s">
        <v>129</v>
      </c>
      <c r="E194" s="4" t="s">
        <v>129</v>
      </c>
      <c r="F194" s="4" t="s">
        <v>314</v>
      </c>
      <c r="G194" s="5">
        <v>45236</v>
      </c>
      <c r="H194" s="4" t="s">
        <v>14</v>
      </c>
      <c r="I194" t="s">
        <v>756</v>
      </c>
      <c r="J194" s="6">
        <v>9729</v>
      </c>
      <c r="K194" s="6">
        <v>16215</v>
      </c>
      <c r="L194" s="4">
        <v>8</v>
      </c>
    </row>
    <row r="195" spans="1:12" x14ac:dyDescent="0.3">
      <c r="A195" s="16">
        <v>194</v>
      </c>
      <c r="B195" s="4">
        <v>70273</v>
      </c>
      <c r="C195" s="4" t="s">
        <v>315</v>
      </c>
      <c r="D195" s="4" t="s">
        <v>129</v>
      </c>
      <c r="E195" s="4" t="s">
        <v>129</v>
      </c>
      <c r="F195" s="4" t="s">
        <v>314</v>
      </c>
      <c r="G195" s="5">
        <v>45231</v>
      </c>
      <c r="H195" s="4" t="s">
        <v>14</v>
      </c>
      <c r="I195" t="s">
        <v>756</v>
      </c>
      <c r="J195" s="6">
        <v>9729</v>
      </c>
      <c r="K195" s="6">
        <v>16215</v>
      </c>
      <c r="L195" s="4">
        <v>12</v>
      </c>
    </row>
    <row r="196" spans="1:12" x14ac:dyDescent="0.3">
      <c r="A196" s="16">
        <v>195</v>
      </c>
      <c r="B196" s="4">
        <v>40001</v>
      </c>
      <c r="C196" s="4" t="s">
        <v>316</v>
      </c>
      <c r="D196" s="4" t="s">
        <v>59</v>
      </c>
      <c r="E196" s="4" t="s">
        <v>150</v>
      </c>
      <c r="F196" s="4" t="s">
        <v>297</v>
      </c>
      <c r="G196" s="5">
        <v>41752</v>
      </c>
      <c r="H196" s="4" t="s">
        <v>14</v>
      </c>
      <c r="I196" t="s">
        <v>755</v>
      </c>
      <c r="J196" s="6">
        <v>14388</v>
      </c>
      <c r="K196" s="6">
        <v>23979</v>
      </c>
      <c r="L196" s="4">
        <v>12</v>
      </c>
    </row>
    <row r="197" spans="1:12" x14ac:dyDescent="0.3">
      <c r="A197" s="16">
        <v>196</v>
      </c>
      <c r="B197" s="4">
        <v>40002</v>
      </c>
      <c r="C197" s="4" t="s">
        <v>317</v>
      </c>
      <c r="D197" s="4" t="s">
        <v>59</v>
      </c>
      <c r="E197" s="4" t="s">
        <v>150</v>
      </c>
      <c r="F197" s="4" t="s">
        <v>297</v>
      </c>
      <c r="G197" s="5">
        <v>42585</v>
      </c>
      <c r="H197" s="4" t="s">
        <v>14</v>
      </c>
      <c r="I197" t="s">
        <v>755</v>
      </c>
      <c r="J197" s="6">
        <v>13080</v>
      </c>
      <c r="K197" s="6">
        <v>21800</v>
      </c>
      <c r="L197" s="4">
        <v>8</v>
      </c>
    </row>
    <row r="198" spans="1:12" x14ac:dyDescent="0.3">
      <c r="A198" s="16">
        <v>197</v>
      </c>
      <c r="B198" s="4">
        <v>40003</v>
      </c>
      <c r="C198" s="4" t="s">
        <v>318</v>
      </c>
      <c r="D198" s="4" t="s">
        <v>59</v>
      </c>
      <c r="E198" s="4" t="s">
        <v>150</v>
      </c>
      <c r="F198" s="4" t="s">
        <v>297</v>
      </c>
      <c r="G198" s="5">
        <v>41745</v>
      </c>
      <c r="H198" s="4" t="s">
        <v>14</v>
      </c>
      <c r="I198" t="s">
        <v>756</v>
      </c>
      <c r="J198" s="6">
        <v>13734</v>
      </c>
      <c r="K198" s="6">
        <v>22891</v>
      </c>
      <c r="L198" s="4">
        <v>8</v>
      </c>
    </row>
    <row r="199" spans="1:12" x14ac:dyDescent="0.3">
      <c r="A199" s="16">
        <v>198</v>
      </c>
      <c r="B199" s="4">
        <v>70294</v>
      </c>
      <c r="C199" s="4" t="s">
        <v>319</v>
      </c>
      <c r="D199" s="4" t="s">
        <v>63</v>
      </c>
      <c r="E199" s="4" t="s">
        <v>320</v>
      </c>
      <c r="F199" s="4" t="s">
        <v>321</v>
      </c>
      <c r="G199" s="5">
        <v>42736</v>
      </c>
      <c r="H199" s="4" t="s">
        <v>46</v>
      </c>
      <c r="I199" t="s">
        <v>755</v>
      </c>
      <c r="J199" s="6">
        <v>7594</v>
      </c>
      <c r="K199" s="6">
        <v>13841</v>
      </c>
      <c r="L199" s="4">
        <v>8</v>
      </c>
    </row>
    <row r="200" spans="1:12" x14ac:dyDescent="0.3">
      <c r="A200" s="16">
        <v>199</v>
      </c>
      <c r="B200" s="4">
        <v>70193</v>
      </c>
      <c r="C200" s="4" t="s">
        <v>322</v>
      </c>
      <c r="D200" s="4" t="s">
        <v>11</v>
      </c>
      <c r="E200" s="4" t="s">
        <v>12</v>
      </c>
      <c r="F200" s="4" t="s">
        <v>25</v>
      </c>
      <c r="G200" s="5">
        <v>44237</v>
      </c>
      <c r="H200" s="4" t="s">
        <v>46</v>
      </c>
      <c r="I200" t="s">
        <v>755</v>
      </c>
      <c r="J200" s="6">
        <v>7303</v>
      </c>
      <c r="K200" s="6">
        <v>13405</v>
      </c>
      <c r="L200" s="4">
        <v>12</v>
      </c>
    </row>
    <row r="201" spans="1:12" x14ac:dyDescent="0.3">
      <c r="A201" s="16">
        <v>200</v>
      </c>
      <c r="B201" s="4">
        <v>70198</v>
      </c>
      <c r="C201" s="4" t="s">
        <v>323</v>
      </c>
      <c r="D201" s="4" t="s">
        <v>11</v>
      </c>
      <c r="E201" s="4" t="s">
        <v>12</v>
      </c>
      <c r="F201" s="4" t="s">
        <v>25</v>
      </c>
      <c r="G201" s="5">
        <v>42806</v>
      </c>
      <c r="H201" s="4" t="s">
        <v>46</v>
      </c>
      <c r="I201" t="s">
        <v>756</v>
      </c>
      <c r="J201" s="6">
        <v>7448</v>
      </c>
      <c r="K201" s="6">
        <v>13622</v>
      </c>
      <c r="L201" s="4">
        <v>12</v>
      </c>
    </row>
    <row r="202" spans="1:12" x14ac:dyDescent="0.3">
      <c r="A202" s="16">
        <v>201</v>
      </c>
      <c r="B202" s="4">
        <v>70010</v>
      </c>
      <c r="C202" s="4" t="s">
        <v>324</v>
      </c>
      <c r="D202" s="4" t="s">
        <v>11</v>
      </c>
      <c r="E202" s="4" t="s">
        <v>12</v>
      </c>
      <c r="F202" s="4" t="s">
        <v>25</v>
      </c>
      <c r="G202" s="5">
        <v>44290</v>
      </c>
      <c r="H202" s="4" t="s">
        <v>46</v>
      </c>
      <c r="I202" t="s">
        <v>755</v>
      </c>
      <c r="J202" s="6">
        <v>7303</v>
      </c>
      <c r="K202" s="6">
        <v>13405</v>
      </c>
      <c r="L202" s="4">
        <v>8</v>
      </c>
    </row>
    <row r="203" spans="1:12" x14ac:dyDescent="0.3">
      <c r="A203" s="16">
        <v>202</v>
      </c>
      <c r="B203" s="4">
        <v>70014</v>
      </c>
      <c r="C203" s="4" t="s">
        <v>325</v>
      </c>
      <c r="D203" s="4" t="s">
        <v>11</v>
      </c>
      <c r="E203" s="4" t="s">
        <v>12</v>
      </c>
      <c r="F203" s="4" t="s">
        <v>25</v>
      </c>
      <c r="G203" s="5">
        <v>42010</v>
      </c>
      <c r="H203" s="4" t="s">
        <v>46</v>
      </c>
      <c r="I203" t="s">
        <v>756</v>
      </c>
      <c r="J203" s="6">
        <v>7954</v>
      </c>
      <c r="K203" s="6">
        <v>14381</v>
      </c>
      <c r="L203" s="4">
        <v>8</v>
      </c>
    </row>
    <row r="204" spans="1:12" x14ac:dyDescent="0.3">
      <c r="A204" s="16">
        <v>203</v>
      </c>
      <c r="B204" s="4">
        <v>70018</v>
      </c>
      <c r="C204" s="4" t="s">
        <v>326</v>
      </c>
      <c r="D204" s="4" t="s">
        <v>11</v>
      </c>
      <c r="E204" s="4" t="s">
        <v>12</v>
      </c>
      <c r="F204" s="4" t="s">
        <v>25</v>
      </c>
      <c r="G204" s="5">
        <v>44241</v>
      </c>
      <c r="H204" s="4" t="s">
        <v>46</v>
      </c>
      <c r="I204" t="s">
        <v>756</v>
      </c>
      <c r="J204" s="6">
        <v>7303</v>
      </c>
      <c r="K204" s="6">
        <v>13405</v>
      </c>
      <c r="L204" s="4">
        <v>8</v>
      </c>
    </row>
    <row r="205" spans="1:12" x14ac:dyDescent="0.3">
      <c r="A205" s="16">
        <v>204</v>
      </c>
      <c r="B205" s="4">
        <v>70021</v>
      </c>
      <c r="C205" s="4" t="s">
        <v>327</v>
      </c>
      <c r="D205" s="4" t="s">
        <v>11</v>
      </c>
      <c r="E205" s="4" t="s">
        <v>12</v>
      </c>
      <c r="F205" s="4" t="s">
        <v>25</v>
      </c>
      <c r="G205" s="5">
        <v>44367</v>
      </c>
      <c r="H205" s="4" t="s">
        <v>46</v>
      </c>
      <c r="I205" t="s">
        <v>756</v>
      </c>
      <c r="J205" s="6">
        <v>7303</v>
      </c>
      <c r="K205" s="6">
        <v>13405</v>
      </c>
      <c r="L205" s="4">
        <v>8</v>
      </c>
    </row>
    <row r="206" spans="1:12" x14ac:dyDescent="0.3">
      <c r="A206" s="16">
        <v>205</v>
      </c>
      <c r="B206" s="4">
        <v>70022</v>
      </c>
      <c r="C206" s="4" t="s">
        <v>328</v>
      </c>
      <c r="D206" s="4" t="s">
        <v>11</v>
      </c>
      <c r="E206" s="4" t="s">
        <v>12</v>
      </c>
      <c r="F206" s="4" t="s">
        <v>25</v>
      </c>
      <c r="G206" s="5">
        <v>44451</v>
      </c>
      <c r="H206" s="4" t="s">
        <v>46</v>
      </c>
      <c r="I206" t="s">
        <v>755</v>
      </c>
      <c r="J206" s="6">
        <v>7303</v>
      </c>
      <c r="K206" s="6">
        <v>13405</v>
      </c>
      <c r="L206" s="4">
        <v>8</v>
      </c>
    </row>
    <row r="207" spans="1:12" x14ac:dyDescent="0.3">
      <c r="A207" s="16">
        <v>206</v>
      </c>
      <c r="B207" s="4">
        <v>70257</v>
      </c>
      <c r="C207" s="4" t="s">
        <v>329</v>
      </c>
      <c r="D207" s="4" t="s">
        <v>11</v>
      </c>
      <c r="E207" s="4" t="s">
        <v>16</v>
      </c>
      <c r="F207" s="4" t="s">
        <v>25</v>
      </c>
      <c r="G207" s="5">
        <v>44570</v>
      </c>
      <c r="H207" s="4" t="s">
        <v>46</v>
      </c>
      <c r="I207" t="s">
        <v>755</v>
      </c>
      <c r="J207" s="6">
        <v>7303</v>
      </c>
      <c r="K207" s="6">
        <v>13405</v>
      </c>
      <c r="L207" s="4">
        <v>12</v>
      </c>
    </row>
    <row r="208" spans="1:12" x14ac:dyDescent="0.3">
      <c r="A208" s="16">
        <v>207</v>
      </c>
      <c r="B208" s="4">
        <v>70258</v>
      </c>
      <c r="C208" s="4" t="s">
        <v>222</v>
      </c>
      <c r="D208" s="4" t="s">
        <v>11</v>
      </c>
      <c r="E208" s="4" t="s">
        <v>16</v>
      </c>
      <c r="F208" s="4" t="s">
        <v>330</v>
      </c>
      <c r="G208" s="5">
        <v>40526</v>
      </c>
      <c r="H208" s="4" t="s">
        <v>46</v>
      </c>
      <c r="I208" t="s">
        <v>756</v>
      </c>
      <c r="J208" s="6">
        <v>9396</v>
      </c>
      <c r="K208" s="6">
        <v>16544</v>
      </c>
      <c r="L208" s="4">
        <v>8</v>
      </c>
    </row>
    <row r="209" spans="1:12" x14ac:dyDescent="0.3">
      <c r="A209" s="16">
        <v>208</v>
      </c>
      <c r="B209" s="4">
        <v>70255</v>
      </c>
      <c r="C209" s="4" t="s">
        <v>331</v>
      </c>
      <c r="D209" s="4" t="s">
        <v>11</v>
      </c>
      <c r="E209" s="4" t="s">
        <v>19</v>
      </c>
      <c r="F209" s="4" t="s">
        <v>332</v>
      </c>
      <c r="G209" s="5">
        <v>42736</v>
      </c>
      <c r="H209" s="4" t="s">
        <v>46</v>
      </c>
      <c r="I209" t="s">
        <v>755</v>
      </c>
      <c r="J209" s="6">
        <v>7448</v>
      </c>
      <c r="K209" s="6">
        <v>13622</v>
      </c>
      <c r="L209" s="4">
        <v>12</v>
      </c>
    </row>
    <row r="210" spans="1:12" x14ac:dyDescent="0.3">
      <c r="A210" s="16">
        <v>209</v>
      </c>
      <c r="B210" s="4">
        <v>70256</v>
      </c>
      <c r="C210" s="4" t="s">
        <v>333</v>
      </c>
      <c r="D210" s="4" t="s">
        <v>11</v>
      </c>
      <c r="E210" s="4" t="s">
        <v>19</v>
      </c>
      <c r="F210" s="4" t="s">
        <v>332</v>
      </c>
      <c r="G210" s="5">
        <v>43142</v>
      </c>
      <c r="H210" s="4" t="s">
        <v>46</v>
      </c>
      <c r="I210" t="s">
        <v>755</v>
      </c>
      <c r="J210" s="6">
        <v>7448</v>
      </c>
      <c r="K210" s="6">
        <v>13622</v>
      </c>
      <c r="L210" s="4">
        <v>8</v>
      </c>
    </row>
    <row r="211" spans="1:12" x14ac:dyDescent="0.3">
      <c r="A211" s="16">
        <v>210</v>
      </c>
      <c r="B211" s="4">
        <v>70241</v>
      </c>
      <c r="C211" s="4" t="s">
        <v>334</v>
      </c>
      <c r="D211" s="4" t="s">
        <v>11</v>
      </c>
      <c r="E211" s="4" t="s">
        <v>19</v>
      </c>
      <c r="F211" s="4" t="s">
        <v>335</v>
      </c>
      <c r="G211" s="5">
        <v>40969</v>
      </c>
      <c r="H211" s="4" t="s">
        <v>46</v>
      </c>
      <c r="I211" t="s">
        <v>756</v>
      </c>
      <c r="J211" s="6">
        <v>9437</v>
      </c>
      <c r="K211" s="6">
        <v>16606</v>
      </c>
      <c r="L211" s="4">
        <v>8</v>
      </c>
    </row>
    <row r="212" spans="1:12" x14ac:dyDescent="0.3">
      <c r="A212" s="16">
        <v>211</v>
      </c>
      <c r="B212" s="4">
        <v>70250</v>
      </c>
      <c r="C212" s="4" t="s">
        <v>336</v>
      </c>
      <c r="D212" s="4" t="s">
        <v>11</v>
      </c>
      <c r="E212" s="4" t="s">
        <v>19</v>
      </c>
      <c r="F212" s="4" t="s">
        <v>116</v>
      </c>
      <c r="G212" s="5">
        <v>40242</v>
      </c>
      <c r="H212" s="4" t="s">
        <v>46</v>
      </c>
      <c r="I212" t="s">
        <v>755</v>
      </c>
      <c r="J212" s="6">
        <v>8591</v>
      </c>
      <c r="K212" s="6">
        <v>15337</v>
      </c>
      <c r="L212" s="4">
        <v>8</v>
      </c>
    </row>
    <row r="213" spans="1:12" x14ac:dyDescent="0.3">
      <c r="A213" s="16">
        <v>212</v>
      </c>
      <c r="B213" s="4">
        <v>70251</v>
      </c>
      <c r="C213" s="4" t="s">
        <v>337</v>
      </c>
      <c r="D213" s="4" t="s">
        <v>11</v>
      </c>
      <c r="E213" s="4" t="s">
        <v>19</v>
      </c>
      <c r="F213" s="4" t="s">
        <v>116</v>
      </c>
      <c r="G213" s="5">
        <v>40347</v>
      </c>
      <c r="H213" s="4" t="s">
        <v>46</v>
      </c>
      <c r="I213" t="s">
        <v>755</v>
      </c>
      <c r="J213" s="6">
        <v>8591</v>
      </c>
      <c r="K213" s="6">
        <v>15337</v>
      </c>
      <c r="L213" s="4">
        <v>12</v>
      </c>
    </row>
    <row r="214" spans="1:12" x14ac:dyDescent="0.3">
      <c r="A214" s="16">
        <v>213</v>
      </c>
      <c r="B214" s="4">
        <v>70239</v>
      </c>
      <c r="C214" s="4" t="s">
        <v>338</v>
      </c>
      <c r="D214" s="4" t="s">
        <v>11</v>
      </c>
      <c r="E214" s="4" t="s">
        <v>19</v>
      </c>
      <c r="F214" s="4" t="s">
        <v>116</v>
      </c>
      <c r="G214" s="5">
        <v>37843</v>
      </c>
      <c r="H214" s="4" t="s">
        <v>46</v>
      </c>
      <c r="I214" t="s">
        <v>756</v>
      </c>
      <c r="J214" s="6">
        <v>10587</v>
      </c>
      <c r="K214" s="6">
        <v>18331</v>
      </c>
      <c r="L214" s="4">
        <v>12</v>
      </c>
    </row>
    <row r="215" spans="1:12" x14ac:dyDescent="0.3">
      <c r="A215" s="16">
        <v>214</v>
      </c>
      <c r="B215" s="4">
        <v>70292</v>
      </c>
      <c r="C215" s="4" t="s">
        <v>339</v>
      </c>
      <c r="D215" s="4" t="s">
        <v>11</v>
      </c>
      <c r="E215" s="4" t="s">
        <v>19</v>
      </c>
      <c r="F215" s="4" t="s">
        <v>25</v>
      </c>
      <c r="G215" s="5">
        <v>44380</v>
      </c>
      <c r="H215" s="4" t="s">
        <v>46</v>
      </c>
      <c r="I215" t="s">
        <v>755</v>
      </c>
      <c r="J215" s="6">
        <v>7303</v>
      </c>
      <c r="K215" s="6">
        <v>13405</v>
      </c>
      <c r="L215" s="4">
        <v>8</v>
      </c>
    </row>
    <row r="216" spans="1:12" x14ac:dyDescent="0.3">
      <c r="A216" s="16">
        <v>215</v>
      </c>
      <c r="B216" s="4">
        <v>70282</v>
      </c>
      <c r="C216" s="4" t="s">
        <v>340</v>
      </c>
      <c r="D216" s="4" t="s">
        <v>11</v>
      </c>
      <c r="E216" s="4" t="s">
        <v>19</v>
      </c>
      <c r="F216" s="4" t="s">
        <v>341</v>
      </c>
      <c r="G216" s="5">
        <v>43283</v>
      </c>
      <c r="H216" s="4" t="s">
        <v>46</v>
      </c>
      <c r="I216" t="s">
        <v>755</v>
      </c>
      <c r="J216" s="6">
        <v>7303</v>
      </c>
      <c r="K216" s="6">
        <v>13405</v>
      </c>
      <c r="L216" s="4">
        <v>8</v>
      </c>
    </row>
    <row r="217" spans="1:12" x14ac:dyDescent="0.3">
      <c r="A217" s="16">
        <v>216</v>
      </c>
      <c r="B217" s="4">
        <v>70280</v>
      </c>
      <c r="C217" s="4" t="s">
        <v>342</v>
      </c>
      <c r="D217" s="4" t="s">
        <v>11</v>
      </c>
      <c r="E217" s="4" t="s">
        <v>19</v>
      </c>
      <c r="F217" s="4" t="s">
        <v>343</v>
      </c>
      <c r="G217" s="5">
        <v>39936</v>
      </c>
      <c r="H217" s="4" t="s">
        <v>46</v>
      </c>
      <c r="I217" t="s">
        <v>756</v>
      </c>
      <c r="J217" s="6">
        <v>8902</v>
      </c>
      <c r="K217" s="6">
        <v>15803</v>
      </c>
      <c r="L217" s="4">
        <v>8</v>
      </c>
    </row>
    <row r="218" spans="1:12" x14ac:dyDescent="0.3">
      <c r="A218" s="16">
        <v>217</v>
      </c>
      <c r="B218" s="4">
        <v>70205</v>
      </c>
      <c r="C218" s="4" t="s">
        <v>344</v>
      </c>
      <c r="D218" s="4" t="s">
        <v>11</v>
      </c>
      <c r="E218" s="4" t="s">
        <v>24</v>
      </c>
      <c r="F218" s="4" t="s">
        <v>25</v>
      </c>
      <c r="G218" s="5">
        <v>44713</v>
      </c>
      <c r="H218" s="4" t="s">
        <v>46</v>
      </c>
      <c r="I218" t="s">
        <v>756</v>
      </c>
      <c r="J218" s="6">
        <v>7303</v>
      </c>
      <c r="K218" s="6">
        <v>13405</v>
      </c>
      <c r="L218" s="4">
        <v>12</v>
      </c>
    </row>
    <row r="219" spans="1:12" x14ac:dyDescent="0.3">
      <c r="A219" s="16">
        <v>218</v>
      </c>
      <c r="B219" s="4">
        <v>70201</v>
      </c>
      <c r="C219" s="4" t="s">
        <v>345</v>
      </c>
      <c r="D219" s="4" t="s">
        <v>11</v>
      </c>
      <c r="E219" s="4" t="s">
        <v>24</v>
      </c>
      <c r="F219" s="4" t="s">
        <v>25</v>
      </c>
      <c r="G219" s="5">
        <v>45231</v>
      </c>
      <c r="H219" s="4" t="s">
        <v>46</v>
      </c>
      <c r="I219" t="s">
        <v>756</v>
      </c>
      <c r="J219" s="6">
        <v>7303</v>
      </c>
      <c r="K219" s="6">
        <v>13405</v>
      </c>
      <c r="L219" s="4">
        <v>12</v>
      </c>
    </row>
    <row r="220" spans="1:12" x14ac:dyDescent="0.3">
      <c r="A220" s="16">
        <v>219</v>
      </c>
      <c r="B220" s="4">
        <v>70213</v>
      </c>
      <c r="C220" s="4" t="s">
        <v>346</v>
      </c>
      <c r="D220" s="4" t="s">
        <v>11</v>
      </c>
      <c r="E220" s="4" t="s">
        <v>24</v>
      </c>
      <c r="F220" s="4" t="s">
        <v>25</v>
      </c>
      <c r="G220" s="5">
        <v>45143</v>
      </c>
      <c r="H220" s="4" t="s">
        <v>46</v>
      </c>
      <c r="I220" t="s">
        <v>755</v>
      </c>
      <c r="J220" s="6">
        <v>7303</v>
      </c>
      <c r="K220" s="6">
        <v>13405</v>
      </c>
      <c r="L220" s="4">
        <v>8</v>
      </c>
    </row>
    <row r="221" spans="1:12" x14ac:dyDescent="0.3">
      <c r="A221" s="16">
        <v>220</v>
      </c>
      <c r="B221" s="4">
        <v>70214</v>
      </c>
      <c r="C221" s="4" t="s">
        <v>347</v>
      </c>
      <c r="D221" s="4" t="s">
        <v>11</v>
      </c>
      <c r="E221" s="4" t="s">
        <v>24</v>
      </c>
      <c r="F221" s="4" t="s">
        <v>116</v>
      </c>
      <c r="G221" s="5">
        <v>42283</v>
      </c>
      <c r="H221" s="4" t="s">
        <v>46</v>
      </c>
      <c r="I221" t="s">
        <v>755</v>
      </c>
      <c r="J221" s="6">
        <v>8591</v>
      </c>
      <c r="K221" s="6">
        <v>15337</v>
      </c>
      <c r="L221" s="4">
        <v>8</v>
      </c>
    </row>
    <row r="222" spans="1:12" x14ac:dyDescent="0.3">
      <c r="A222" s="16">
        <v>221</v>
      </c>
      <c r="B222" s="4">
        <v>70210</v>
      </c>
      <c r="C222" s="4" t="s">
        <v>348</v>
      </c>
      <c r="D222" s="4" t="s">
        <v>11</v>
      </c>
      <c r="E222" s="4" t="s">
        <v>24</v>
      </c>
      <c r="F222" s="4" t="s">
        <v>25</v>
      </c>
      <c r="G222" s="5">
        <v>44653</v>
      </c>
      <c r="H222" s="4" t="s">
        <v>46</v>
      </c>
      <c r="I222" t="s">
        <v>756</v>
      </c>
      <c r="J222" s="6">
        <v>7303</v>
      </c>
      <c r="K222" s="6">
        <v>13405</v>
      </c>
      <c r="L222" s="4">
        <v>8</v>
      </c>
    </row>
    <row r="223" spans="1:12" x14ac:dyDescent="0.3">
      <c r="A223" s="16">
        <v>222</v>
      </c>
      <c r="B223" s="4">
        <v>70064</v>
      </c>
      <c r="C223" s="4" t="s">
        <v>349</v>
      </c>
      <c r="D223" s="4" t="s">
        <v>11</v>
      </c>
      <c r="E223" s="4" t="s">
        <v>24</v>
      </c>
      <c r="F223" s="4" t="s">
        <v>25</v>
      </c>
      <c r="G223" s="5">
        <v>44714</v>
      </c>
      <c r="H223" s="4" t="s">
        <v>46</v>
      </c>
      <c r="I223" t="s">
        <v>755</v>
      </c>
      <c r="J223" s="6">
        <v>7303</v>
      </c>
      <c r="K223" s="6">
        <v>13405</v>
      </c>
      <c r="L223" s="4">
        <v>8</v>
      </c>
    </row>
    <row r="224" spans="1:12" x14ac:dyDescent="0.3">
      <c r="A224" s="16">
        <v>223</v>
      </c>
      <c r="B224" s="4">
        <v>70218</v>
      </c>
      <c r="C224" s="4" t="s">
        <v>350</v>
      </c>
      <c r="D224" s="4" t="s">
        <v>11</v>
      </c>
      <c r="E224" s="4" t="s">
        <v>51</v>
      </c>
      <c r="F224" s="4" t="s">
        <v>341</v>
      </c>
      <c r="G224" s="5">
        <v>42826</v>
      </c>
      <c r="H224" s="4" t="s">
        <v>46</v>
      </c>
      <c r="I224" t="s">
        <v>755</v>
      </c>
      <c r="J224" s="6">
        <v>7412</v>
      </c>
      <c r="K224" s="6">
        <v>13568</v>
      </c>
      <c r="L224" s="4">
        <v>8</v>
      </c>
    </row>
    <row r="225" spans="1:12" x14ac:dyDescent="0.3">
      <c r="A225" s="16">
        <v>224</v>
      </c>
      <c r="B225" s="4">
        <v>70130</v>
      </c>
      <c r="C225" s="4" t="s">
        <v>351</v>
      </c>
      <c r="D225" s="4" t="s">
        <v>11</v>
      </c>
      <c r="E225" s="4" t="s">
        <v>24</v>
      </c>
      <c r="F225" s="4" t="s">
        <v>25</v>
      </c>
      <c r="G225" s="5">
        <v>44927</v>
      </c>
      <c r="H225" s="4" t="s">
        <v>46</v>
      </c>
      <c r="I225" t="s">
        <v>756</v>
      </c>
      <c r="J225" s="6">
        <v>7303</v>
      </c>
      <c r="K225" s="6">
        <v>13405</v>
      </c>
      <c r="L225" s="4">
        <v>12</v>
      </c>
    </row>
    <row r="226" spans="1:12" x14ac:dyDescent="0.3">
      <c r="A226" s="16">
        <v>225</v>
      </c>
      <c r="B226" s="4">
        <v>70159</v>
      </c>
      <c r="C226" s="4" t="s">
        <v>352</v>
      </c>
      <c r="D226" s="4" t="s">
        <v>11</v>
      </c>
      <c r="E226" s="4" t="s">
        <v>24</v>
      </c>
      <c r="F226" s="4" t="s">
        <v>25</v>
      </c>
      <c r="G226" s="5">
        <v>45049</v>
      </c>
      <c r="H226" s="4" t="s">
        <v>46</v>
      </c>
      <c r="I226" t="s">
        <v>755</v>
      </c>
      <c r="J226" s="6">
        <v>7303</v>
      </c>
      <c r="K226" s="6">
        <v>13405</v>
      </c>
      <c r="L226" s="4">
        <v>8</v>
      </c>
    </row>
    <row r="227" spans="1:12" x14ac:dyDescent="0.3">
      <c r="A227" s="16">
        <v>226</v>
      </c>
      <c r="B227" s="4">
        <v>70139</v>
      </c>
      <c r="C227" s="4" t="s">
        <v>353</v>
      </c>
      <c r="D227" s="4" t="s">
        <v>11</v>
      </c>
      <c r="E227" s="4" t="s">
        <v>24</v>
      </c>
      <c r="F227" s="4" t="s">
        <v>25</v>
      </c>
      <c r="G227" s="5">
        <v>44928</v>
      </c>
      <c r="H227" s="4" t="s">
        <v>46</v>
      </c>
      <c r="I227" t="s">
        <v>756</v>
      </c>
      <c r="J227" s="6">
        <v>7303</v>
      </c>
      <c r="K227" s="6">
        <v>13405</v>
      </c>
      <c r="L227" s="4">
        <v>12</v>
      </c>
    </row>
    <row r="228" spans="1:12" x14ac:dyDescent="0.3">
      <c r="A228" s="16">
        <v>227</v>
      </c>
      <c r="B228" s="4">
        <v>70162</v>
      </c>
      <c r="C228" s="4" t="s">
        <v>354</v>
      </c>
      <c r="D228" s="4" t="s">
        <v>11</v>
      </c>
      <c r="E228" s="4" t="s">
        <v>24</v>
      </c>
      <c r="F228" s="4" t="s">
        <v>25</v>
      </c>
      <c r="G228" s="5">
        <v>45050</v>
      </c>
      <c r="H228" s="4" t="s">
        <v>46</v>
      </c>
      <c r="I228" t="s">
        <v>756</v>
      </c>
      <c r="J228" s="6">
        <v>7303</v>
      </c>
      <c r="K228" s="6">
        <v>13405</v>
      </c>
      <c r="L228" s="4">
        <v>8</v>
      </c>
    </row>
    <row r="229" spans="1:12" x14ac:dyDescent="0.3">
      <c r="A229" s="16">
        <v>228</v>
      </c>
      <c r="B229" s="4">
        <v>70192</v>
      </c>
      <c r="C229" s="4" t="s">
        <v>108</v>
      </c>
      <c r="D229" s="4" t="s">
        <v>11</v>
      </c>
      <c r="E229" s="4" t="s">
        <v>24</v>
      </c>
      <c r="F229" s="4" t="s">
        <v>25</v>
      </c>
      <c r="G229" s="5">
        <v>45173</v>
      </c>
      <c r="H229" s="4" t="s">
        <v>46</v>
      </c>
      <c r="I229" t="s">
        <v>756</v>
      </c>
      <c r="J229" s="6">
        <v>7303</v>
      </c>
      <c r="K229" s="6">
        <v>13405</v>
      </c>
      <c r="L229" s="4">
        <v>8</v>
      </c>
    </row>
    <row r="230" spans="1:12" x14ac:dyDescent="0.3">
      <c r="A230" s="16">
        <v>229</v>
      </c>
      <c r="B230" s="4">
        <v>70261</v>
      </c>
      <c r="C230" s="4" t="s">
        <v>355</v>
      </c>
      <c r="D230" s="4" t="s">
        <v>11</v>
      </c>
      <c r="E230" s="4" t="s">
        <v>31</v>
      </c>
      <c r="F230" s="4" t="s">
        <v>356</v>
      </c>
      <c r="G230" s="5">
        <v>43344</v>
      </c>
      <c r="H230" s="4" t="s">
        <v>46</v>
      </c>
      <c r="I230" t="s">
        <v>755</v>
      </c>
      <c r="J230" s="6">
        <v>7376</v>
      </c>
      <c r="K230" s="6">
        <v>13514</v>
      </c>
      <c r="L230" s="4">
        <v>8</v>
      </c>
    </row>
    <row r="231" spans="1:12" x14ac:dyDescent="0.3">
      <c r="A231" s="16">
        <v>230</v>
      </c>
      <c r="B231" s="4">
        <v>70262</v>
      </c>
      <c r="C231" s="4" t="s">
        <v>357</v>
      </c>
      <c r="D231" s="4" t="s">
        <v>11</v>
      </c>
      <c r="E231" s="4" t="s">
        <v>31</v>
      </c>
      <c r="F231" s="4" t="s">
        <v>358</v>
      </c>
      <c r="G231" s="5">
        <v>42652</v>
      </c>
      <c r="H231" s="4" t="s">
        <v>46</v>
      </c>
      <c r="I231" t="s">
        <v>755</v>
      </c>
      <c r="J231" s="6">
        <v>7303</v>
      </c>
      <c r="K231" s="6">
        <v>13405</v>
      </c>
      <c r="L231" s="4">
        <v>12</v>
      </c>
    </row>
    <row r="232" spans="1:12" x14ac:dyDescent="0.3">
      <c r="A232" s="16">
        <v>231</v>
      </c>
      <c r="B232" s="4">
        <v>70263</v>
      </c>
      <c r="C232" s="4" t="s">
        <v>359</v>
      </c>
      <c r="D232" s="4" t="s">
        <v>11</v>
      </c>
      <c r="E232" s="4" t="s">
        <v>31</v>
      </c>
      <c r="F232" s="4" t="s">
        <v>360</v>
      </c>
      <c r="G232" s="5">
        <v>40728</v>
      </c>
      <c r="H232" s="4" t="s">
        <v>46</v>
      </c>
      <c r="I232" t="s">
        <v>756</v>
      </c>
      <c r="J232" s="6">
        <v>9749</v>
      </c>
      <c r="K232" s="6">
        <v>17073</v>
      </c>
      <c r="L232" s="4">
        <v>12</v>
      </c>
    </row>
    <row r="233" spans="1:12" x14ac:dyDescent="0.3">
      <c r="A233" s="16">
        <v>232</v>
      </c>
      <c r="B233" s="4">
        <v>70264</v>
      </c>
      <c r="C233" s="4" t="s">
        <v>361</v>
      </c>
      <c r="D233" s="4" t="s">
        <v>11</v>
      </c>
      <c r="E233" s="4" t="s">
        <v>31</v>
      </c>
      <c r="F233" s="4" t="s">
        <v>360</v>
      </c>
      <c r="G233" s="5">
        <v>42796</v>
      </c>
      <c r="H233" s="4" t="s">
        <v>46</v>
      </c>
      <c r="I233" t="s">
        <v>755</v>
      </c>
      <c r="J233" s="6">
        <v>8591</v>
      </c>
      <c r="K233" s="6">
        <v>15337</v>
      </c>
      <c r="L233" s="4">
        <v>8</v>
      </c>
    </row>
    <row r="234" spans="1:12" x14ac:dyDescent="0.3">
      <c r="A234" s="16">
        <v>233</v>
      </c>
      <c r="B234" s="4">
        <v>70265</v>
      </c>
      <c r="C234" s="4" t="s">
        <v>362</v>
      </c>
      <c r="D234" s="4" t="s">
        <v>11</v>
      </c>
      <c r="E234" s="4" t="s">
        <v>31</v>
      </c>
      <c r="F234" s="4" t="s">
        <v>360</v>
      </c>
      <c r="G234" s="5">
        <v>42919</v>
      </c>
      <c r="H234" s="4" t="s">
        <v>46</v>
      </c>
      <c r="I234" t="s">
        <v>755</v>
      </c>
      <c r="J234" s="6">
        <v>8591</v>
      </c>
      <c r="K234" s="6">
        <v>15337</v>
      </c>
      <c r="L234" s="4">
        <v>8</v>
      </c>
    </row>
    <row r="235" spans="1:12" x14ac:dyDescent="0.3">
      <c r="A235" s="16">
        <v>234</v>
      </c>
      <c r="B235" s="4">
        <v>70266</v>
      </c>
      <c r="C235" s="4" t="s">
        <v>363</v>
      </c>
      <c r="D235" s="4" t="s">
        <v>11</v>
      </c>
      <c r="E235" s="4" t="s">
        <v>31</v>
      </c>
      <c r="F235" s="4" t="s">
        <v>358</v>
      </c>
      <c r="G235" s="5">
        <v>43040</v>
      </c>
      <c r="H235" s="4" t="s">
        <v>46</v>
      </c>
      <c r="I235" t="s">
        <v>756</v>
      </c>
      <c r="J235" s="6">
        <v>7303</v>
      </c>
      <c r="K235" s="6">
        <v>13405</v>
      </c>
      <c r="L235" s="4">
        <v>8</v>
      </c>
    </row>
    <row r="236" spans="1:12" x14ac:dyDescent="0.3">
      <c r="A236" s="16">
        <v>235</v>
      </c>
      <c r="B236" s="4">
        <v>70211</v>
      </c>
      <c r="C236" s="4" t="s">
        <v>364</v>
      </c>
      <c r="D236" s="4" t="s">
        <v>11</v>
      </c>
      <c r="E236" s="4" t="s">
        <v>35</v>
      </c>
      <c r="F236" s="4" t="s">
        <v>25</v>
      </c>
      <c r="G236" s="5">
        <v>44927</v>
      </c>
      <c r="H236" s="4" t="s">
        <v>46</v>
      </c>
      <c r="I236" t="s">
        <v>755</v>
      </c>
      <c r="J236" s="6">
        <v>7303</v>
      </c>
      <c r="K236" s="6">
        <v>13405</v>
      </c>
      <c r="L236" s="4">
        <v>12</v>
      </c>
    </row>
    <row r="237" spans="1:12" x14ac:dyDescent="0.3">
      <c r="A237" s="16">
        <v>236</v>
      </c>
      <c r="B237" s="4">
        <v>70207</v>
      </c>
      <c r="C237" s="4" t="s">
        <v>365</v>
      </c>
      <c r="D237" s="4" t="s">
        <v>11</v>
      </c>
      <c r="E237" s="4" t="s">
        <v>35</v>
      </c>
      <c r="F237" s="4" t="s">
        <v>116</v>
      </c>
      <c r="G237" s="5">
        <v>43122</v>
      </c>
      <c r="H237" s="4" t="s">
        <v>46</v>
      </c>
      <c r="I237" t="s">
        <v>755</v>
      </c>
      <c r="J237" s="6">
        <v>12584</v>
      </c>
      <c r="K237" s="6">
        <v>21326</v>
      </c>
      <c r="L237" s="4">
        <v>12</v>
      </c>
    </row>
    <row r="238" spans="1:12" x14ac:dyDescent="0.3">
      <c r="A238" s="16">
        <v>237</v>
      </c>
      <c r="B238" s="4">
        <v>70208</v>
      </c>
      <c r="C238" s="4" t="s">
        <v>366</v>
      </c>
      <c r="D238" s="4" t="s">
        <v>11</v>
      </c>
      <c r="E238" s="4" t="s">
        <v>35</v>
      </c>
      <c r="F238" s="4" t="s">
        <v>116</v>
      </c>
      <c r="G238" s="5">
        <v>43282</v>
      </c>
      <c r="H238" s="4" t="s">
        <v>46</v>
      </c>
      <c r="I238" t="s">
        <v>756</v>
      </c>
      <c r="J238" s="6">
        <v>10747</v>
      </c>
      <c r="K238" s="6">
        <v>18571</v>
      </c>
      <c r="L238" s="4">
        <v>8</v>
      </c>
    </row>
    <row r="239" spans="1:12" x14ac:dyDescent="0.3">
      <c r="A239" s="16">
        <v>238</v>
      </c>
      <c r="B239" s="4">
        <v>70203</v>
      </c>
      <c r="C239" s="4" t="s">
        <v>367</v>
      </c>
      <c r="D239" s="4" t="s">
        <v>11</v>
      </c>
      <c r="E239" s="4" t="s">
        <v>35</v>
      </c>
      <c r="F239" s="4" t="s">
        <v>25</v>
      </c>
      <c r="G239" s="5">
        <v>45232</v>
      </c>
      <c r="H239" s="4" t="s">
        <v>46</v>
      </c>
      <c r="I239" t="s">
        <v>755</v>
      </c>
      <c r="J239" s="6">
        <v>7303</v>
      </c>
      <c r="K239" s="6">
        <v>13405</v>
      </c>
      <c r="L239" s="4">
        <v>8</v>
      </c>
    </row>
    <row r="240" spans="1:12" x14ac:dyDescent="0.3">
      <c r="A240" s="16">
        <v>239</v>
      </c>
      <c r="B240" s="4">
        <v>70174</v>
      </c>
      <c r="C240" s="4" t="s">
        <v>368</v>
      </c>
      <c r="D240" s="4" t="s">
        <v>11</v>
      </c>
      <c r="E240" s="4" t="s">
        <v>35</v>
      </c>
      <c r="F240" s="4" t="s">
        <v>25</v>
      </c>
      <c r="G240" s="5">
        <v>45085</v>
      </c>
      <c r="H240" s="4" t="s">
        <v>46</v>
      </c>
      <c r="I240" t="s">
        <v>755</v>
      </c>
      <c r="J240" s="6">
        <v>7303</v>
      </c>
      <c r="K240" s="6">
        <v>13405</v>
      </c>
      <c r="L240" s="4">
        <v>8</v>
      </c>
    </row>
    <row r="241" spans="1:12" x14ac:dyDescent="0.3">
      <c r="A241" s="16">
        <v>240</v>
      </c>
      <c r="B241" s="4">
        <v>70141</v>
      </c>
      <c r="C241" s="4" t="s">
        <v>369</v>
      </c>
      <c r="D241" s="4" t="s">
        <v>11</v>
      </c>
      <c r="E241" s="4" t="s">
        <v>35</v>
      </c>
      <c r="F241" s="4" t="s">
        <v>25</v>
      </c>
      <c r="G241" s="5">
        <v>44929</v>
      </c>
      <c r="H241" s="4" t="s">
        <v>46</v>
      </c>
      <c r="I241" t="s">
        <v>756</v>
      </c>
      <c r="J241" s="6">
        <v>7303</v>
      </c>
      <c r="K241" s="6">
        <v>13405</v>
      </c>
      <c r="L241" s="4">
        <v>8</v>
      </c>
    </row>
    <row r="242" spans="1:12" x14ac:dyDescent="0.3">
      <c r="A242" s="16">
        <v>241</v>
      </c>
      <c r="B242" s="4">
        <v>70154</v>
      </c>
      <c r="C242" s="4" t="s">
        <v>370</v>
      </c>
      <c r="D242" s="4" t="s">
        <v>11</v>
      </c>
      <c r="E242" s="4" t="s">
        <v>35</v>
      </c>
      <c r="F242" s="4" t="s">
        <v>25</v>
      </c>
      <c r="G242" s="5">
        <v>44990</v>
      </c>
      <c r="H242" s="4" t="s">
        <v>46</v>
      </c>
      <c r="I242" t="s">
        <v>756</v>
      </c>
      <c r="J242" s="6">
        <v>7303</v>
      </c>
      <c r="K242" s="6">
        <v>13405</v>
      </c>
      <c r="L242" s="4">
        <v>8</v>
      </c>
    </row>
    <row r="243" spans="1:12" x14ac:dyDescent="0.3">
      <c r="A243" s="16">
        <v>242</v>
      </c>
      <c r="B243" s="4">
        <v>70158</v>
      </c>
      <c r="C243" s="4" t="s">
        <v>371</v>
      </c>
      <c r="D243" s="4" t="s">
        <v>11</v>
      </c>
      <c r="E243" s="4" t="s">
        <v>35</v>
      </c>
      <c r="F243" s="4" t="s">
        <v>25</v>
      </c>
      <c r="G243" s="5">
        <v>45048</v>
      </c>
      <c r="H243" s="4" t="s">
        <v>46</v>
      </c>
      <c r="I243" t="s">
        <v>756</v>
      </c>
      <c r="J243" s="6">
        <v>7303</v>
      </c>
      <c r="K243" s="6">
        <v>13405</v>
      </c>
      <c r="L243" s="4">
        <v>12</v>
      </c>
    </row>
    <row r="244" spans="1:12" x14ac:dyDescent="0.3">
      <c r="A244" s="16">
        <v>243</v>
      </c>
      <c r="B244" s="4">
        <v>70104</v>
      </c>
      <c r="C244" s="4" t="s">
        <v>372</v>
      </c>
      <c r="D244" s="4" t="s">
        <v>11</v>
      </c>
      <c r="E244" s="4" t="s">
        <v>35</v>
      </c>
      <c r="F244" s="4" t="s">
        <v>25</v>
      </c>
      <c r="G244" s="5">
        <v>44842</v>
      </c>
      <c r="H244" s="4" t="s">
        <v>46</v>
      </c>
      <c r="I244" t="s">
        <v>755</v>
      </c>
      <c r="J244" s="6">
        <v>7303</v>
      </c>
      <c r="K244" s="6">
        <v>13405</v>
      </c>
      <c r="L244" s="4">
        <v>8</v>
      </c>
    </row>
    <row r="245" spans="1:12" x14ac:dyDescent="0.3">
      <c r="A245" s="16">
        <v>244</v>
      </c>
      <c r="B245" s="4">
        <v>70101</v>
      </c>
      <c r="C245" s="4" t="s">
        <v>373</v>
      </c>
      <c r="D245" s="4" t="s">
        <v>11</v>
      </c>
      <c r="E245" s="4" t="s">
        <v>35</v>
      </c>
      <c r="F245" s="4" t="s">
        <v>25</v>
      </c>
      <c r="G245" s="5">
        <v>44840</v>
      </c>
      <c r="H245" s="4" t="s">
        <v>46</v>
      </c>
      <c r="I245" t="s">
        <v>755</v>
      </c>
      <c r="J245" s="6">
        <v>7303</v>
      </c>
      <c r="K245" s="6">
        <v>13405</v>
      </c>
      <c r="L245" s="4">
        <v>12</v>
      </c>
    </row>
    <row r="246" spans="1:12" x14ac:dyDescent="0.3">
      <c r="A246" s="16">
        <v>245</v>
      </c>
      <c r="B246" s="4">
        <v>70112</v>
      </c>
      <c r="C246" s="4" t="s">
        <v>374</v>
      </c>
      <c r="D246" s="4" t="s">
        <v>11</v>
      </c>
      <c r="E246" s="4" t="s">
        <v>35</v>
      </c>
      <c r="F246" s="4" t="s">
        <v>25</v>
      </c>
      <c r="G246" s="5">
        <v>44898</v>
      </c>
      <c r="H246" s="4" t="s">
        <v>46</v>
      </c>
      <c r="I246" t="s">
        <v>756</v>
      </c>
      <c r="J246" s="6">
        <v>7303</v>
      </c>
      <c r="K246" s="6">
        <v>13405</v>
      </c>
      <c r="L246" s="4">
        <v>8</v>
      </c>
    </row>
    <row r="247" spans="1:12" x14ac:dyDescent="0.3">
      <c r="A247" s="16">
        <v>246</v>
      </c>
      <c r="B247" s="4">
        <v>70066</v>
      </c>
      <c r="C247" s="4" t="s">
        <v>375</v>
      </c>
      <c r="D247" s="4" t="s">
        <v>11</v>
      </c>
      <c r="E247" s="4" t="s">
        <v>35</v>
      </c>
      <c r="F247" s="4" t="s">
        <v>25</v>
      </c>
      <c r="G247" s="5">
        <v>44716</v>
      </c>
      <c r="H247" s="4" t="s">
        <v>46</v>
      </c>
      <c r="I247" t="s">
        <v>755</v>
      </c>
      <c r="J247" s="6">
        <v>7303</v>
      </c>
      <c r="K247" s="6">
        <v>13405</v>
      </c>
      <c r="L247" s="4">
        <v>8</v>
      </c>
    </row>
    <row r="248" spans="1:12" x14ac:dyDescent="0.3">
      <c r="A248" s="16">
        <v>247</v>
      </c>
      <c r="B248" s="4">
        <v>70075</v>
      </c>
      <c r="C248" s="4" t="s">
        <v>376</v>
      </c>
      <c r="D248" s="4" t="s">
        <v>11</v>
      </c>
      <c r="E248" s="4" t="s">
        <v>35</v>
      </c>
      <c r="F248" s="4" t="s">
        <v>25</v>
      </c>
      <c r="G248" s="5">
        <v>44774</v>
      </c>
      <c r="H248" s="4" t="s">
        <v>46</v>
      </c>
      <c r="I248" t="s">
        <v>755</v>
      </c>
      <c r="J248" s="6">
        <v>7303</v>
      </c>
      <c r="K248" s="6">
        <v>13405</v>
      </c>
      <c r="L248" s="4">
        <v>8</v>
      </c>
    </row>
    <row r="249" spans="1:12" x14ac:dyDescent="0.3">
      <c r="A249" s="16">
        <v>248</v>
      </c>
      <c r="B249" s="4">
        <v>70083</v>
      </c>
      <c r="C249" s="4" t="s">
        <v>377</v>
      </c>
      <c r="D249" s="4" t="s">
        <v>11</v>
      </c>
      <c r="E249" s="4" t="s">
        <v>35</v>
      </c>
      <c r="F249" s="4" t="s">
        <v>25</v>
      </c>
      <c r="G249" s="5">
        <v>44783</v>
      </c>
      <c r="H249" s="4" t="s">
        <v>46</v>
      </c>
      <c r="I249" t="s">
        <v>756</v>
      </c>
      <c r="J249" s="6">
        <v>7303</v>
      </c>
      <c r="K249" s="6">
        <v>13405</v>
      </c>
      <c r="L249" s="4">
        <v>12</v>
      </c>
    </row>
    <row r="250" spans="1:12" x14ac:dyDescent="0.3">
      <c r="A250" s="16">
        <v>249</v>
      </c>
      <c r="B250" s="4">
        <v>70281</v>
      </c>
      <c r="C250" s="4" t="s">
        <v>378</v>
      </c>
      <c r="D250" s="4" t="s">
        <v>11</v>
      </c>
      <c r="E250" s="4" t="s">
        <v>51</v>
      </c>
      <c r="F250" s="4" t="s">
        <v>343</v>
      </c>
      <c r="G250" s="5">
        <v>43282</v>
      </c>
      <c r="H250" s="4" t="s">
        <v>46</v>
      </c>
      <c r="I250" t="s">
        <v>755</v>
      </c>
      <c r="J250" s="6">
        <v>8591</v>
      </c>
      <c r="K250" s="6">
        <v>15337</v>
      </c>
      <c r="L250" s="4">
        <v>12</v>
      </c>
    </row>
    <row r="251" spans="1:12" x14ac:dyDescent="0.3">
      <c r="A251" s="16">
        <v>250</v>
      </c>
      <c r="B251" s="4">
        <v>70221</v>
      </c>
      <c r="C251" s="4" t="s">
        <v>379</v>
      </c>
      <c r="D251" s="4" t="s">
        <v>11</v>
      </c>
      <c r="E251" s="4" t="s">
        <v>51</v>
      </c>
      <c r="F251" s="4" t="s">
        <v>343</v>
      </c>
      <c r="G251" s="5">
        <v>43013</v>
      </c>
      <c r="H251" s="4" t="s">
        <v>46</v>
      </c>
      <c r="I251" t="s">
        <v>756</v>
      </c>
      <c r="J251" s="6">
        <v>7412</v>
      </c>
      <c r="K251" s="6">
        <v>13568</v>
      </c>
      <c r="L251" s="4">
        <v>8</v>
      </c>
    </row>
    <row r="252" spans="1:12" x14ac:dyDescent="0.3">
      <c r="A252" s="16">
        <v>251</v>
      </c>
      <c r="B252" s="4">
        <v>70269</v>
      </c>
      <c r="C252" s="4" t="s">
        <v>380</v>
      </c>
      <c r="D252" s="4" t="s">
        <v>11</v>
      </c>
      <c r="E252" s="4" t="s">
        <v>40</v>
      </c>
      <c r="F252" s="4" t="s">
        <v>22</v>
      </c>
      <c r="G252" s="5">
        <v>41161</v>
      </c>
      <c r="H252" s="4" t="s">
        <v>14</v>
      </c>
      <c r="I252" t="s">
        <v>756</v>
      </c>
      <c r="J252" s="6">
        <v>12032</v>
      </c>
      <c r="K252" s="6">
        <v>20054</v>
      </c>
      <c r="L252" s="4">
        <v>8</v>
      </c>
    </row>
    <row r="253" spans="1:12" x14ac:dyDescent="0.3">
      <c r="A253" s="16">
        <v>252</v>
      </c>
      <c r="B253" s="4">
        <v>70216</v>
      </c>
      <c r="C253" s="4" t="s">
        <v>381</v>
      </c>
      <c r="D253" s="4" t="s">
        <v>11</v>
      </c>
      <c r="E253" s="4" t="s">
        <v>51</v>
      </c>
      <c r="F253" s="4" t="s">
        <v>116</v>
      </c>
      <c r="G253" s="5">
        <v>41655</v>
      </c>
      <c r="H253" s="4" t="s">
        <v>46</v>
      </c>
      <c r="I253" t="s">
        <v>756</v>
      </c>
      <c r="J253" s="6">
        <v>8591</v>
      </c>
      <c r="K253" s="6">
        <v>15337</v>
      </c>
      <c r="L253" s="4">
        <v>8</v>
      </c>
    </row>
    <row r="254" spans="1:12" x14ac:dyDescent="0.3">
      <c r="A254" s="16">
        <v>253</v>
      </c>
      <c r="B254" s="4">
        <v>70217</v>
      </c>
      <c r="C254" s="4" t="s">
        <v>382</v>
      </c>
      <c r="D254" s="4" t="s">
        <v>11</v>
      </c>
      <c r="E254" s="4" t="s">
        <v>51</v>
      </c>
      <c r="F254" s="4" t="s">
        <v>341</v>
      </c>
      <c r="G254" s="5">
        <v>39961</v>
      </c>
      <c r="H254" s="4" t="s">
        <v>46</v>
      </c>
      <c r="I254" t="s">
        <v>755</v>
      </c>
      <c r="J254" s="6">
        <v>9199</v>
      </c>
      <c r="K254" s="6">
        <v>16248</v>
      </c>
      <c r="L254" s="4">
        <v>12</v>
      </c>
    </row>
    <row r="255" spans="1:12" x14ac:dyDescent="0.3">
      <c r="A255" s="16">
        <v>254</v>
      </c>
      <c r="B255" s="4">
        <v>70252</v>
      </c>
      <c r="C255" s="4" t="s">
        <v>383</v>
      </c>
      <c r="D255" s="4" t="s">
        <v>11</v>
      </c>
      <c r="E255" s="4" t="s">
        <v>51</v>
      </c>
      <c r="F255" s="4" t="s">
        <v>120</v>
      </c>
      <c r="G255" s="5">
        <v>41249</v>
      </c>
      <c r="H255" s="4" t="s">
        <v>46</v>
      </c>
      <c r="I255" t="s">
        <v>755</v>
      </c>
      <c r="J255" s="6">
        <v>8142</v>
      </c>
      <c r="K255" s="6">
        <v>14663</v>
      </c>
      <c r="L255" s="4">
        <v>12</v>
      </c>
    </row>
    <row r="256" spans="1:12" x14ac:dyDescent="0.3">
      <c r="A256" s="16">
        <v>255</v>
      </c>
      <c r="B256" s="4">
        <v>70253</v>
      </c>
      <c r="C256" s="4" t="s">
        <v>384</v>
      </c>
      <c r="D256" s="4" t="s">
        <v>11</v>
      </c>
      <c r="E256" s="4" t="s">
        <v>51</v>
      </c>
      <c r="F256" s="4" t="s">
        <v>116</v>
      </c>
      <c r="G256" s="5">
        <v>37869</v>
      </c>
      <c r="H256" s="4" t="s">
        <v>46</v>
      </c>
      <c r="I256" t="s">
        <v>756</v>
      </c>
      <c r="J256" s="6">
        <v>10249</v>
      </c>
      <c r="K256" s="6">
        <v>17824</v>
      </c>
      <c r="L256" s="4">
        <v>8</v>
      </c>
    </row>
    <row r="257" spans="1:12" x14ac:dyDescent="0.3">
      <c r="A257" s="16">
        <v>256</v>
      </c>
      <c r="B257" s="4">
        <v>70242</v>
      </c>
      <c r="C257" s="4" t="s">
        <v>385</v>
      </c>
      <c r="D257" s="4" t="s">
        <v>11</v>
      </c>
      <c r="E257" s="4" t="s">
        <v>51</v>
      </c>
      <c r="F257" s="4" t="s">
        <v>116</v>
      </c>
      <c r="G257" s="5">
        <v>40244</v>
      </c>
      <c r="H257" s="4" t="s">
        <v>46</v>
      </c>
      <c r="I257" t="s">
        <v>755</v>
      </c>
      <c r="J257" s="6">
        <v>9379</v>
      </c>
      <c r="K257" s="6">
        <v>16519</v>
      </c>
      <c r="L257" s="4">
        <v>8</v>
      </c>
    </row>
    <row r="258" spans="1:12" x14ac:dyDescent="0.3">
      <c r="A258" s="16">
        <v>257</v>
      </c>
      <c r="B258" s="4">
        <v>70243</v>
      </c>
      <c r="C258" s="4" t="s">
        <v>386</v>
      </c>
      <c r="D258" s="4" t="s">
        <v>11</v>
      </c>
      <c r="E258" s="4" t="s">
        <v>51</v>
      </c>
      <c r="F258" s="4" t="s">
        <v>335</v>
      </c>
      <c r="G258" s="5">
        <v>39200</v>
      </c>
      <c r="H258" s="4" t="s">
        <v>46</v>
      </c>
      <c r="I258" t="s">
        <v>755</v>
      </c>
      <c r="J258" s="6">
        <v>9474</v>
      </c>
      <c r="K258" s="6">
        <v>16661</v>
      </c>
      <c r="L258" s="4">
        <v>8</v>
      </c>
    </row>
    <row r="259" spans="1:12" x14ac:dyDescent="0.3">
      <c r="A259" s="16">
        <v>258</v>
      </c>
      <c r="B259" s="4">
        <v>70247</v>
      </c>
      <c r="C259" s="4" t="s">
        <v>387</v>
      </c>
      <c r="D259" s="4" t="s">
        <v>11</v>
      </c>
      <c r="E259" s="4" t="s">
        <v>51</v>
      </c>
      <c r="F259" s="4" t="s">
        <v>120</v>
      </c>
      <c r="G259" s="5">
        <v>42248</v>
      </c>
      <c r="H259" s="4" t="s">
        <v>46</v>
      </c>
      <c r="I259" t="s">
        <v>756</v>
      </c>
      <c r="J259" s="6">
        <v>7448</v>
      </c>
      <c r="K259" s="6">
        <v>13622</v>
      </c>
      <c r="L259" s="4">
        <v>8</v>
      </c>
    </row>
    <row r="260" spans="1:12" x14ac:dyDescent="0.3">
      <c r="A260" s="16">
        <v>259</v>
      </c>
      <c r="B260" s="4">
        <v>70248</v>
      </c>
      <c r="C260" s="4" t="s">
        <v>388</v>
      </c>
      <c r="D260" s="4" t="s">
        <v>11</v>
      </c>
      <c r="E260" s="4" t="s">
        <v>51</v>
      </c>
      <c r="F260" s="4" t="s">
        <v>116</v>
      </c>
      <c r="G260" s="5">
        <v>39387</v>
      </c>
      <c r="H260" s="4" t="s">
        <v>46</v>
      </c>
      <c r="I260" t="s">
        <v>755</v>
      </c>
      <c r="J260" s="6">
        <v>9461</v>
      </c>
      <c r="K260" s="6">
        <v>16642</v>
      </c>
      <c r="L260" s="4">
        <v>8</v>
      </c>
    </row>
    <row r="261" spans="1:12" x14ac:dyDescent="0.3">
      <c r="A261" s="16">
        <v>260</v>
      </c>
      <c r="B261" s="4">
        <v>70249</v>
      </c>
      <c r="C261" s="4" t="s">
        <v>389</v>
      </c>
      <c r="D261" s="4" t="s">
        <v>11</v>
      </c>
      <c r="E261" s="4" t="s">
        <v>51</v>
      </c>
      <c r="F261" s="4" t="s">
        <v>116</v>
      </c>
      <c r="G261" s="5">
        <v>42989</v>
      </c>
      <c r="H261" s="4" t="s">
        <v>46</v>
      </c>
      <c r="I261" t="s">
        <v>755</v>
      </c>
      <c r="J261" s="6">
        <v>8591</v>
      </c>
      <c r="K261" s="6">
        <v>15337</v>
      </c>
      <c r="L261" s="4">
        <v>12</v>
      </c>
    </row>
    <row r="262" spans="1:12" x14ac:dyDescent="0.3">
      <c r="A262" s="16">
        <v>261</v>
      </c>
      <c r="B262" s="4">
        <v>70222</v>
      </c>
      <c r="C262" s="4" t="s">
        <v>390</v>
      </c>
      <c r="D262" s="4" t="s">
        <v>11</v>
      </c>
      <c r="E262" s="4" t="s">
        <v>51</v>
      </c>
      <c r="F262" s="4" t="s">
        <v>335</v>
      </c>
      <c r="G262" s="5">
        <v>43169</v>
      </c>
      <c r="H262" s="4" t="s">
        <v>46</v>
      </c>
      <c r="I262" t="s">
        <v>756</v>
      </c>
      <c r="J262" s="6">
        <v>8066</v>
      </c>
      <c r="K262" s="6">
        <v>14549</v>
      </c>
      <c r="L262" s="4">
        <v>8</v>
      </c>
    </row>
    <row r="263" spans="1:12" x14ac:dyDescent="0.3">
      <c r="A263" s="16">
        <v>262</v>
      </c>
      <c r="B263" s="4">
        <v>70283</v>
      </c>
      <c r="C263" s="4" t="s">
        <v>391</v>
      </c>
      <c r="D263" s="4" t="s">
        <v>11</v>
      </c>
      <c r="E263" s="4" t="s">
        <v>51</v>
      </c>
      <c r="F263" s="4" t="s">
        <v>341</v>
      </c>
      <c r="G263" s="5">
        <v>43362</v>
      </c>
      <c r="H263" s="4" t="s">
        <v>46</v>
      </c>
      <c r="I263" t="s">
        <v>755</v>
      </c>
      <c r="J263" s="6">
        <v>7303</v>
      </c>
      <c r="K263" s="6">
        <v>13405</v>
      </c>
      <c r="L263" s="4">
        <v>12</v>
      </c>
    </row>
    <row r="264" spans="1:12" x14ac:dyDescent="0.3">
      <c r="A264" s="16">
        <v>263</v>
      </c>
      <c r="B264" s="4">
        <v>70223</v>
      </c>
      <c r="C264" s="4" t="s">
        <v>392</v>
      </c>
      <c r="D264" s="4" t="s">
        <v>11</v>
      </c>
      <c r="E264" s="4" t="s">
        <v>51</v>
      </c>
      <c r="F264" s="4" t="s">
        <v>341</v>
      </c>
      <c r="G264" s="5">
        <v>43832</v>
      </c>
      <c r="H264" s="4" t="s">
        <v>46</v>
      </c>
      <c r="I264" t="s">
        <v>755</v>
      </c>
      <c r="J264" s="6">
        <v>7303</v>
      </c>
      <c r="K264" s="6">
        <v>13405</v>
      </c>
      <c r="L264" s="4">
        <v>8</v>
      </c>
    </row>
    <row r="265" spans="1:12" x14ac:dyDescent="0.3">
      <c r="A265" s="16">
        <v>264</v>
      </c>
      <c r="B265" s="4">
        <v>70224</v>
      </c>
      <c r="C265" s="4" t="s">
        <v>393</v>
      </c>
      <c r="D265" s="4" t="s">
        <v>11</v>
      </c>
      <c r="E265" s="4" t="s">
        <v>51</v>
      </c>
      <c r="F265" s="4" t="s">
        <v>25</v>
      </c>
      <c r="G265" s="5">
        <v>44714</v>
      </c>
      <c r="H265" s="4" t="s">
        <v>46</v>
      </c>
      <c r="I265" t="s">
        <v>756</v>
      </c>
      <c r="J265" s="6">
        <v>7303</v>
      </c>
      <c r="K265" s="6">
        <v>13405</v>
      </c>
      <c r="L265" s="4">
        <v>8</v>
      </c>
    </row>
    <row r="266" spans="1:12" x14ac:dyDescent="0.3">
      <c r="A266" s="16">
        <v>265</v>
      </c>
      <c r="B266" s="4">
        <v>70284</v>
      </c>
      <c r="C266" s="4" t="s">
        <v>394</v>
      </c>
      <c r="D266" s="4" t="s">
        <v>11</v>
      </c>
      <c r="E266" s="4" t="s">
        <v>51</v>
      </c>
      <c r="F266" s="4" t="s">
        <v>116</v>
      </c>
      <c r="G266" s="5">
        <v>44371</v>
      </c>
      <c r="H266" s="4" t="s">
        <v>46</v>
      </c>
      <c r="I266" t="s">
        <v>756</v>
      </c>
      <c r="J266" s="6">
        <v>8591</v>
      </c>
      <c r="K266" s="6">
        <v>15337</v>
      </c>
      <c r="L266" s="4">
        <v>8</v>
      </c>
    </row>
    <row r="267" spans="1:12" x14ac:dyDescent="0.3">
      <c r="A267" s="16">
        <v>266</v>
      </c>
      <c r="B267" s="4">
        <v>70285</v>
      </c>
      <c r="C267" s="4" t="s">
        <v>395</v>
      </c>
      <c r="D267" s="4" t="s">
        <v>11</v>
      </c>
      <c r="E267" s="4" t="s">
        <v>51</v>
      </c>
      <c r="F267" s="4" t="s">
        <v>116</v>
      </c>
      <c r="G267" s="5">
        <v>44378</v>
      </c>
      <c r="H267" s="4" t="s">
        <v>46</v>
      </c>
      <c r="I267" t="s">
        <v>756</v>
      </c>
      <c r="J267" s="6">
        <v>8591</v>
      </c>
      <c r="K267" s="6">
        <v>15337</v>
      </c>
      <c r="L267" s="4">
        <v>12</v>
      </c>
    </row>
    <row r="268" spans="1:12" x14ac:dyDescent="0.3">
      <c r="A268" s="16">
        <v>267</v>
      </c>
      <c r="B268" s="4">
        <v>70225</v>
      </c>
      <c r="C268" s="4" t="s">
        <v>396</v>
      </c>
      <c r="D268" s="4" t="s">
        <v>11</v>
      </c>
      <c r="E268" s="4" t="s">
        <v>51</v>
      </c>
      <c r="F268" s="4" t="s">
        <v>25</v>
      </c>
      <c r="G268" s="5">
        <v>44774</v>
      </c>
      <c r="H268" s="4" t="s">
        <v>46</v>
      </c>
      <c r="I268" t="s">
        <v>755</v>
      </c>
      <c r="J268" s="6">
        <v>7303</v>
      </c>
      <c r="K268" s="6">
        <v>13405</v>
      </c>
      <c r="L268" s="4">
        <v>12</v>
      </c>
    </row>
    <row r="269" spans="1:12" x14ac:dyDescent="0.3">
      <c r="A269" s="16">
        <v>268</v>
      </c>
      <c r="B269" s="4">
        <v>70226</v>
      </c>
      <c r="C269" s="4" t="s">
        <v>397</v>
      </c>
      <c r="D269" s="4" t="s">
        <v>11</v>
      </c>
      <c r="E269" s="4" t="s">
        <v>51</v>
      </c>
      <c r="F269" s="4" t="s">
        <v>341</v>
      </c>
      <c r="G269" s="5">
        <v>39978</v>
      </c>
      <c r="H269" s="4" t="s">
        <v>46</v>
      </c>
      <c r="I269" t="s">
        <v>755</v>
      </c>
      <c r="J269" s="6">
        <v>8845</v>
      </c>
      <c r="K269" s="6">
        <v>15718</v>
      </c>
      <c r="L269" s="4">
        <v>8</v>
      </c>
    </row>
    <row r="270" spans="1:12" x14ac:dyDescent="0.3">
      <c r="A270" s="16">
        <v>269</v>
      </c>
      <c r="B270" s="4">
        <v>70286</v>
      </c>
      <c r="C270" s="4" t="s">
        <v>398</v>
      </c>
      <c r="D270" s="4" t="s">
        <v>11</v>
      </c>
      <c r="E270" s="4" t="s">
        <v>51</v>
      </c>
      <c r="F270" s="4" t="s">
        <v>116</v>
      </c>
      <c r="G270" s="5">
        <v>44378</v>
      </c>
      <c r="H270" s="4" t="s">
        <v>46</v>
      </c>
      <c r="I270" t="s">
        <v>756</v>
      </c>
      <c r="J270" s="6">
        <v>8591</v>
      </c>
      <c r="K270" s="6">
        <v>15337</v>
      </c>
      <c r="L270" s="4">
        <v>8</v>
      </c>
    </row>
    <row r="271" spans="1:12" x14ac:dyDescent="0.3">
      <c r="A271" s="16">
        <v>270</v>
      </c>
      <c r="B271" s="4">
        <v>70287</v>
      </c>
      <c r="C271" s="4" t="s">
        <v>399</v>
      </c>
      <c r="D271" s="4" t="s">
        <v>11</v>
      </c>
      <c r="E271" s="4" t="s">
        <v>51</v>
      </c>
      <c r="F271" s="4" t="s">
        <v>20</v>
      </c>
      <c r="G271" s="5">
        <v>44378</v>
      </c>
      <c r="H271" s="4" t="s">
        <v>46</v>
      </c>
      <c r="I271" t="s">
        <v>755</v>
      </c>
      <c r="J271" s="6">
        <v>8066</v>
      </c>
      <c r="K271" s="6">
        <v>14549</v>
      </c>
      <c r="L271" s="4">
        <v>8</v>
      </c>
    </row>
    <row r="272" spans="1:12" x14ac:dyDescent="0.3">
      <c r="A272" s="16">
        <v>271</v>
      </c>
      <c r="B272" s="4">
        <v>70288</v>
      </c>
      <c r="C272" s="4" t="s">
        <v>400</v>
      </c>
      <c r="D272" s="4" t="s">
        <v>11</v>
      </c>
      <c r="E272" s="4" t="s">
        <v>51</v>
      </c>
      <c r="F272" s="4" t="s">
        <v>401</v>
      </c>
      <c r="G272" s="5">
        <v>43835</v>
      </c>
      <c r="H272" s="4" t="s">
        <v>46</v>
      </c>
      <c r="I272" t="s">
        <v>755</v>
      </c>
      <c r="J272" s="6">
        <v>7303</v>
      </c>
      <c r="K272" s="6">
        <v>13405</v>
      </c>
      <c r="L272" s="4">
        <v>12</v>
      </c>
    </row>
    <row r="273" spans="1:12" x14ac:dyDescent="0.3">
      <c r="A273" s="16">
        <v>272</v>
      </c>
      <c r="B273" s="4">
        <v>70227</v>
      </c>
      <c r="C273" s="4" t="s">
        <v>402</v>
      </c>
      <c r="D273" s="4" t="s">
        <v>11</v>
      </c>
      <c r="E273" s="4" t="s">
        <v>51</v>
      </c>
      <c r="F273" s="4" t="s">
        <v>335</v>
      </c>
      <c r="G273" s="5">
        <v>41000</v>
      </c>
      <c r="H273" s="4" t="s">
        <v>46</v>
      </c>
      <c r="I273" t="s">
        <v>756</v>
      </c>
      <c r="J273" s="6">
        <v>8175</v>
      </c>
      <c r="K273" s="6">
        <v>14713</v>
      </c>
      <c r="L273" s="4">
        <v>12</v>
      </c>
    </row>
    <row r="274" spans="1:12" x14ac:dyDescent="0.3">
      <c r="A274" s="16">
        <v>273</v>
      </c>
      <c r="B274" s="4">
        <v>70289</v>
      </c>
      <c r="C274" s="4" t="s">
        <v>403</v>
      </c>
      <c r="D274" s="4" t="s">
        <v>11</v>
      </c>
      <c r="E274" s="4" t="s">
        <v>51</v>
      </c>
      <c r="F274" s="4" t="s">
        <v>404</v>
      </c>
      <c r="G274" s="5">
        <v>44136</v>
      </c>
      <c r="H274" s="4" t="s">
        <v>46</v>
      </c>
      <c r="I274" t="s">
        <v>755</v>
      </c>
      <c r="J274" s="6">
        <v>13192</v>
      </c>
      <c r="K274" s="6">
        <v>22238</v>
      </c>
      <c r="L274" s="4">
        <v>8</v>
      </c>
    </row>
    <row r="275" spans="1:12" x14ac:dyDescent="0.3">
      <c r="A275" s="16">
        <v>274</v>
      </c>
      <c r="B275" s="4">
        <v>70228</v>
      </c>
      <c r="C275" s="4" t="s">
        <v>405</v>
      </c>
      <c r="D275" s="4" t="s">
        <v>11</v>
      </c>
      <c r="E275" s="4" t="s">
        <v>51</v>
      </c>
      <c r="F275" s="4" t="s">
        <v>116</v>
      </c>
      <c r="G275" s="5">
        <v>42826</v>
      </c>
      <c r="H275" s="4" t="s">
        <v>46</v>
      </c>
      <c r="I275" t="s">
        <v>756</v>
      </c>
      <c r="J275" s="6">
        <v>8591</v>
      </c>
      <c r="K275" s="6">
        <v>15337</v>
      </c>
      <c r="L275" s="4">
        <v>8</v>
      </c>
    </row>
    <row r="276" spans="1:12" x14ac:dyDescent="0.3">
      <c r="A276" s="16">
        <v>275</v>
      </c>
      <c r="B276" s="4">
        <v>70290</v>
      </c>
      <c r="C276" s="4" t="s">
        <v>406</v>
      </c>
      <c r="D276" s="4" t="s">
        <v>11</v>
      </c>
      <c r="E276" s="4" t="s">
        <v>51</v>
      </c>
      <c r="F276" s="4" t="s">
        <v>341</v>
      </c>
      <c r="G276" s="5">
        <v>42487</v>
      </c>
      <c r="H276" s="4" t="s">
        <v>46</v>
      </c>
      <c r="I276" t="s">
        <v>756</v>
      </c>
      <c r="J276" s="6">
        <v>7303</v>
      </c>
      <c r="K276" s="6">
        <v>13405</v>
      </c>
      <c r="L276" s="4">
        <v>8</v>
      </c>
    </row>
    <row r="277" spans="1:12" x14ac:dyDescent="0.3">
      <c r="A277" s="16">
        <v>276</v>
      </c>
      <c r="B277" s="4">
        <v>70229</v>
      </c>
      <c r="C277" s="4" t="s">
        <v>407</v>
      </c>
      <c r="D277" s="4" t="s">
        <v>11</v>
      </c>
      <c r="E277" s="4" t="s">
        <v>51</v>
      </c>
      <c r="F277" s="4" t="s">
        <v>25</v>
      </c>
      <c r="G277" s="5">
        <v>43051</v>
      </c>
      <c r="H277" s="4" t="s">
        <v>46</v>
      </c>
      <c r="I277" t="s">
        <v>756</v>
      </c>
      <c r="J277" s="6">
        <v>7412</v>
      </c>
      <c r="K277" s="6">
        <v>13568</v>
      </c>
      <c r="L277" s="4">
        <v>8</v>
      </c>
    </row>
    <row r="278" spans="1:12" x14ac:dyDescent="0.3">
      <c r="A278" s="16">
        <v>277</v>
      </c>
      <c r="B278" s="4">
        <v>70291</v>
      </c>
      <c r="C278" s="4" t="s">
        <v>408</v>
      </c>
      <c r="D278" s="4" t="s">
        <v>11</v>
      </c>
      <c r="E278" s="4" t="s">
        <v>51</v>
      </c>
      <c r="F278" s="4" t="s">
        <v>409</v>
      </c>
      <c r="G278" s="5">
        <v>41225</v>
      </c>
      <c r="H278" s="4" t="s">
        <v>46</v>
      </c>
      <c r="I278" t="s">
        <v>755</v>
      </c>
      <c r="J278" s="6">
        <v>9394</v>
      </c>
      <c r="K278" s="6">
        <v>16541</v>
      </c>
      <c r="L278" s="4">
        <v>8</v>
      </c>
    </row>
    <row r="279" spans="1:12" x14ac:dyDescent="0.3">
      <c r="A279" s="16">
        <v>278</v>
      </c>
      <c r="B279" s="4">
        <v>70230</v>
      </c>
      <c r="C279" s="4" t="s">
        <v>410</v>
      </c>
      <c r="D279" s="4" t="s">
        <v>11</v>
      </c>
      <c r="E279" s="4" t="s">
        <v>51</v>
      </c>
      <c r="F279" s="4" t="s">
        <v>25</v>
      </c>
      <c r="G279" s="5">
        <v>42998</v>
      </c>
      <c r="H279" s="4" t="s">
        <v>46</v>
      </c>
      <c r="I279" t="s">
        <v>755</v>
      </c>
      <c r="J279" s="6">
        <v>7412</v>
      </c>
      <c r="K279" s="6">
        <v>13568</v>
      </c>
      <c r="L279" s="4">
        <v>12</v>
      </c>
    </row>
    <row r="280" spans="1:12" x14ac:dyDescent="0.3">
      <c r="A280" s="16">
        <v>279</v>
      </c>
      <c r="B280" s="4">
        <v>70293</v>
      </c>
      <c r="C280" s="4" t="s">
        <v>411</v>
      </c>
      <c r="D280" s="4" t="s">
        <v>11</v>
      </c>
      <c r="E280" s="4" t="s">
        <v>51</v>
      </c>
      <c r="F280" s="4" t="s">
        <v>25</v>
      </c>
      <c r="G280" s="5">
        <v>44369</v>
      </c>
      <c r="H280" s="4" t="s">
        <v>46</v>
      </c>
      <c r="I280" t="s">
        <v>756</v>
      </c>
      <c r="J280" s="6">
        <v>7303</v>
      </c>
      <c r="K280" s="6">
        <v>13405</v>
      </c>
      <c r="L280" s="4">
        <v>8</v>
      </c>
    </row>
    <row r="281" spans="1:12" x14ac:dyDescent="0.3">
      <c r="A281" s="16">
        <v>280</v>
      </c>
      <c r="B281" s="4">
        <v>70231</v>
      </c>
      <c r="C281" s="4" t="s">
        <v>412</v>
      </c>
      <c r="D281" s="4" t="s">
        <v>11</v>
      </c>
      <c r="E281" s="4" t="s">
        <v>51</v>
      </c>
      <c r="F281" s="4" t="s">
        <v>25</v>
      </c>
      <c r="G281" s="5">
        <v>44241</v>
      </c>
      <c r="H281" s="4" t="s">
        <v>46</v>
      </c>
      <c r="I281" t="s">
        <v>755</v>
      </c>
      <c r="J281" s="6">
        <v>7303</v>
      </c>
      <c r="K281" s="6">
        <v>13405</v>
      </c>
      <c r="L281" s="4">
        <v>12</v>
      </c>
    </row>
    <row r="282" spans="1:12" x14ac:dyDescent="0.3">
      <c r="A282" s="16">
        <v>281</v>
      </c>
      <c r="B282" s="4">
        <v>70240</v>
      </c>
      <c r="C282" s="4" t="s">
        <v>413</v>
      </c>
      <c r="D282" s="4" t="s">
        <v>11</v>
      </c>
      <c r="E282" s="4" t="s">
        <v>51</v>
      </c>
      <c r="F282" s="4" t="s">
        <v>116</v>
      </c>
      <c r="G282" s="5">
        <v>41345</v>
      </c>
      <c r="H282" s="4" t="s">
        <v>46</v>
      </c>
      <c r="I282" t="s">
        <v>755</v>
      </c>
      <c r="J282" s="6">
        <v>8591</v>
      </c>
      <c r="K282" s="6">
        <v>15337</v>
      </c>
      <c r="L282" s="4">
        <v>8</v>
      </c>
    </row>
    <row r="283" spans="1:12" x14ac:dyDescent="0.3">
      <c r="A283" s="16">
        <v>282</v>
      </c>
      <c r="B283" s="4">
        <v>70219</v>
      </c>
      <c r="C283" s="4" t="s">
        <v>414</v>
      </c>
      <c r="D283" s="4" t="s">
        <v>11</v>
      </c>
      <c r="E283" s="4" t="s">
        <v>51</v>
      </c>
      <c r="F283" s="4" t="s">
        <v>341</v>
      </c>
      <c r="G283" s="5">
        <v>43344</v>
      </c>
      <c r="H283" s="4" t="s">
        <v>46</v>
      </c>
      <c r="I283" t="s">
        <v>756</v>
      </c>
      <c r="J283" s="6">
        <v>8591</v>
      </c>
      <c r="K283" s="6">
        <v>15337</v>
      </c>
      <c r="L283" s="4">
        <v>8</v>
      </c>
    </row>
    <row r="284" spans="1:12" x14ac:dyDescent="0.3">
      <c r="A284" s="16">
        <v>283</v>
      </c>
      <c r="B284" s="4">
        <v>70220</v>
      </c>
      <c r="C284" s="4" t="s">
        <v>415</v>
      </c>
      <c r="D284" s="4" t="s">
        <v>11</v>
      </c>
      <c r="E284" s="4" t="s">
        <v>51</v>
      </c>
      <c r="F284" s="4" t="s">
        <v>341</v>
      </c>
      <c r="G284" s="5">
        <v>42157</v>
      </c>
      <c r="H284" s="4" t="s">
        <v>46</v>
      </c>
      <c r="I284" t="s">
        <v>755</v>
      </c>
      <c r="J284" s="6">
        <v>7412</v>
      </c>
      <c r="K284" s="6">
        <v>13568</v>
      </c>
      <c r="L284" s="4">
        <v>8</v>
      </c>
    </row>
    <row r="285" spans="1:12" x14ac:dyDescent="0.3">
      <c r="A285" s="16">
        <v>284</v>
      </c>
      <c r="B285" s="4">
        <v>70232</v>
      </c>
      <c r="C285" s="4" t="s">
        <v>416</v>
      </c>
      <c r="D285" s="4" t="s">
        <v>11</v>
      </c>
      <c r="E285" s="4" t="s">
        <v>51</v>
      </c>
      <c r="F285" s="4" t="s">
        <v>116</v>
      </c>
      <c r="G285" s="5">
        <v>39995</v>
      </c>
      <c r="H285" s="4" t="s">
        <v>46</v>
      </c>
      <c r="I285" t="s">
        <v>755</v>
      </c>
      <c r="J285" s="6">
        <v>9379</v>
      </c>
      <c r="K285" s="6">
        <v>16519</v>
      </c>
      <c r="L285" s="4">
        <v>12</v>
      </c>
    </row>
    <row r="286" spans="1:12" x14ac:dyDescent="0.3">
      <c r="A286" s="16">
        <v>285</v>
      </c>
      <c r="B286" s="4">
        <v>70233</v>
      </c>
      <c r="C286" s="4" t="s">
        <v>417</v>
      </c>
      <c r="D286" s="4" t="s">
        <v>11</v>
      </c>
      <c r="E286" s="4" t="s">
        <v>51</v>
      </c>
      <c r="F286" s="4" t="s">
        <v>25</v>
      </c>
      <c r="G286" s="5">
        <v>44381</v>
      </c>
      <c r="H286" s="4" t="s">
        <v>46</v>
      </c>
      <c r="I286" t="s">
        <v>756</v>
      </c>
      <c r="J286" s="6">
        <v>7303</v>
      </c>
      <c r="K286" s="6">
        <v>13405</v>
      </c>
      <c r="L286" s="4">
        <v>12</v>
      </c>
    </row>
    <row r="287" spans="1:12" x14ac:dyDescent="0.3">
      <c r="A287" s="16">
        <v>286</v>
      </c>
      <c r="B287" s="4">
        <v>70234</v>
      </c>
      <c r="C287" s="4" t="s">
        <v>418</v>
      </c>
      <c r="D287" s="4" t="s">
        <v>11</v>
      </c>
      <c r="E287" s="4" t="s">
        <v>51</v>
      </c>
      <c r="F287" s="4" t="s">
        <v>25</v>
      </c>
      <c r="G287" s="5">
        <v>44382</v>
      </c>
      <c r="H287" s="4" t="s">
        <v>46</v>
      </c>
      <c r="I287" t="s">
        <v>755</v>
      </c>
      <c r="J287" s="6">
        <v>7303</v>
      </c>
      <c r="K287" s="6">
        <v>13405</v>
      </c>
      <c r="L287" s="4">
        <v>8</v>
      </c>
    </row>
    <row r="288" spans="1:12" x14ac:dyDescent="0.3">
      <c r="A288" s="16">
        <v>287</v>
      </c>
      <c r="B288" s="4">
        <v>70244</v>
      </c>
      <c r="C288" s="4" t="s">
        <v>419</v>
      </c>
      <c r="D288" s="4" t="s">
        <v>11</v>
      </c>
      <c r="E288" s="4" t="s">
        <v>51</v>
      </c>
      <c r="F288" s="4" t="s">
        <v>116</v>
      </c>
      <c r="G288" s="5">
        <v>37818</v>
      </c>
      <c r="H288" s="4" t="s">
        <v>46</v>
      </c>
      <c r="I288" t="s">
        <v>756</v>
      </c>
      <c r="J288" s="6">
        <v>10625</v>
      </c>
      <c r="K288" s="6">
        <v>18388</v>
      </c>
      <c r="L288" s="4">
        <v>8</v>
      </c>
    </row>
    <row r="289" spans="1:12" x14ac:dyDescent="0.3">
      <c r="A289" s="16">
        <v>288</v>
      </c>
      <c r="B289" s="4">
        <v>70245</v>
      </c>
      <c r="C289" s="4" t="s">
        <v>420</v>
      </c>
      <c r="D289" s="4" t="s">
        <v>11</v>
      </c>
      <c r="E289" s="4" t="s">
        <v>51</v>
      </c>
      <c r="F289" s="4" t="s">
        <v>116</v>
      </c>
      <c r="G289" s="5">
        <v>37817</v>
      </c>
      <c r="H289" s="4" t="s">
        <v>46</v>
      </c>
      <c r="I289" t="s">
        <v>756</v>
      </c>
      <c r="J289" s="6">
        <v>10625</v>
      </c>
      <c r="K289" s="6">
        <v>18388</v>
      </c>
      <c r="L289" s="4">
        <v>8</v>
      </c>
    </row>
    <row r="290" spans="1:12" x14ac:dyDescent="0.3">
      <c r="A290" s="16">
        <v>289</v>
      </c>
      <c r="B290" s="4">
        <v>70246</v>
      </c>
      <c r="C290" s="4" t="s">
        <v>421</v>
      </c>
      <c r="D290" s="4" t="s">
        <v>11</v>
      </c>
      <c r="E290" s="4" t="s">
        <v>51</v>
      </c>
      <c r="F290" s="4" t="s">
        <v>116</v>
      </c>
      <c r="G290" s="5">
        <v>40714</v>
      </c>
      <c r="H290" s="4" t="s">
        <v>46</v>
      </c>
      <c r="I290" t="s">
        <v>756</v>
      </c>
      <c r="J290" s="6">
        <v>8591</v>
      </c>
      <c r="K290" s="6">
        <v>15337</v>
      </c>
      <c r="L290" s="4">
        <v>12</v>
      </c>
    </row>
    <row r="291" spans="1:12" x14ac:dyDescent="0.3">
      <c r="A291" s="16">
        <v>290</v>
      </c>
      <c r="B291" s="4">
        <v>70235</v>
      </c>
      <c r="C291" s="4" t="s">
        <v>422</v>
      </c>
      <c r="D291" s="4" t="s">
        <v>11</v>
      </c>
      <c r="E291" s="4" t="s">
        <v>51</v>
      </c>
      <c r="F291" s="4" t="s">
        <v>120</v>
      </c>
      <c r="G291" s="5">
        <v>44268</v>
      </c>
      <c r="H291" s="4" t="s">
        <v>46</v>
      </c>
      <c r="I291" t="s">
        <v>755</v>
      </c>
      <c r="J291" s="6">
        <v>7303</v>
      </c>
      <c r="K291" s="6">
        <v>13405</v>
      </c>
      <c r="L291" s="4">
        <v>12</v>
      </c>
    </row>
    <row r="292" spans="1:12" x14ac:dyDescent="0.3">
      <c r="A292" s="16">
        <v>291</v>
      </c>
      <c r="B292" s="4">
        <v>70236</v>
      </c>
      <c r="C292" s="4" t="s">
        <v>423</v>
      </c>
      <c r="D292" s="4" t="s">
        <v>11</v>
      </c>
      <c r="E292" s="4" t="s">
        <v>51</v>
      </c>
      <c r="F292" s="4" t="s">
        <v>120</v>
      </c>
      <c r="G292" s="5">
        <v>44268</v>
      </c>
      <c r="H292" s="4" t="s">
        <v>46</v>
      </c>
      <c r="I292" t="s">
        <v>755</v>
      </c>
      <c r="J292" s="6">
        <v>7303</v>
      </c>
      <c r="K292" s="6">
        <v>13405</v>
      </c>
      <c r="L292" s="4">
        <v>8</v>
      </c>
    </row>
    <row r="293" spans="1:12" x14ac:dyDescent="0.3">
      <c r="A293" s="16">
        <v>292</v>
      </c>
      <c r="B293" s="4">
        <v>70237</v>
      </c>
      <c r="C293" s="4" t="s">
        <v>424</v>
      </c>
      <c r="D293" s="4" t="s">
        <v>11</v>
      </c>
      <c r="E293" s="4" t="s">
        <v>51</v>
      </c>
      <c r="F293" s="4" t="s">
        <v>116</v>
      </c>
      <c r="G293" s="5">
        <v>40211</v>
      </c>
      <c r="H293" s="4" t="s">
        <v>46</v>
      </c>
      <c r="I293" t="s">
        <v>756</v>
      </c>
      <c r="J293" s="6">
        <v>9461</v>
      </c>
      <c r="K293" s="6">
        <v>16642</v>
      </c>
      <c r="L293" s="4">
        <v>8</v>
      </c>
    </row>
    <row r="294" spans="1:12" x14ac:dyDescent="0.3">
      <c r="A294" s="16">
        <v>293</v>
      </c>
      <c r="B294" s="4">
        <v>70238</v>
      </c>
      <c r="C294" s="4" t="s">
        <v>425</v>
      </c>
      <c r="D294" s="4" t="s">
        <v>11</v>
      </c>
      <c r="E294" s="4" t="s">
        <v>51</v>
      </c>
      <c r="F294" s="4" t="s">
        <v>120</v>
      </c>
      <c r="G294" s="5">
        <v>42095</v>
      </c>
      <c r="H294" s="4" t="s">
        <v>46</v>
      </c>
      <c r="I294" t="s">
        <v>755</v>
      </c>
      <c r="J294" s="6">
        <v>7521</v>
      </c>
      <c r="K294" s="6">
        <v>13732</v>
      </c>
      <c r="L294" s="4">
        <v>8</v>
      </c>
    </row>
    <row r="295" spans="1:12" x14ac:dyDescent="0.3">
      <c r="A295" s="16">
        <v>294</v>
      </c>
      <c r="B295" s="4">
        <v>90024</v>
      </c>
      <c r="C295" s="4" t="s">
        <v>426</v>
      </c>
      <c r="D295" s="4" t="s">
        <v>63</v>
      </c>
      <c r="E295" s="4" t="s">
        <v>320</v>
      </c>
      <c r="F295" s="4" t="s">
        <v>427</v>
      </c>
      <c r="G295" s="5">
        <v>45434</v>
      </c>
      <c r="H295" s="4" t="s">
        <v>46</v>
      </c>
      <c r="I295" t="s">
        <v>755</v>
      </c>
      <c r="J295" s="6">
        <v>6900</v>
      </c>
      <c r="K295" s="6">
        <v>12800</v>
      </c>
      <c r="L295" s="4">
        <v>8</v>
      </c>
    </row>
    <row r="296" spans="1:12" x14ac:dyDescent="0.3">
      <c r="A296" s="16">
        <v>295</v>
      </c>
      <c r="B296" s="4">
        <v>74026</v>
      </c>
      <c r="C296" s="4" t="s">
        <v>428</v>
      </c>
      <c r="D296" s="4" t="s">
        <v>63</v>
      </c>
      <c r="E296" s="4" t="s">
        <v>320</v>
      </c>
      <c r="F296" s="4" t="s">
        <v>321</v>
      </c>
      <c r="G296" s="5">
        <v>45048</v>
      </c>
      <c r="H296" s="4" t="s">
        <v>46</v>
      </c>
      <c r="I296" t="s">
        <v>756</v>
      </c>
      <c r="J296" s="6">
        <v>7521</v>
      </c>
      <c r="K296" s="6">
        <v>13732</v>
      </c>
      <c r="L296" s="4">
        <v>8</v>
      </c>
    </row>
    <row r="297" spans="1:12" x14ac:dyDescent="0.3">
      <c r="A297" s="16">
        <v>296</v>
      </c>
      <c r="B297" s="4">
        <v>70972</v>
      </c>
      <c r="C297" s="4" t="s">
        <v>429</v>
      </c>
      <c r="D297" s="4" t="s">
        <v>11</v>
      </c>
      <c r="E297" s="4" t="s">
        <v>105</v>
      </c>
      <c r="F297" s="4" t="s">
        <v>25</v>
      </c>
      <c r="G297" s="5">
        <v>44837</v>
      </c>
      <c r="H297" s="4" t="s">
        <v>46</v>
      </c>
      <c r="I297" t="s">
        <v>755</v>
      </c>
      <c r="J297" s="6">
        <v>7303</v>
      </c>
      <c r="K297" s="6">
        <v>13405</v>
      </c>
      <c r="L297" s="4">
        <v>12</v>
      </c>
    </row>
    <row r="298" spans="1:12" x14ac:dyDescent="0.3">
      <c r="A298" s="16">
        <v>297</v>
      </c>
      <c r="B298" s="4">
        <v>70967</v>
      </c>
      <c r="C298" s="4" t="s">
        <v>430</v>
      </c>
      <c r="D298" s="4" t="s">
        <v>11</v>
      </c>
      <c r="E298" s="4" t="s">
        <v>105</v>
      </c>
      <c r="F298" s="4" t="s">
        <v>25</v>
      </c>
      <c r="G298" s="5">
        <v>44805</v>
      </c>
      <c r="H298" s="4" t="s">
        <v>46</v>
      </c>
      <c r="I298" t="s">
        <v>756</v>
      </c>
      <c r="J298" s="6">
        <v>7303</v>
      </c>
      <c r="K298" s="6">
        <v>13405</v>
      </c>
      <c r="L298" s="4">
        <v>8</v>
      </c>
    </row>
    <row r="299" spans="1:12" x14ac:dyDescent="0.3">
      <c r="A299" s="16">
        <v>298</v>
      </c>
      <c r="B299" s="4">
        <v>70879</v>
      </c>
      <c r="C299" s="4" t="s">
        <v>431</v>
      </c>
      <c r="D299" s="4" t="s">
        <v>11</v>
      </c>
      <c r="E299" s="4" t="s">
        <v>105</v>
      </c>
      <c r="F299" s="4" t="s">
        <v>25</v>
      </c>
      <c r="G299" s="5">
        <v>44482</v>
      </c>
      <c r="H299" s="4" t="s">
        <v>46</v>
      </c>
      <c r="I299" t="s">
        <v>756</v>
      </c>
      <c r="J299" s="6">
        <v>7303</v>
      </c>
      <c r="K299" s="6">
        <v>13405</v>
      </c>
      <c r="L299" s="4">
        <v>12</v>
      </c>
    </row>
    <row r="300" spans="1:12" x14ac:dyDescent="0.3">
      <c r="A300" s="16">
        <v>299</v>
      </c>
      <c r="B300" s="4">
        <v>70877</v>
      </c>
      <c r="C300" s="4" t="s">
        <v>432</v>
      </c>
      <c r="D300" s="4" t="s">
        <v>11</v>
      </c>
      <c r="E300" s="4" t="s">
        <v>105</v>
      </c>
      <c r="F300" s="4" t="s">
        <v>25</v>
      </c>
      <c r="G300" s="5">
        <v>44480</v>
      </c>
      <c r="H300" s="4" t="s">
        <v>46</v>
      </c>
      <c r="I300" t="s">
        <v>756</v>
      </c>
      <c r="J300" s="6">
        <v>7303</v>
      </c>
      <c r="K300" s="6">
        <v>13405</v>
      </c>
      <c r="L300" s="4">
        <v>8</v>
      </c>
    </row>
    <row r="301" spans="1:12" x14ac:dyDescent="0.3">
      <c r="A301" s="16">
        <v>300</v>
      </c>
      <c r="B301" s="4">
        <v>70843</v>
      </c>
      <c r="C301" s="4" t="s">
        <v>433</v>
      </c>
      <c r="D301" s="4" t="s">
        <v>11</v>
      </c>
      <c r="E301" s="4" t="s">
        <v>105</v>
      </c>
      <c r="F301" s="4" t="s">
        <v>25</v>
      </c>
      <c r="G301" s="5">
        <v>44378</v>
      </c>
      <c r="H301" s="4" t="s">
        <v>46</v>
      </c>
      <c r="I301" t="s">
        <v>755</v>
      </c>
      <c r="J301" s="6">
        <v>7303</v>
      </c>
      <c r="K301" s="6">
        <v>13405</v>
      </c>
      <c r="L301" s="4">
        <v>8</v>
      </c>
    </row>
    <row r="302" spans="1:12" x14ac:dyDescent="0.3">
      <c r="A302" s="16">
        <v>301</v>
      </c>
      <c r="B302" s="4">
        <v>70836</v>
      </c>
      <c r="C302" s="4" t="s">
        <v>434</v>
      </c>
      <c r="D302" s="4" t="s">
        <v>11</v>
      </c>
      <c r="E302" s="4" t="s">
        <v>105</v>
      </c>
      <c r="F302" s="4" t="s">
        <v>25</v>
      </c>
      <c r="G302" s="5">
        <v>44353</v>
      </c>
      <c r="H302" s="4" t="s">
        <v>46</v>
      </c>
      <c r="I302" t="s">
        <v>755</v>
      </c>
      <c r="J302" s="6">
        <v>7303</v>
      </c>
      <c r="K302" s="6">
        <v>13405</v>
      </c>
      <c r="L302" s="4">
        <v>8</v>
      </c>
    </row>
    <row r="303" spans="1:12" x14ac:dyDescent="0.3">
      <c r="A303" s="16">
        <v>302</v>
      </c>
      <c r="B303" s="4">
        <v>70839</v>
      </c>
      <c r="C303" s="4" t="s">
        <v>435</v>
      </c>
      <c r="D303" s="4" t="s">
        <v>11</v>
      </c>
      <c r="E303" s="4" t="s">
        <v>105</v>
      </c>
      <c r="F303" s="4" t="s">
        <v>25</v>
      </c>
      <c r="G303" s="5">
        <v>44366</v>
      </c>
      <c r="H303" s="4" t="s">
        <v>46</v>
      </c>
      <c r="I303" t="s">
        <v>756</v>
      </c>
      <c r="J303" s="6">
        <v>7303</v>
      </c>
      <c r="K303" s="6">
        <v>13405</v>
      </c>
      <c r="L303" s="4">
        <v>12</v>
      </c>
    </row>
    <row r="304" spans="1:12" x14ac:dyDescent="0.3">
      <c r="A304" s="16">
        <v>303</v>
      </c>
      <c r="B304" s="4">
        <v>70805</v>
      </c>
      <c r="C304" s="4" t="s">
        <v>436</v>
      </c>
      <c r="D304" s="4" t="s">
        <v>11</v>
      </c>
      <c r="E304" s="4" t="s">
        <v>105</v>
      </c>
      <c r="F304" s="4" t="s">
        <v>25</v>
      </c>
      <c r="G304" s="5">
        <v>44256</v>
      </c>
      <c r="H304" s="4" t="s">
        <v>46</v>
      </c>
      <c r="I304" t="s">
        <v>755</v>
      </c>
      <c r="J304" s="6">
        <v>7303</v>
      </c>
      <c r="K304" s="6">
        <v>13405</v>
      </c>
      <c r="L304" s="4">
        <v>12</v>
      </c>
    </row>
    <row r="305" spans="1:12" x14ac:dyDescent="0.3">
      <c r="A305" s="16">
        <v>304</v>
      </c>
      <c r="B305" s="4">
        <v>70687</v>
      </c>
      <c r="C305" s="4" t="s">
        <v>437</v>
      </c>
      <c r="D305" s="4" t="s">
        <v>11</v>
      </c>
      <c r="E305" s="4" t="s">
        <v>105</v>
      </c>
      <c r="F305" s="4" t="s">
        <v>120</v>
      </c>
      <c r="G305" s="5">
        <v>43808</v>
      </c>
      <c r="H305" s="4" t="s">
        <v>46</v>
      </c>
      <c r="I305" t="s">
        <v>755</v>
      </c>
      <c r="J305" s="6">
        <v>7376</v>
      </c>
      <c r="K305" s="6">
        <v>13514</v>
      </c>
      <c r="L305" s="4">
        <v>8</v>
      </c>
    </row>
    <row r="306" spans="1:12" x14ac:dyDescent="0.3">
      <c r="A306" s="16">
        <v>305</v>
      </c>
      <c r="B306" s="4">
        <v>90020</v>
      </c>
      <c r="C306" s="4" t="s">
        <v>438</v>
      </c>
      <c r="D306" s="4" t="s">
        <v>11</v>
      </c>
      <c r="E306" s="4" t="s">
        <v>105</v>
      </c>
      <c r="F306" s="4" t="s">
        <v>321</v>
      </c>
      <c r="G306" s="5">
        <v>43020</v>
      </c>
      <c r="H306" s="4" t="s">
        <v>46</v>
      </c>
      <c r="I306" t="s">
        <v>756</v>
      </c>
      <c r="J306" s="6">
        <v>7594</v>
      </c>
      <c r="K306" s="6">
        <v>13841</v>
      </c>
      <c r="L306" s="4">
        <v>8</v>
      </c>
    </row>
    <row r="307" spans="1:12" x14ac:dyDescent="0.3">
      <c r="A307" s="16">
        <v>306</v>
      </c>
      <c r="B307" s="4">
        <v>70672</v>
      </c>
      <c r="C307" s="4" t="s">
        <v>439</v>
      </c>
      <c r="D307" s="4" t="s">
        <v>11</v>
      </c>
      <c r="E307" s="4" t="s">
        <v>105</v>
      </c>
      <c r="F307" s="4" t="s">
        <v>440</v>
      </c>
      <c r="G307" s="5">
        <v>43678</v>
      </c>
      <c r="H307" s="4" t="s">
        <v>46</v>
      </c>
      <c r="I307" t="s">
        <v>755</v>
      </c>
      <c r="J307" s="6">
        <v>7376</v>
      </c>
      <c r="K307" s="6">
        <v>13514</v>
      </c>
      <c r="L307" s="4">
        <v>8</v>
      </c>
    </row>
    <row r="308" spans="1:12" x14ac:dyDescent="0.3">
      <c r="A308" s="16">
        <v>307</v>
      </c>
      <c r="B308" s="4">
        <v>70710</v>
      </c>
      <c r="C308" s="4" t="s">
        <v>441</v>
      </c>
      <c r="D308" s="4" t="s">
        <v>11</v>
      </c>
      <c r="E308" s="4" t="s">
        <v>105</v>
      </c>
      <c r="F308" s="4" t="s">
        <v>440</v>
      </c>
      <c r="G308" s="5">
        <v>43837</v>
      </c>
      <c r="H308" s="4" t="s">
        <v>46</v>
      </c>
      <c r="I308" t="s">
        <v>755</v>
      </c>
      <c r="J308" s="6">
        <v>7303</v>
      </c>
      <c r="K308" s="6">
        <v>13405</v>
      </c>
      <c r="L308" s="4">
        <v>12</v>
      </c>
    </row>
    <row r="309" spans="1:12" x14ac:dyDescent="0.3">
      <c r="A309" s="16">
        <v>308</v>
      </c>
      <c r="B309" s="4">
        <v>70756</v>
      </c>
      <c r="C309" s="4" t="s">
        <v>442</v>
      </c>
      <c r="D309" s="4" t="s">
        <v>11</v>
      </c>
      <c r="E309" s="4" t="s">
        <v>105</v>
      </c>
      <c r="F309" s="4" t="s">
        <v>443</v>
      </c>
      <c r="G309" s="5">
        <v>43848</v>
      </c>
      <c r="H309" s="4" t="s">
        <v>46</v>
      </c>
      <c r="I309" t="s">
        <v>756</v>
      </c>
      <c r="J309" s="6">
        <v>7303</v>
      </c>
      <c r="K309" s="6">
        <v>13405</v>
      </c>
      <c r="L309" s="4">
        <v>12</v>
      </c>
    </row>
    <row r="310" spans="1:12" x14ac:dyDescent="0.3">
      <c r="A310" s="16">
        <v>309</v>
      </c>
      <c r="B310" s="4">
        <v>70757</v>
      </c>
      <c r="C310" s="4" t="s">
        <v>444</v>
      </c>
      <c r="D310" s="4" t="s">
        <v>11</v>
      </c>
      <c r="E310" s="4" t="s">
        <v>105</v>
      </c>
      <c r="F310" s="4" t="s">
        <v>443</v>
      </c>
      <c r="G310" s="5">
        <v>43851</v>
      </c>
      <c r="H310" s="4" t="s">
        <v>46</v>
      </c>
      <c r="I310" t="s">
        <v>755</v>
      </c>
      <c r="J310" s="6">
        <v>7303</v>
      </c>
      <c r="K310" s="6">
        <v>13405</v>
      </c>
      <c r="L310" s="4">
        <v>8</v>
      </c>
    </row>
    <row r="311" spans="1:12" x14ac:dyDescent="0.3">
      <c r="A311" s="16">
        <v>310</v>
      </c>
      <c r="B311" s="4">
        <v>70442</v>
      </c>
      <c r="C311" s="4" t="s">
        <v>445</v>
      </c>
      <c r="D311" s="4" t="s">
        <v>11</v>
      </c>
      <c r="E311" s="4" t="s">
        <v>105</v>
      </c>
      <c r="F311" s="4" t="s">
        <v>443</v>
      </c>
      <c r="G311" s="5">
        <v>43344</v>
      </c>
      <c r="H311" s="4" t="s">
        <v>46</v>
      </c>
      <c r="I311" t="s">
        <v>755</v>
      </c>
      <c r="J311" s="6">
        <v>7448</v>
      </c>
      <c r="K311" s="6">
        <v>13622</v>
      </c>
      <c r="L311" s="4">
        <v>8</v>
      </c>
    </row>
    <row r="312" spans="1:12" x14ac:dyDescent="0.3">
      <c r="A312" s="16">
        <v>311</v>
      </c>
      <c r="B312" s="4">
        <v>70289</v>
      </c>
      <c r="C312" s="4" t="s">
        <v>446</v>
      </c>
      <c r="D312" s="4" t="s">
        <v>11</v>
      </c>
      <c r="E312" s="4" t="s">
        <v>105</v>
      </c>
      <c r="F312" s="4" t="s">
        <v>447</v>
      </c>
      <c r="G312" s="5">
        <v>43148</v>
      </c>
      <c r="H312" s="4" t="s">
        <v>46</v>
      </c>
      <c r="I312" t="s">
        <v>756</v>
      </c>
      <c r="J312" s="6">
        <v>8139</v>
      </c>
      <c r="K312" s="6">
        <v>14659</v>
      </c>
      <c r="L312" s="4">
        <v>8</v>
      </c>
    </row>
    <row r="313" spans="1:12" x14ac:dyDescent="0.3">
      <c r="A313" s="16">
        <v>312</v>
      </c>
      <c r="B313" s="4">
        <v>70287</v>
      </c>
      <c r="C313" s="4" t="s">
        <v>448</v>
      </c>
      <c r="D313" s="4" t="s">
        <v>11</v>
      </c>
      <c r="E313" s="4" t="s">
        <v>105</v>
      </c>
      <c r="F313" s="4" t="s">
        <v>449</v>
      </c>
      <c r="G313" s="5">
        <v>43146</v>
      </c>
      <c r="H313" s="4" t="s">
        <v>46</v>
      </c>
      <c r="I313" t="s">
        <v>756</v>
      </c>
      <c r="J313" s="6">
        <v>8066</v>
      </c>
      <c r="K313" s="6">
        <v>14549</v>
      </c>
      <c r="L313" s="4">
        <v>8</v>
      </c>
    </row>
    <row r="314" spans="1:12" x14ac:dyDescent="0.3">
      <c r="A314" s="16">
        <v>313</v>
      </c>
      <c r="B314" s="4">
        <v>70118</v>
      </c>
      <c r="C314" s="4" t="s">
        <v>450</v>
      </c>
      <c r="D314" s="4" t="s">
        <v>11</v>
      </c>
      <c r="E314" s="4" t="s">
        <v>451</v>
      </c>
      <c r="F314" s="4" t="s">
        <v>452</v>
      </c>
      <c r="G314" s="5">
        <v>42095</v>
      </c>
      <c r="H314" s="4" t="s">
        <v>46</v>
      </c>
      <c r="I314" t="s">
        <v>756</v>
      </c>
      <c r="J314" s="6">
        <v>8591</v>
      </c>
      <c r="K314" s="6">
        <v>15337</v>
      </c>
      <c r="L314" s="4">
        <v>8</v>
      </c>
    </row>
    <row r="315" spans="1:12" x14ac:dyDescent="0.3">
      <c r="A315" s="16">
        <v>314</v>
      </c>
      <c r="B315" s="4">
        <v>70754</v>
      </c>
      <c r="C315" s="4" t="s">
        <v>453</v>
      </c>
      <c r="D315" s="4" t="s">
        <v>11</v>
      </c>
      <c r="E315" s="4" t="s">
        <v>451</v>
      </c>
      <c r="F315" s="4" t="s">
        <v>454</v>
      </c>
      <c r="G315" s="5">
        <v>43844</v>
      </c>
      <c r="H315" s="4" t="s">
        <v>46</v>
      </c>
      <c r="I315" t="s">
        <v>755</v>
      </c>
      <c r="J315" s="6">
        <v>7376</v>
      </c>
      <c r="K315" s="6">
        <v>13514</v>
      </c>
      <c r="L315" s="4">
        <v>12</v>
      </c>
    </row>
    <row r="316" spans="1:12" x14ac:dyDescent="0.3">
      <c r="A316" s="16">
        <v>315</v>
      </c>
      <c r="B316" s="4">
        <v>70694</v>
      </c>
      <c r="C316" s="4" t="s">
        <v>455</v>
      </c>
      <c r="D316" s="4" t="s">
        <v>11</v>
      </c>
      <c r="E316" s="4" t="s">
        <v>451</v>
      </c>
      <c r="F316" s="4" t="s">
        <v>454</v>
      </c>
      <c r="G316" s="5">
        <v>43831</v>
      </c>
      <c r="H316" s="4" t="s">
        <v>46</v>
      </c>
      <c r="I316" t="s">
        <v>755</v>
      </c>
      <c r="J316" s="6">
        <v>7376</v>
      </c>
      <c r="K316" s="6">
        <v>13514</v>
      </c>
      <c r="L316" s="4">
        <v>8</v>
      </c>
    </row>
    <row r="317" spans="1:12" x14ac:dyDescent="0.3">
      <c r="A317" s="16">
        <v>316</v>
      </c>
      <c r="B317" s="4">
        <v>70692</v>
      </c>
      <c r="C317" s="4" t="s">
        <v>456</v>
      </c>
      <c r="D317" s="4" t="s">
        <v>11</v>
      </c>
      <c r="E317" s="4" t="s">
        <v>451</v>
      </c>
      <c r="F317" s="4" t="s">
        <v>454</v>
      </c>
      <c r="G317" s="5">
        <v>43831</v>
      </c>
      <c r="H317" s="4" t="s">
        <v>46</v>
      </c>
      <c r="I317" t="s">
        <v>756</v>
      </c>
      <c r="J317" s="6">
        <v>7376</v>
      </c>
      <c r="K317" s="6">
        <v>13514</v>
      </c>
      <c r="L317" s="4">
        <v>12</v>
      </c>
    </row>
    <row r="318" spans="1:12" x14ac:dyDescent="0.3">
      <c r="A318" s="16">
        <v>317</v>
      </c>
      <c r="B318" s="4">
        <v>70693</v>
      </c>
      <c r="C318" s="4" t="s">
        <v>457</v>
      </c>
      <c r="D318" s="4" t="s">
        <v>11</v>
      </c>
      <c r="E318" s="4" t="s">
        <v>451</v>
      </c>
      <c r="F318" s="4" t="s">
        <v>454</v>
      </c>
      <c r="G318" s="5">
        <v>43831</v>
      </c>
      <c r="H318" s="4" t="s">
        <v>46</v>
      </c>
      <c r="I318" t="s">
        <v>755</v>
      </c>
      <c r="J318" s="6">
        <v>7376</v>
      </c>
      <c r="K318" s="6">
        <v>13514</v>
      </c>
      <c r="L318" s="4">
        <v>8</v>
      </c>
    </row>
    <row r="319" spans="1:12" x14ac:dyDescent="0.3">
      <c r="A319" s="16">
        <v>318</v>
      </c>
      <c r="B319" s="4">
        <v>70979</v>
      </c>
      <c r="C319" s="4" t="s">
        <v>458</v>
      </c>
      <c r="D319" s="4" t="s">
        <v>11</v>
      </c>
      <c r="E319" s="4" t="s">
        <v>451</v>
      </c>
      <c r="F319" s="4" t="s">
        <v>116</v>
      </c>
      <c r="G319" s="5">
        <v>43813</v>
      </c>
      <c r="H319" s="4" t="s">
        <v>46</v>
      </c>
      <c r="I319" t="s">
        <v>755</v>
      </c>
      <c r="J319" s="6">
        <v>11301</v>
      </c>
      <c r="K319" s="6">
        <v>19402</v>
      </c>
      <c r="L319" s="4">
        <v>8</v>
      </c>
    </row>
    <row r="320" spans="1:12" x14ac:dyDescent="0.3">
      <c r="A320" s="16">
        <v>319</v>
      </c>
      <c r="B320" s="4">
        <v>70981</v>
      </c>
      <c r="C320" s="4" t="s">
        <v>459</v>
      </c>
      <c r="D320" s="4" t="s">
        <v>11</v>
      </c>
      <c r="E320" s="4" t="s">
        <v>451</v>
      </c>
      <c r="F320" s="4" t="s">
        <v>116</v>
      </c>
      <c r="G320" s="5">
        <v>43803</v>
      </c>
      <c r="H320" s="4" t="s">
        <v>46</v>
      </c>
      <c r="I320" t="s">
        <v>756</v>
      </c>
      <c r="J320" s="6">
        <v>11301</v>
      </c>
      <c r="K320" s="6">
        <v>19402</v>
      </c>
      <c r="L320" s="4">
        <v>8</v>
      </c>
    </row>
    <row r="321" spans="1:12" x14ac:dyDescent="0.3">
      <c r="A321" s="16">
        <v>320</v>
      </c>
      <c r="B321" s="4">
        <v>74078</v>
      </c>
      <c r="C321" s="4" t="s">
        <v>460</v>
      </c>
      <c r="D321" s="4" t="s">
        <v>11</v>
      </c>
      <c r="E321" s="4" t="s">
        <v>451</v>
      </c>
      <c r="F321" s="4" t="s">
        <v>25</v>
      </c>
      <c r="G321" s="5">
        <v>45143</v>
      </c>
      <c r="H321" s="4" t="s">
        <v>46</v>
      </c>
      <c r="I321" t="s">
        <v>755</v>
      </c>
      <c r="J321" s="6">
        <v>7303</v>
      </c>
      <c r="K321" s="6">
        <v>13405</v>
      </c>
      <c r="L321" s="4">
        <v>12</v>
      </c>
    </row>
    <row r="322" spans="1:12" x14ac:dyDescent="0.3">
      <c r="A322" s="16">
        <v>321</v>
      </c>
      <c r="B322" s="4">
        <v>74083</v>
      </c>
      <c r="C322" s="4" t="s">
        <v>461</v>
      </c>
      <c r="D322" s="4" t="s">
        <v>11</v>
      </c>
      <c r="E322" s="4" t="s">
        <v>451</v>
      </c>
      <c r="F322" s="4" t="s">
        <v>25</v>
      </c>
      <c r="G322" s="5">
        <v>45144</v>
      </c>
      <c r="H322" s="4" t="s">
        <v>46</v>
      </c>
      <c r="I322" t="s">
        <v>756</v>
      </c>
      <c r="J322" s="6">
        <v>7303</v>
      </c>
      <c r="K322" s="6">
        <v>13405</v>
      </c>
      <c r="L322" s="4">
        <v>12</v>
      </c>
    </row>
    <row r="323" spans="1:12" x14ac:dyDescent="0.3">
      <c r="A323" s="16">
        <v>322</v>
      </c>
      <c r="B323" s="4">
        <v>74086</v>
      </c>
      <c r="C323" s="4" t="s">
        <v>462</v>
      </c>
      <c r="D323" s="4" t="s">
        <v>11</v>
      </c>
      <c r="E323" s="4" t="s">
        <v>451</v>
      </c>
      <c r="F323" s="4" t="s">
        <v>25</v>
      </c>
      <c r="G323" s="5">
        <v>45148</v>
      </c>
      <c r="H323" s="4" t="s">
        <v>46</v>
      </c>
      <c r="I323" t="s">
        <v>756</v>
      </c>
      <c r="J323" s="6">
        <v>7303</v>
      </c>
      <c r="K323" s="6">
        <v>13405</v>
      </c>
      <c r="L323" s="4">
        <v>8</v>
      </c>
    </row>
    <row r="324" spans="1:12" x14ac:dyDescent="0.3">
      <c r="A324" s="16">
        <v>323</v>
      </c>
      <c r="B324" s="4">
        <v>74096</v>
      </c>
      <c r="C324" s="4" t="s">
        <v>357</v>
      </c>
      <c r="D324" s="4" t="s">
        <v>11</v>
      </c>
      <c r="E324" s="4" t="s">
        <v>463</v>
      </c>
      <c r="F324" s="4" t="s">
        <v>464</v>
      </c>
      <c r="G324" s="5">
        <v>45188</v>
      </c>
      <c r="H324" s="4" t="s">
        <v>46</v>
      </c>
      <c r="I324" t="s">
        <v>756</v>
      </c>
      <c r="J324" s="6">
        <v>7303</v>
      </c>
      <c r="K324" s="6">
        <v>13405</v>
      </c>
      <c r="L324" s="4">
        <v>8</v>
      </c>
    </row>
    <row r="325" spans="1:12" x14ac:dyDescent="0.3">
      <c r="A325" s="16">
        <v>324</v>
      </c>
      <c r="B325" s="4">
        <v>70973</v>
      </c>
      <c r="C325" s="4" t="s">
        <v>465</v>
      </c>
      <c r="D325" s="4" t="s">
        <v>11</v>
      </c>
      <c r="E325" s="4" t="s">
        <v>463</v>
      </c>
      <c r="F325" s="4" t="s">
        <v>464</v>
      </c>
      <c r="G325" s="5">
        <v>44840</v>
      </c>
      <c r="H325" s="4" t="s">
        <v>46</v>
      </c>
      <c r="I325" t="s">
        <v>755</v>
      </c>
      <c r="J325" s="6">
        <v>7303</v>
      </c>
      <c r="K325" s="6">
        <v>13405</v>
      </c>
      <c r="L325" s="4">
        <v>8</v>
      </c>
    </row>
    <row r="326" spans="1:12" x14ac:dyDescent="0.3">
      <c r="A326" s="16">
        <v>325</v>
      </c>
      <c r="B326" s="4">
        <v>70941</v>
      </c>
      <c r="C326" s="4" t="s">
        <v>466</v>
      </c>
      <c r="D326" s="4" t="s">
        <v>11</v>
      </c>
      <c r="E326" s="4" t="s">
        <v>463</v>
      </c>
      <c r="F326" s="4" t="s">
        <v>464</v>
      </c>
      <c r="G326" s="5">
        <v>41863</v>
      </c>
      <c r="H326" s="4" t="s">
        <v>46</v>
      </c>
      <c r="I326" t="s">
        <v>755</v>
      </c>
      <c r="J326" s="6">
        <v>7666</v>
      </c>
      <c r="K326" s="6">
        <v>13949</v>
      </c>
      <c r="L326" s="4">
        <v>12</v>
      </c>
    </row>
    <row r="327" spans="1:12" x14ac:dyDescent="0.3">
      <c r="A327" s="16">
        <v>326</v>
      </c>
      <c r="B327" s="4">
        <v>74123</v>
      </c>
      <c r="C327" s="4" t="s">
        <v>467</v>
      </c>
      <c r="D327" s="4" t="s">
        <v>11</v>
      </c>
      <c r="E327" s="4" t="s">
        <v>463</v>
      </c>
      <c r="F327" s="4" t="s">
        <v>25</v>
      </c>
      <c r="G327" s="5">
        <v>44927</v>
      </c>
      <c r="H327" s="4" t="s">
        <v>46</v>
      </c>
      <c r="I327" t="s">
        <v>756</v>
      </c>
      <c r="J327" s="6">
        <v>7303</v>
      </c>
      <c r="K327" s="6">
        <v>13405</v>
      </c>
      <c r="L327" s="4">
        <v>12</v>
      </c>
    </row>
    <row r="328" spans="1:12" x14ac:dyDescent="0.3">
      <c r="A328" s="16">
        <v>327</v>
      </c>
      <c r="B328" s="4">
        <v>74125</v>
      </c>
      <c r="C328" s="4" t="s">
        <v>468</v>
      </c>
      <c r="D328" s="4" t="s">
        <v>11</v>
      </c>
      <c r="E328" s="4" t="s">
        <v>463</v>
      </c>
      <c r="F328" s="4" t="s">
        <v>25</v>
      </c>
      <c r="G328" s="5">
        <v>45203</v>
      </c>
      <c r="H328" s="4" t="s">
        <v>46</v>
      </c>
      <c r="I328" t="s">
        <v>755</v>
      </c>
      <c r="J328" s="6">
        <v>7303</v>
      </c>
      <c r="K328" s="6">
        <v>13405</v>
      </c>
      <c r="L328" s="4">
        <v>8</v>
      </c>
    </row>
    <row r="329" spans="1:12" x14ac:dyDescent="0.3">
      <c r="A329" s="16">
        <v>328</v>
      </c>
      <c r="B329" s="4">
        <v>70700</v>
      </c>
      <c r="C329" s="4" t="s">
        <v>469</v>
      </c>
      <c r="D329" s="4" t="s">
        <v>11</v>
      </c>
      <c r="E329" s="4" t="s">
        <v>463</v>
      </c>
      <c r="F329" s="4" t="s">
        <v>464</v>
      </c>
      <c r="G329" s="5">
        <v>43835</v>
      </c>
      <c r="H329" s="4" t="s">
        <v>46</v>
      </c>
      <c r="I329" t="s">
        <v>755</v>
      </c>
      <c r="J329" s="6">
        <v>7376</v>
      </c>
      <c r="K329" s="6">
        <v>13514</v>
      </c>
      <c r="L329" s="4">
        <v>8</v>
      </c>
    </row>
    <row r="330" spans="1:12" x14ac:dyDescent="0.3">
      <c r="A330" s="16">
        <v>329</v>
      </c>
      <c r="B330" s="4">
        <v>70677</v>
      </c>
      <c r="C330" s="4" t="s">
        <v>470</v>
      </c>
      <c r="D330" s="4" t="s">
        <v>11</v>
      </c>
      <c r="E330" s="4" t="s">
        <v>463</v>
      </c>
      <c r="F330" s="4" t="s">
        <v>464</v>
      </c>
      <c r="G330" s="5">
        <v>43730</v>
      </c>
      <c r="H330" s="4" t="s">
        <v>46</v>
      </c>
      <c r="I330" t="s">
        <v>756</v>
      </c>
      <c r="J330" s="6">
        <v>7376</v>
      </c>
      <c r="K330" s="6">
        <v>13514</v>
      </c>
      <c r="L330" s="4">
        <v>8</v>
      </c>
    </row>
    <row r="331" spans="1:12" x14ac:dyDescent="0.3">
      <c r="A331" s="16">
        <v>330</v>
      </c>
      <c r="B331" s="4">
        <v>70555</v>
      </c>
      <c r="C331" s="4" t="s">
        <v>471</v>
      </c>
      <c r="D331" s="4" t="s">
        <v>11</v>
      </c>
      <c r="E331" s="4" t="s">
        <v>463</v>
      </c>
      <c r="F331" s="4" t="s">
        <v>464</v>
      </c>
      <c r="G331" s="5">
        <v>43366</v>
      </c>
      <c r="H331" s="4" t="s">
        <v>46</v>
      </c>
      <c r="I331" t="s">
        <v>755</v>
      </c>
      <c r="J331" s="6">
        <v>7376</v>
      </c>
      <c r="K331" s="6">
        <v>13514</v>
      </c>
      <c r="L331" s="4">
        <v>8</v>
      </c>
    </row>
    <row r="332" spans="1:12" x14ac:dyDescent="0.3">
      <c r="A332" s="16">
        <v>331</v>
      </c>
      <c r="B332" s="4">
        <v>70554</v>
      </c>
      <c r="C332" s="4" t="s">
        <v>472</v>
      </c>
      <c r="D332" s="4" t="s">
        <v>11</v>
      </c>
      <c r="E332" s="4" t="s">
        <v>463</v>
      </c>
      <c r="F332" s="4" t="s">
        <v>464</v>
      </c>
      <c r="G332" s="5">
        <v>43344</v>
      </c>
      <c r="H332" s="4" t="s">
        <v>46</v>
      </c>
      <c r="I332" t="s">
        <v>755</v>
      </c>
      <c r="J332" s="6">
        <v>7376</v>
      </c>
      <c r="K332" s="6">
        <v>13514</v>
      </c>
      <c r="L332" s="4">
        <v>8</v>
      </c>
    </row>
    <row r="333" spans="1:12" x14ac:dyDescent="0.3">
      <c r="A333" s="16">
        <v>332</v>
      </c>
      <c r="B333" s="4">
        <v>70823</v>
      </c>
      <c r="C333" s="4" t="s">
        <v>473</v>
      </c>
      <c r="D333" s="4" t="s">
        <v>11</v>
      </c>
      <c r="E333" s="4" t="s">
        <v>463</v>
      </c>
      <c r="F333" s="4" t="s">
        <v>464</v>
      </c>
      <c r="G333" s="5">
        <v>44268</v>
      </c>
      <c r="H333" s="4" t="s">
        <v>46</v>
      </c>
      <c r="I333" t="s">
        <v>756</v>
      </c>
      <c r="J333" s="6">
        <v>7303</v>
      </c>
      <c r="K333" s="6">
        <v>13405</v>
      </c>
      <c r="L333" s="4">
        <v>12</v>
      </c>
    </row>
    <row r="334" spans="1:12" x14ac:dyDescent="0.3">
      <c r="A334" s="16">
        <v>333</v>
      </c>
      <c r="B334" s="4">
        <v>70827</v>
      </c>
      <c r="C334" s="4" t="s">
        <v>474</v>
      </c>
      <c r="D334" s="4" t="s">
        <v>11</v>
      </c>
      <c r="E334" s="4" t="s">
        <v>463</v>
      </c>
      <c r="F334" s="4" t="s">
        <v>25</v>
      </c>
      <c r="G334" s="5">
        <v>44349</v>
      </c>
      <c r="H334" s="4" t="s">
        <v>46</v>
      </c>
      <c r="I334" t="s">
        <v>755</v>
      </c>
      <c r="J334" s="6">
        <v>7303</v>
      </c>
      <c r="K334" s="6">
        <v>13405</v>
      </c>
      <c r="L334" s="4">
        <v>8</v>
      </c>
    </row>
    <row r="335" spans="1:12" x14ac:dyDescent="0.3">
      <c r="A335" s="16">
        <v>334</v>
      </c>
      <c r="B335" s="4">
        <v>70859</v>
      </c>
      <c r="C335" s="4" t="s">
        <v>475</v>
      </c>
      <c r="D335" s="4" t="s">
        <v>11</v>
      </c>
      <c r="E335" s="4" t="s">
        <v>463</v>
      </c>
      <c r="F335" s="4" t="s">
        <v>464</v>
      </c>
      <c r="G335" s="5">
        <v>44440</v>
      </c>
      <c r="H335" s="4" t="s">
        <v>46</v>
      </c>
      <c r="I335" t="s">
        <v>755</v>
      </c>
      <c r="J335" s="6">
        <v>7303</v>
      </c>
      <c r="K335" s="6">
        <v>13405</v>
      </c>
      <c r="L335" s="4">
        <v>12</v>
      </c>
    </row>
    <row r="336" spans="1:12" x14ac:dyDescent="0.3">
      <c r="A336" s="16">
        <v>335</v>
      </c>
      <c r="B336" s="4">
        <v>70920</v>
      </c>
      <c r="C336" s="4" t="s">
        <v>476</v>
      </c>
      <c r="D336" s="4" t="s">
        <v>11</v>
      </c>
      <c r="E336" s="4" t="s">
        <v>463</v>
      </c>
      <c r="F336" s="4" t="s">
        <v>464</v>
      </c>
      <c r="G336" s="5">
        <v>44653</v>
      </c>
      <c r="H336" s="4" t="s">
        <v>46</v>
      </c>
      <c r="I336" t="s">
        <v>756</v>
      </c>
      <c r="J336" s="6">
        <v>7303</v>
      </c>
      <c r="K336" s="6">
        <v>13405</v>
      </c>
      <c r="L336" s="4">
        <v>8</v>
      </c>
    </row>
    <row r="337" spans="1:12" x14ac:dyDescent="0.3">
      <c r="A337" s="16">
        <v>336</v>
      </c>
      <c r="B337" s="4">
        <v>70142</v>
      </c>
      <c r="C337" s="4" t="s">
        <v>477</v>
      </c>
      <c r="D337" s="4" t="s">
        <v>11</v>
      </c>
      <c r="E337" s="4" t="s">
        <v>463</v>
      </c>
      <c r="F337" s="4" t="s">
        <v>464</v>
      </c>
      <c r="G337" s="5">
        <v>42431</v>
      </c>
      <c r="H337" s="4" t="s">
        <v>46</v>
      </c>
      <c r="I337" t="s">
        <v>756</v>
      </c>
      <c r="J337" s="6">
        <v>7339</v>
      </c>
      <c r="K337" s="6">
        <v>13458</v>
      </c>
      <c r="L337" s="4">
        <v>8</v>
      </c>
    </row>
    <row r="338" spans="1:12" x14ac:dyDescent="0.3">
      <c r="A338" s="16">
        <v>337</v>
      </c>
      <c r="B338" s="4">
        <v>70386</v>
      </c>
      <c r="C338" s="4" t="s">
        <v>478</v>
      </c>
      <c r="D338" s="4" t="s">
        <v>11</v>
      </c>
      <c r="E338" s="4" t="s">
        <v>463</v>
      </c>
      <c r="F338" s="4" t="s">
        <v>464</v>
      </c>
      <c r="G338" s="5">
        <v>43282</v>
      </c>
      <c r="H338" s="4" t="s">
        <v>46</v>
      </c>
      <c r="I338" t="s">
        <v>756</v>
      </c>
      <c r="J338" s="6">
        <v>7376</v>
      </c>
      <c r="K338" s="6">
        <v>13514</v>
      </c>
      <c r="L338" s="4">
        <v>8</v>
      </c>
    </row>
    <row r="339" spans="1:12" x14ac:dyDescent="0.3">
      <c r="A339" s="16">
        <v>338</v>
      </c>
      <c r="B339" s="4">
        <v>70532</v>
      </c>
      <c r="C339" s="4" t="s">
        <v>479</v>
      </c>
      <c r="D339" s="4" t="s">
        <v>11</v>
      </c>
      <c r="E339" s="4" t="s">
        <v>463</v>
      </c>
      <c r="F339" s="4" t="s">
        <v>464</v>
      </c>
      <c r="G339" s="5">
        <v>39570</v>
      </c>
      <c r="H339" s="4" t="s">
        <v>46</v>
      </c>
      <c r="I339" t="s">
        <v>755</v>
      </c>
      <c r="J339" s="6">
        <v>8393</v>
      </c>
      <c r="K339" s="6">
        <v>15040</v>
      </c>
      <c r="L339" s="4">
        <v>12</v>
      </c>
    </row>
    <row r="340" spans="1:12" x14ac:dyDescent="0.3">
      <c r="A340" s="16">
        <v>339</v>
      </c>
      <c r="B340" s="4">
        <v>70270</v>
      </c>
      <c r="C340" s="4" t="s">
        <v>480</v>
      </c>
      <c r="D340" s="4" t="s">
        <v>11</v>
      </c>
      <c r="E340" s="4" t="s">
        <v>40</v>
      </c>
      <c r="F340" s="4" t="s">
        <v>20</v>
      </c>
      <c r="G340" s="5">
        <v>44992</v>
      </c>
      <c r="H340" s="4" t="s">
        <v>14</v>
      </c>
      <c r="I340" t="s">
        <v>755</v>
      </c>
      <c r="J340" s="6">
        <v>9629</v>
      </c>
      <c r="K340" s="6">
        <v>16048</v>
      </c>
      <c r="L340" s="4">
        <v>12</v>
      </c>
    </row>
    <row r="341" spans="1:12" x14ac:dyDescent="0.3">
      <c r="A341" s="16">
        <v>340</v>
      </c>
      <c r="B341" s="4">
        <v>70900</v>
      </c>
      <c r="C341" s="4" t="s">
        <v>481</v>
      </c>
      <c r="D341" s="4" t="s">
        <v>11</v>
      </c>
      <c r="E341" s="4" t="s">
        <v>45</v>
      </c>
      <c r="F341" s="4" t="s">
        <v>25</v>
      </c>
      <c r="G341" s="5">
        <v>44535</v>
      </c>
      <c r="H341" s="4" t="s">
        <v>46</v>
      </c>
      <c r="I341" t="s">
        <v>756</v>
      </c>
      <c r="J341" s="6">
        <v>7303</v>
      </c>
      <c r="K341" s="6">
        <v>13405</v>
      </c>
      <c r="L341" s="4">
        <v>8</v>
      </c>
    </row>
    <row r="342" spans="1:12" x14ac:dyDescent="0.3">
      <c r="A342" s="16">
        <v>341</v>
      </c>
      <c r="B342" s="4">
        <v>70656</v>
      </c>
      <c r="C342" s="4" t="s">
        <v>482</v>
      </c>
      <c r="D342" s="4" t="s">
        <v>11</v>
      </c>
      <c r="E342" s="4" t="s">
        <v>45</v>
      </c>
      <c r="F342" s="4" t="s">
        <v>483</v>
      </c>
      <c r="G342" s="5">
        <v>42075</v>
      </c>
      <c r="H342" s="4" t="s">
        <v>46</v>
      </c>
      <c r="I342" t="s">
        <v>755</v>
      </c>
      <c r="J342" s="6">
        <v>8066</v>
      </c>
      <c r="K342" s="6">
        <v>14549</v>
      </c>
      <c r="L342" s="4">
        <v>8</v>
      </c>
    </row>
    <row r="343" spans="1:12" x14ac:dyDescent="0.3">
      <c r="A343" s="16">
        <v>342</v>
      </c>
      <c r="B343" s="4">
        <v>70975</v>
      </c>
      <c r="C343" s="4" t="s">
        <v>484</v>
      </c>
      <c r="D343" s="4" t="s">
        <v>11</v>
      </c>
      <c r="E343" s="4" t="s">
        <v>45</v>
      </c>
      <c r="F343" s="4" t="s">
        <v>25</v>
      </c>
      <c r="G343" s="5">
        <v>44608</v>
      </c>
      <c r="H343" s="4" t="s">
        <v>46</v>
      </c>
      <c r="I343" t="s">
        <v>755</v>
      </c>
      <c r="J343" s="6">
        <v>7303</v>
      </c>
      <c r="K343" s="6">
        <v>13405</v>
      </c>
      <c r="L343" s="4">
        <v>8</v>
      </c>
    </row>
    <row r="344" spans="1:12" x14ac:dyDescent="0.3">
      <c r="A344" s="16">
        <v>343</v>
      </c>
      <c r="B344" s="4">
        <v>70984</v>
      </c>
      <c r="C344" s="4" t="s">
        <v>485</v>
      </c>
      <c r="D344" s="4" t="s">
        <v>11</v>
      </c>
      <c r="E344" s="4" t="s">
        <v>115</v>
      </c>
      <c r="F344" s="4" t="s">
        <v>25</v>
      </c>
      <c r="G344" s="5">
        <v>44593</v>
      </c>
      <c r="H344" s="4" t="s">
        <v>46</v>
      </c>
      <c r="I344" t="s">
        <v>756</v>
      </c>
      <c r="J344" s="6">
        <v>7303</v>
      </c>
      <c r="K344" s="6">
        <v>13405</v>
      </c>
      <c r="L344" s="4">
        <v>12</v>
      </c>
    </row>
    <row r="345" spans="1:12" x14ac:dyDescent="0.3">
      <c r="A345" s="16">
        <v>344</v>
      </c>
      <c r="B345" s="4">
        <v>70985</v>
      </c>
      <c r="C345" s="4" t="s">
        <v>486</v>
      </c>
      <c r="D345" s="4" t="s">
        <v>11</v>
      </c>
      <c r="E345" s="4" t="s">
        <v>115</v>
      </c>
      <c r="F345" s="4" t="s">
        <v>25</v>
      </c>
      <c r="G345" s="5">
        <v>44594</v>
      </c>
      <c r="H345" s="4" t="s">
        <v>46</v>
      </c>
      <c r="I345" t="s">
        <v>755</v>
      </c>
      <c r="J345" s="6">
        <v>7303</v>
      </c>
      <c r="K345" s="6">
        <v>13405</v>
      </c>
      <c r="L345" s="4">
        <v>12</v>
      </c>
    </row>
    <row r="346" spans="1:12" x14ac:dyDescent="0.3">
      <c r="A346" s="16">
        <v>345</v>
      </c>
      <c r="B346" s="4">
        <v>70986</v>
      </c>
      <c r="C346" s="4" t="s">
        <v>487</v>
      </c>
      <c r="D346" s="4" t="s">
        <v>11</v>
      </c>
      <c r="E346" s="4" t="s">
        <v>115</v>
      </c>
      <c r="F346" s="4" t="s">
        <v>116</v>
      </c>
      <c r="G346" s="5">
        <v>37697</v>
      </c>
      <c r="H346" s="4" t="s">
        <v>46</v>
      </c>
      <c r="I346" t="s">
        <v>756</v>
      </c>
      <c r="J346" s="6">
        <v>13443</v>
      </c>
      <c r="K346" s="6">
        <v>22614</v>
      </c>
      <c r="L346" s="4">
        <v>8</v>
      </c>
    </row>
    <row r="347" spans="1:12" x14ac:dyDescent="0.3">
      <c r="A347" s="16">
        <v>346</v>
      </c>
      <c r="B347" s="4">
        <v>70987</v>
      </c>
      <c r="C347" s="4" t="s">
        <v>488</v>
      </c>
      <c r="D347" s="4" t="s">
        <v>11</v>
      </c>
      <c r="E347" s="4" t="s">
        <v>115</v>
      </c>
      <c r="F347" s="4" t="s">
        <v>116</v>
      </c>
      <c r="G347" s="5">
        <v>42217</v>
      </c>
      <c r="H347" s="4" t="s">
        <v>46</v>
      </c>
      <c r="I347" t="s">
        <v>756</v>
      </c>
      <c r="J347" s="6">
        <v>8591</v>
      </c>
      <c r="K347" s="6">
        <v>15337</v>
      </c>
      <c r="L347" s="4">
        <v>8</v>
      </c>
    </row>
    <row r="348" spans="1:12" x14ac:dyDescent="0.3">
      <c r="A348" s="16">
        <v>347</v>
      </c>
      <c r="B348" s="4">
        <v>70989</v>
      </c>
      <c r="C348" s="4" t="s">
        <v>489</v>
      </c>
      <c r="D348" s="4" t="s">
        <v>11</v>
      </c>
      <c r="E348" s="4" t="s">
        <v>115</v>
      </c>
      <c r="F348" s="4" t="s">
        <v>25</v>
      </c>
      <c r="G348" s="5">
        <v>44653</v>
      </c>
      <c r="H348" s="4" t="s">
        <v>46</v>
      </c>
      <c r="I348" t="s">
        <v>756</v>
      </c>
      <c r="J348" s="6">
        <v>7303</v>
      </c>
      <c r="K348" s="6">
        <v>13405</v>
      </c>
      <c r="L348" s="4">
        <v>8</v>
      </c>
    </row>
    <row r="349" spans="1:12" x14ac:dyDescent="0.3">
      <c r="A349" s="16">
        <v>348</v>
      </c>
      <c r="B349" s="4">
        <v>70990</v>
      </c>
      <c r="C349" s="4" t="s">
        <v>490</v>
      </c>
      <c r="D349" s="4" t="s">
        <v>11</v>
      </c>
      <c r="E349" s="4" t="s">
        <v>115</v>
      </c>
      <c r="F349" s="4" t="s">
        <v>25</v>
      </c>
      <c r="G349" s="5">
        <v>43678</v>
      </c>
      <c r="H349" s="4" t="s">
        <v>46</v>
      </c>
      <c r="I349" t="s">
        <v>755</v>
      </c>
      <c r="J349" s="6">
        <v>7303</v>
      </c>
      <c r="K349" s="6">
        <v>13405</v>
      </c>
      <c r="L349" s="4">
        <v>8</v>
      </c>
    </row>
    <row r="350" spans="1:12" x14ac:dyDescent="0.3">
      <c r="A350" s="16">
        <v>349</v>
      </c>
      <c r="B350" s="4">
        <v>70991</v>
      </c>
      <c r="C350" s="4" t="s">
        <v>491</v>
      </c>
      <c r="D350" s="4" t="s">
        <v>11</v>
      </c>
      <c r="E350" s="4" t="s">
        <v>115</v>
      </c>
      <c r="F350" s="4" t="s">
        <v>25</v>
      </c>
      <c r="G350" s="5">
        <v>44713</v>
      </c>
      <c r="H350" s="4" t="s">
        <v>46</v>
      </c>
      <c r="I350" t="s">
        <v>755</v>
      </c>
      <c r="J350" s="6">
        <v>7303</v>
      </c>
      <c r="K350" s="6">
        <v>13405</v>
      </c>
      <c r="L350" s="4">
        <v>8</v>
      </c>
    </row>
    <row r="351" spans="1:12" x14ac:dyDescent="0.3">
      <c r="A351" s="16">
        <v>350</v>
      </c>
      <c r="B351" s="4">
        <v>70992</v>
      </c>
      <c r="C351" s="4" t="s">
        <v>492</v>
      </c>
      <c r="D351" s="4" t="s">
        <v>11</v>
      </c>
      <c r="E351" s="4" t="s">
        <v>115</v>
      </c>
      <c r="F351" s="4" t="s">
        <v>116</v>
      </c>
      <c r="G351" s="5">
        <v>41762</v>
      </c>
      <c r="H351" s="4" t="s">
        <v>46</v>
      </c>
      <c r="I351" t="s">
        <v>756</v>
      </c>
      <c r="J351" s="6">
        <v>8591</v>
      </c>
      <c r="K351" s="6">
        <v>15337</v>
      </c>
      <c r="L351" s="4">
        <v>12</v>
      </c>
    </row>
    <row r="352" spans="1:12" x14ac:dyDescent="0.3">
      <c r="A352" s="16">
        <v>351</v>
      </c>
      <c r="B352" s="4">
        <v>70997</v>
      </c>
      <c r="C352" s="4" t="s">
        <v>493</v>
      </c>
      <c r="D352" s="4" t="s">
        <v>11</v>
      </c>
      <c r="E352" s="4" t="s">
        <v>115</v>
      </c>
      <c r="F352" s="4" t="s">
        <v>25</v>
      </c>
      <c r="G352" s="5">
        <v>44760</v>
      </c>
      <c r="H352" s="4" t="s">
        <v>46</v>
      </c>
      <c r="I352" t="s">
        <v>755</v>
      </c>
      <c r="J352" s="6">
        <v>7303</v>
      </c>
      <c r="K352" s="6">
        <v>13405</v>
      </c>
      <c r="L352" s="4">
        <v>8</v>
      </c>
    </row>
    <row r="353" spans="1:12" x14ac:dyDescent="0.3">
      <c r="A353" s="16">
        <v>352</v>
      </c>
      <c r="B353" s="4">
        <v>71000</v>
      </c>
      <c r="C353" s="4" t="s">
        <v>494</v>
      </c>
      <c r="D353" s="4" t="s">
        <v>11</v>
      </c>
      <c r="E353" s="4" t="s">
        <v>115</v>
      </c>
      <c r="F353" s="4" t="s">
        <v>116</v>
      </c>
      <c r="G353" s="5">
        <v>43800</v>
      </c>
      <c r="H353" s="4" t="s">
        <v>46</v>
      </c>
      <c r="I353" t="s">
        <v>755</v>
      </c>
      <c r="J353" s="6">
        <v>16132</v>
      </c>
      <c r="K353" s="6">
        <v>26648</v>
      </c>
      <c r="L353" s="4">
        <v>12</v>
      </c>
    </row>
    <row r="354" spans="1:12" x14ac:dyDescent="0.3">
      <c r="A354" s="16">
        <v>353</v>
      </c>
      <c r="B354" s="4">
        <v>74002</v>
      </c>
      <c r="C354" s="4" t="s">
        <v>495</v>
      </c>
      <c r="D354" s="4" t="s">
        <v>11</v>
      </c>
      <c r="E354" s="4" t="s">
        <v>115</v>
      </c>
      <c r="F354" s="4" t="s">
        <v>25</v>
      </c>
      <c r="G354" s="5">
        <v>44569</v>
      </c>
      <c r="H354" s="4" t="s">
        <v>46</v>
      </c>
      <c r="I354" t="s">
        <v>756</v>
      </c>
      <c r="J354" s="6">
        <v>7303</v>
      </c>
      <c r="K354" s="6">
        <v>13405</v>
      </c>
      <c r="L354" s="4">
        <v>8</v>
      </c>
    </row>
    <row r="355" spans="1:12" x14ac:dyDescent="0.3">
      <c r="A355" s="16">
        <v>354</v>
      </c>
      <c r="B355" s="4">
        <v>74004</v>
      </c>
      <c r="C355" s="4" t="s">
        <v>496</v>
      </c>
      <c r="D355" s="4" t="s">
        <v>11</v>
      </c>
      <c r="E355" s="4" t="s">
        <v>115</v>
      </c>
      <c r="F355" s="4" t="s">
        <v>25</v>
      </c>
      <c r="G355" s="5">
        <v>44262</v>
      </c>
      <c r="H355" s="4" t="s">
        <v>46</v>
      </c>
      <c r="I355" t="s">
        <v>755</v>
      </c>
      <c r="J355" s="6">
        <v>7303</v>
      </c>
      <c r="K355" s="6">
        <v>13405</v>
      </c>
      <c r="L355" s="4">
        <v>8</v>
      </c>
    </row>
    <row r="356" spans="1:12" x14ac:dyDescent="0.3">
      <c r="A356" s="16">
        <v>355</v>
      </c>
      <c r="B356" s="4">
        <v>74001</v>
      </c>
      <c r="C356" s="4" t="s">
        <v>497</v>
      </c>
      <c r="D356" s="4" t="s">
        <v>11</v>
      </c>
      <c r="E356" s="4" t="s">
        <v>115</v>
      </c>
      <c r="F356" s="4" t="s">
        <v>116</v>
      </c>
      <c r="G356" s="5">
        <v>44235</v>
      </c>
      <c r="H356" s="4" t="s">
        <v>46</v>
      </c>
      <c r="I356" t="s">
        <v>755</v>
      </c>
      <c r="J356" s="6">
        <v>8591</v>
      </c>
      <c r="K356" s="6">
        <v>15337</v>
      </c>
      <c r="L356" s="4">
        <v>8</v>
      </c>
    </row>
    <row r="357" spans="1:12" x14ac:dyDescent="0.3">
      <c r="A357" s="16">
        <v>356</v>
      </c>
      <c r="B357" s="4">
        <v>74099</v>
      </c>
      <c r="C357" s="4" t="s">
        <v>498</v>
      </c>
      <c r="D357" s="4" t="s">
        <v>11</v>
      </c>
      <c r="E357" s="4" t="s">
        <v>115</v>
      </c>
      <c r="F357" s="4" t="s">
        <v>25</v>
      </c>
      <c r="G357" s="5">
        <v>45203</v>
      </c>
      <c r="H357" s="4" t="s">
        <v>46</v>
      </c>
      <c r="I357" t="s">
        <v>756</v>
      </c>
      <c r="J357" s="6">
        <v>7303</v>
      </c>
      <c r="K357" s="6">
        <v>13405</v>
      </c>
      <c r="L357" s="4">
        <v>12</v>
      </c>
    </row>
    <row r="358" spans="1:12" x14ac:dyDescent="0.3">
      <c r="A358" s="16">
        <v>357</v>
      </c>
      <c r="B358" s="4">
        <v>74105</v>
      </c>
      <c r="C358" s="4" t="s">
        <v>499</v>
      </c>
      <c r="D358" s="4" t="s">
        <v>11</v>
      </c>
      <c r="E358" s="4" t="s">
        <v>115</v>
      </c>
      <c r="F358" s="4" t="s">
        <v>25</v>
      </c>
      <c r="G358" s="5">
        <v>45231</v>
      </c>
      <c r="H358" s="4" t="s">
        <v>46</v>
      </c>
      <c r="I358" t="s">
        <v>755</v>
      </c>
      <c r="J358" s="6">
        <v>7303</v>
      </c>
      <c r="K358" s="6">
        <v>13405</v>
      </c>
      <c r="L358" s="4">
        <v>12</v>
      </c>
    </row>
    <row r="359" spans="1:12" x14ac:dyDescent="0.3">
      <c r="A359" s="16">
        <v>358</v>
      </c>
      <c r="B359" s="4">
        <v>74106</v>
      </c>
      <c r="C359" s="4" t="s">
        <v>500</v>
      </c>
      <c r="D359" s="4" t="s">
        <v>11</v>
      </c>
      <c r="E359" s="4" t="s">
        <v>115</v>
      </c>
      <c r="F359" s="4" t="s">
        <v>25</v>
      </c>
      <c r="G359" s="5">
        <v>45231</v>
      </c>
      <c r="H359" s="4" t="s">
        <v>46</v>
      </c>
      <c r="I359" t="s">
        <v>755</v>
      </c>
      <c r="J359" s="6">
        <v>7303</v>
      </c>
      <c r="K359" s="6">
        <v>13405</v>
      </c>
      <c r="L359" s="4">
        <v>8</v>
      </c>
    </row>
    <row r="360" spans="1:12" x14ac:dyDescent="0.3">
      <c r="A360" s="16">
        <v>359</v>
      </c>
      <c r="B360" s="4">
        <v>74033</v>
      </c>
      <c r="C360" s="4" t="s">
        <v>501</v>
      </c>
      <c r="D360" s="4" t="s">
        <v>11</v>
      </c>
      <c r="E360" s="4" t="s">
        <v>115</v>
      </c>
      <c r="F360" s="4" t="s">
        <v>25</v>
      </c>
      <c r="G360" s="5">
        <v>45116</v>
      </c>
      <c r="H360" s="4" t="s">
        <v>46</v>
      </c>
      <c r="I360" t="s">
        <v>756</v>
      </c>
      <c r="J360" s="6">
        <v>7303</v>
      </c>
      <c r="K360" s="6">
        <v>13405</v>
      </c>
      <c r="L360" s="4">
        <v>8</v>
      </c>
    </row>
    <row r="361" spans="1:12" x14ac:dyDescent="0.3">
      <c r="A361" s="16">
        <v>360</v>
      </c>
      <c r="B361" s="4">
        <v>74038</v>
      </c>
      <c r="C361" s="4" t="s">
        <v>502</v>
      </c>
      <c r="D361" s="4" t="s">
        <v>11</v>
      </c>
      <c r="E361" s="4" t="s">
        <v>115</v>
      </c>
      <c r="F361" s="4" t="s">
        <v>25</v>
      </c>
      <c r="G361" s="5">
        <v>45116</v>
      </c>
      <c r="H361" s="4" t="s">
        <v>46</v>
      </c>
      <c r="I361" t="s">
        <v>756</v>
      </c>
      <c r="J361" s="6">
        <v>7303</v>
      </c>
      <c r="K361" s="6">
        <v>13405</v>
      </c>
      <c r="L361" s="4">
        <v>8</v>
      </c>
    </row>
    <row r="362" spans="1:12" x14ac:dyDescent="0.3">
      <c r="A362" s="16">
        <v>361</v>
      </c>
      <c r="B362" s="4">
        <v>74028</v>
      </c>
      <c r="C362" s="4" t="s">
        <v>503</v>
      </c>
      <c r="D362" s="4" t="s">
        <v>11</v>
      </c>
      <c r="E362" s="4" t="s">
        <v>115</v>
      </c>
      <c r="F362" s="4" t="s">
        <v>25</v>
      </c>
      <c r="G362" s="5">
        <v>45056</v>
      </c>
      <c r="H362" s="4" t="s">
        <v>46</v>
      </c>
      <c r="I362" t="s">
        <v>756</v>
      </c>
      <c r="J362" s="6">
        <v>7303</v>
      </c>
      <c r="K362" s="6">
        <v>13405</v>
      </c>
      <c r="L362" s="4">
        <v>12</v>
      </c>
    </row>
    <row r="363" spans="1:12" x14ac:dyDescent="0.3">
      <c r="A363" s="16">
        <v>362</v>
      </c>
      <c r="B363" s="4">
        <v>74111</v>
      </c>
      <c r="C363" s="4" t="s">
        <v>504</v>
      </c>
      <c r="D363" s="4" t="s">
        <v>11</v>
      </c>
      <c r="E363" s="4" t="s">
        <v>115</v>
      </c>
      <c r="F363" s="4" t="s">
        <v>25</v>
      </c>
      <c r="G363" s="5">
        <v>45487</v>
      </c>
      <c r="H363" s="4" t="s">
        <v>46</v>
      </c>
      <c r="I363" t="s">
        <v>755</v>
      </c>
      <c r="J363" s="6">
        <v>6700</v>
      </c>
      <c r="K363" s="6">
        <v>12500</v>
      </c>
      <c r="L363" s="4">
        <v>12</v>
      </c>
    </row>
    <row r="364" spans="1:12" x14ac:dyDescent="0.3">
      <c r="A364" s="16">
        <v>363</v>
      </c>
      <c r="B364" s="4">
        <v>74114</v>
      </c>
      <c r="C364" s="4" t="s">
        <v>505</v>
      </c>
      <c r="D364" s="4" t="s">
        <v>11</v>
      </c>
      <c r="E364" s="4" t="s">
        <v>115</v>
      </c>
      <c r="F364" s="4" t="s">
        <v>335</v>
      </c>
      <c r="G364" s="5">
        <v>44384</v>
      </c>
      <c r="H364" s="4" t="s">
        <v>46</v>
      </c>
      <c r="I364" t="s">
        <v>755</v>
      </c>
      <c r="J364" s="6">
        <v>8066</v>
      </c>
      <c r="K364" s="6">
        <v>14549</v>
      </c>
      <c r="L364" s="4">
        <v>8</v>
      </c>
    </row>
    <row r="365" spans="1:12" x14ac:dyDescent="0.3">
      <c r="A365" s="16">
        <v>364</v>
      </c>
      <c r="B365" s="4">
        <v>74115</v>
      </c>
      <c r="C365" s="4" t="s">
        <v>506</v>
      </c>
      <c r="D365" s="4" t="s">
        <v>11</v>
      </c>
      <c r="E365" s="4" t="s">
        <v>115</v>
      </c>
      <c r="F365" s="4" t="s">
        <v>25</v>
      </c>
      <c r="G365" s="5">
        <v>44503</v>
      </c>
      <c r="H365" s="4" t="s">
        <v>46</v>
      </c>
      <c r="I365" t="s">
        <v>756</v>
      </c>
      <c r="J365" s="6">
        <v>7303</v>
      </c>
      <c r="K365" s="6">
        <v>13405</v>
      </c>
      <c r="L365" s="4">
        <v>8</v>
      </c>
    </row>
    <row r="366" spans="1:12" x14ac:dyDescent="0.3">
      <c r="A366" s="16">
        <v>365</v>
      </c>
      <c r="B366" s="4">
        <v>74116</v>
      </c>
      <c r="C366" s="4" t="s">
        <v>507</v>
      </c>
      <c r="D366" s="4" t="s">
        <v>11</v>
      </c>
      <c r="E366" s="4" t="s">
        <v>115</v>
      </c>
      <c r="F366" s="4" t="s">
        <v>25</v>
      </c>
      <c r="G366" s="5">
        <v>44506</v>
      </c>
      <c r="H366" s="4" t="s">
        <v>46</v>
      </c>
      <c r="I366" t="s">
        <v>755</v>
      </c>
      <c r="J366" s="6">
        <v>7303</v>
      </c>
      <c r="K366" s="6">
        <v>13405</v>
      </c>
      <c r="L366" s="4">
        <v>8</v>
      </c>
    </row>
    <row r="367" spans="1:12" x14ac:dyDescent="0.3">
      <c r="A367" s="16">
        <v>366</v>
      </c>
      <c r="B367" s="4">
        <v>74117</v>
      </c>
      <c r="C367" s="4" t="s">
        <v>508</v>
      </c>
      <c r="D367" s="4" t="s">
        <v>11</v>
      </c>
      <c r="E367" s="4" t="s">
        <v>115</v>
      </c>
      <c r="F367" s="4" t="s">
        <v>25</v>
      </c>
      <c r="G367" s="5">
        <v>44390</v>
      </c>
      <c r="H367" s="4" t="s">
        <v>46</v>
      </c>
      <c r="I367" t="s">
        <v>755</v>
      </c>
      <c r="J367" s="6">
        <v>7303</v>
      </c>
      <c r="K367" s="6">
        <v>13405</v>
      </c>
      <c r="L367" s="4">
        <v>8</v>
      </c>
    </row>
    <row r="368" spans="1:12" x14ac:dyDescent="0.3">
      <c r="A368" s="16">
        <v>367</v>
      </c>
      <c r="B368" s="4">
        <v>74118</v>
      </c>
      <c r="C368" s="4" t="s">
        <v>509</v>
      </c>
      <c r="D368" s="4" t="s">
        <v>11</v>
      </c>
      <c r="E368" s="4" t="s">
        <v>115</v>
      </c>
      <c r="F368" s="4" t="s">
        <v>200</v>
      </c>
      <c r="G368" s="5">
        <v>36968</v>
      </c>
      <c r="H368" s="4" t="s">
        <v>46</v>
      </c>
      <c r="I368" t="s">
        <v>756</v>
      </c>
      <c r="J368" s="6">
        <v>17080</v>
      </c>
      <c r="K368" s="6">
        <v>28070</v>
      </c>
      <c r="L368" s="4">
        <v>8</v>
      </c>
    </row>
    <row r="369" spans="1:12" x14ac:dyDescent="0.3">
      <c r="A369" s="16">
        <v>368</v>
      </c>
      <c r="B369" s="4">
        <v>74119</v>
      </c>
      <c r="C369" s="4" t="s">
        <v>510</v>
      </c>
      <c r="D369" s="4" t="s">
        <v>11</v>
      </c>
      <c r="E369" s="4" t="s">
        <v>115</v>
      </c>
      <c r="F369" s="4" t="s">
        <v>25</v>
      </c>
      <c r="G369" s="5">
        <v>44896</v>
      </c>
      <c r="H369" s="4" t="s">
        <v>46</v>
      </c>
      <c r="I369" t="s">
        <v>755</v>
      </c>
      <c r="J369" s="6">
        <v>7303</v>
      </c>
      <c r="K369" s="6">
        <v>13405</v>
      </c>
      <c r="L369" s="4">
        <v>12</v>
      </c>
    </row>
    <row r="370" spans="1:12" x14ac:dyDescent="0.3">
      <c r="A370" s="16">
        <v>369</v>
      </c>
      <c r="B370" s="4">
        <v>74121</v>
      </c>
      <c r="C370" s="4" t="s">
        <v>511</v>
      </c>
      <c r="D370" s="4" t="s">
        <v>11</v>
      </c>
      <c r="E370" s="4" t="s">
        <v>115</v>
      </c>
      <c r="F370" s="4" t="s">
        <v>25</v>
      </c>
      <c r="G370" s="5">
        <v>45117</v>
      </c>
      <c r="H370" s="4" t="s">
        <v>46</v>
      </c>
      <c r="I370" t="s">
        <v>756</v>
      </c>
      <c r="J370" s="6">
        <v>7303</v>
      </c>
      <c r="K370" s="6">
        <v>13405</v>
      </c>
      <c r="L370" s="4">
        <v>8</v>
      </c>
    </row>
    <row r="371" spans="1:12" x14ac:dyDescent="0.3">
      <c r="A371" s="16">
        <v>370</v>
      </c>
      <c r="B371" s="4">
        <v>74122</v>
      </c>
      <c r="C371" s="4" t="s">
        <v>512</v>
      </c>
      <c r="D371" s="4" t="s">
        <v>11</v>
      </c>
      <c r="E371" s="4" t="s">
        <v>115</v>
      </c>
      <c r="F371" s="4" t="s">
        <v>25</v>
      </c>
      <c r="G371" s="5">
        <v>44381</v>
      </c>
      <c r="H371" s="4" t="s">
        <v>46</v>
      </c>
      <c r="I371" t="s">
        <v>756</v>
      </c>
      <c r="J371" s="6">
        <v>7303</v>
      </c>
      <c r="K371" s="6">
        <v>13405</v>
      </c>
      <c r="L371" s="4">
        <v>12</v>
      </c>
    </row>
    <row r="372" spans="1:12" x14ac:dyDescent="0.3">
      <c r="A372" s="16">
        <v>371</v>
      </c>
      <c r="B372" s="4">
        <v>74019</v>
      </c>
      <c r="C372" s="4" t="s">
        <v>513</v>
      </c>
      <c r="D372" s="4" t="s">
        <v>11</v>
      </c>
      <c r="E372" s="4" t="s">
        <v>119</v>
      </c>
      <c r="F372" s="4" t="s">
        <v>25</v>
      </c>
      <c r="G372" s="5">
        <v>44994</v>
      </c>
      <c r="H372" s="4" t="s">
        <v>46</v>
      </c>
      <c r="I372" t="s">
        <v>756</v>
      </c>
      <c r="J372" s="6">
        <v>7303</v>
      </c>
      <c r="K372" s="6">
        <v>13405</v>
      </c>
      <c r="L372" s="4">
        <v>8</v>
      </c>
    </row>
    <row r="373" spans="1:12" x14ac:dyDescent="0.3">
      <c r="A373" s="16">
        <v>372</v>
      </c>
      <c r="B373" s="4">
        <v>74021</v>
      </c>
      <c r="C373" s="4" t="s">
        <v>514</v>
      </c>
      <c r="D373" s="4" t="s">
        <v>11</v>
      </c>
      <c r="E373" s="4" t="s">
        <v>119</v>
      </c>
      <c r="F373" s="4" t="s">
        <v>25</v>
      </c>
      <c r="G373" s="5">
        <v>44994</v>
      </c>
      <c r="H373" s="4" t="s">
        <v>46</v>
      </c>
      <c r="I373" t="s">
        <v>755</v>
      </c>
      <c r="J373" s="6">
        <v>7303</v>
      </c>
      <c r="K373" s="6">
        <v>13405</v>
      </c>
      <c r="L373" s="4">
        <v>8</v>
      </c>
    </row>
    <row r="374" spans="1:12" x14ac:dyDescent="0.3">
      <c r="A374" s="16">
        <v>373</v>
      </c>
      <c r="B374" s="4">
        <v>74047</v>
      </c>
      <c r="C374" s="4" t="s">
        <v>515</v>
      </c>
      <c r="D374" s="4" t="s">
        <v>11</v>
      </c>
      <c r="E374" s="4" t="s">
        <v>119</v>
      </c>
      <c r="F374" s="4" t="s">
        <v>25</v>
      </c>
      <c r="G374" s="5">
        <v>44385</v>
      </c>
      <c r="H374" s="4" t="s">
        <v>46</v>
      </c>
      <c r="I374" t="s">
        <v>755</v>
      </c>
      <c r="J374" s="6">
        <v>7303</v>
      </c>
      <c r="K374" s="6">
        <v>13405</v>
      </c>
      <c r="L374" s="4">
        <v>8</v>
      </c>
    </row>
    <row r="375" spans="1:12" x14ac:dyDescent="0.3">
      <c r="A375" s="16">
        <v>374</v>
      </c>
      <c r="B375" s="4">
        <v>74049</v>
      </c>
      <c r="C375" s="4" t="s">
        <v>516</v>
      </c>
      <c r="D375" s="4" t="s">
        <v>11</v>
      </c>
      <c r="E375" s="4" t="s">
        <v>119</v>
      </c>
      <c r="F375" s="4" t="s">
        <v>25</v>
      </c>
      <c r="G375" s="5">
        <v>43195</v>
      </c>
      <c r="H375" s="4" t="s">
        <v>46</v>
      </c>
      <c r="I375" t="s">
        <v>756</v>
      </c>
      <c r="J375" s="6">
        <v>7412</v>
      </c>
      <c r="K375" s="6">
        <v>13568</v>
      </c>
      <c r="L375" s="4">
        <v>12</v>
      </c>
    </row>
    <row r="376" spans="1:12" x14ac:dyDescent="0.3">
      <c r="A376" s="16">
        <v>375</v>
      </c>
      <c r="B376" s="4">
        <v>74050</v>
      </c>
      <c r="C376" s="4" t="s">
        <v>517</v>
      </c>
      <c r="D376" s="4" t="s">
        <v>11</v>
      </c>
      <c r="E376" s="4" t="s">
        <v>119</v>
      </c>
      <c r="F376" s="4" t="s">
        <v>120</v>
      </c>
      <c r="G376" s="5">
        <v>40656</v>
      </c>
      <c r="H376" s="4" t="s">
        <v>46</v>
      </c>
      <c r="I376" t="s">
        <v>755</v>
      </c>
      <c r="J376" s="6">
        <v>7910</v>
      </c>
      <c r="K376" s="6">
        <v>14315</v>
      </c>
      <c r="L376" s="4">
        <v>12</v>
      </c>
    </row>
    <row r="377" spans="1:12" x14ac:dyDescent="0.3">
      <c r="A377" s="16">
        <v>376</v>
      </c>
      <c r="B377" s="4">
        <v>74052</v>
      </c>
      <c r="C377" s="4" t="s">
        <v>518</v>
      </c>
      <c r="D377" s="4" t="s">
        <v>11</v>
      </c>
      <c r="E377" s="4" t="s">
        <v>119</v>
      </c>
      <c r="F377" s="4" t="s">
        <v>120</v>
      </c>
      <c r="G377" s="5">
        <v>39387</v>
      </c>
      <c r="H377" s="4" t="s">
        <v>46</v>
      </c>
      <c r="I377" t="s">
        <v>755</v>
      </c>
      <c r="J377" s="6">
        <v>9270</v>
      </c>
      <c r="K377" s="6">
        <v>16355</v>
      </c>
      <c r="L377" s="4">
        <v>8</v>
      </c>
    </row>
    <row r="378" spans="1:12" x14ac:dyDescent="0.3">
      <c r="A378" s="16">
        <v>377</v>
      </c>
      <c r="B378" s="4">
        <v>74053</v>
      </c>
      <c r="C378" s="4" t="s">
        <v>519</v>
      </c>
      <c r="D378" s="4" t="s">
        <v>11</v>
      </c>
      <c r="E378" s="4" t="s">
        <v>119</v>
      </c>
      <c r="F378" s="4" t="s">
        <v>120</v>
      </c>
      <c r="G378" s="5">
        <v>42754</v>
      </c>
      <c r="H378" s="4" t="s">
        <v>46</v>
      </c>
      <c r="I378" t="s">
        <v>756</v>
      </c>
      <c r="J378" s="6">
        <v>7412</v>
      </c>
      <c r="K378" s="6">
        <v>13568</v>
      </c>
      <c r="L378" s="4">
        <v>8</v>
      </c>
    </row>
    <row r="379" spans="1:12" x14ac:dyDescent="0.3">
      <c r="A379" s="16">
        <v>378</v>
      </c>
      <c r="B379" s="4">
        <v>74054</v>
      </c>
      <c r="C379" s="4" t="s">
        <v>520</v>
      </c>
      <c r="D379" s="4" t="s">
        <v>11</v>
      </c>
      <c r="E379" s="4" t="s">
        <v>119</v>
      </c>
      <c r="F379" s="4" t="s">
        <v>120</v>
      </c>
      <c r="G379" s="5">
        <v>42754</v>
      </c>
      <c r="H379" s="4" t="s">
        <v>46</v>
      </c>
      <c r="I379" t="s">
        <v>755</v>
      </c>
      <c r="J379" s="6">
        <v>7412</v>
      </c>
      <c r="K379" s="6">
        <v>13568</v>
      </c>
      <c r="L379" s="4">
        <v>8</v>
      </c>
    </row>
    <row r="380" spans="1:12" x14ac:dyDescent="0.3">
      <c r="A380" s="16">
        <v>379</v>
      </c>
      <c r="B380" s="4">
        <v>74055</v>
      </c>
      <c r="C380" s="4" t="s">
        <v>521</v>
      </c>
      <c r="D380" s="4" t="s">
        <v>11</v>
      </c>
      <c r="E380" s="4" t="s">
        <v>119</v>
      </c>
      <c r="F380" s="4" t="s">
        <v>120</v>
      </c>
      <c r="G380" s="5">
        <v>41655</v>
      </c>
      <c r="H380" s="4" t="s">
        <v>46</v>
      </c>
      <c r="I380" t="s">
        <v>755</v>
      </c>
      <c r="J380" s="6">
        <v>7412</v>
      </c>
      <c r="K380" s="6">
        <v>13568</v>
      </c>
      <c r="L380" s="4">
        <v>12</v>
      </c>
    </row>
    <row r="381" spans="1:12" x14ac:dyDescent="0.3">
      <c r="A381" s="16">
        <v>380</v>
      </c>
      <c r="B381" s="4">
        <v>74057</v>
      </c>
      <c r="C381" s="4" t="s">
        <v>522</v>
      </c>
      <c r="D381" s="4" t="s">
        <v>11</v>
      </c>
      <c r="E381" s="4" t="s">
        <v>119</v>
      </c>
      <c r="F381" s="4" t="s">
        <v>120</v>
      </c>
      <c r="G381" s="5">
        <v>43283</v>
      </c>
      <c r="H381" s="4" t="s">
        <v>46</v>
      </c>
      <c r="I381" t="s">
        <v>756</v>
      </c>
      <c r="J381" s="6">
        <v>7412</v>
      </c>
      <c r="K381" s="6">
        <v>13568</v>
      </c>
      <c r="L381" s="4">
        <v>12</v>
      </c>
    </row>
    <row r="382" spans="1:12" x14ac:dyDescent="0.3">
      <c r="A382" s="16">
        <v>381</v>
      </c>
      <c r="B382" s="4">
        <v>74059</v>
      </c>
      <c r="C382" s="4" t="s">
        <v>523</v>
      </c>
      <c r="D382" s="4" t="s">
        <v>11</v>
      </c>
      <c r="E382" s="4" t="s">
        <v>119</v>
      </c>
      <c r="F382" s="4" t="s">
        <v>116</v>
      </c>
      <c r="G382" s="5">
        <v>42723</v>
      </c>
      <c r="H382" s="4" t="s">
        <v>46</v>
      </c>
      <c r="I382" t="s">
        <v>755</v>
      </c>
      <c r="J382" s="6">
        <v>8591</v>
      </c>
      <c r="K382" s="6">
        <v>15337</v>
      </c>
      <c r="L382" s="4">
        <v>8</v>
      </c>
    </row>
    <row r="383" spans="1:12" x14ac:dyDescent="0.3">
      <c r="A383" s="16">
        <v>382</v>
      </c>
      <c r="B383" s="4">
        <v>74062</v>
      </c>
      <c r="C383" s="4" t="s">
        <v>524</v>
      </c>
      <c r="D383" s="4" t="s">
        <v>11</v>
      </c>
      <c r="E383" s="4" t="s">
        <v>119</v>
      </c>
      <c r="F383" s="4" t="s">
        <v>116</v>
      </c>
      <c r="G383" s="5">
        <v>40442</v>
      </c>
      <c r="H383" s="4" t="s">
        <v>46</v>
      </c>
      <c r="I383" t="s">
        <v>756</v>
      </c>
      <c r="J383" s="6">
        <v>9076</v>
      </c>
      <c r="K383" s="6">
        <v>16064</v>
      </c>
      <c r="L383" s="4">
        <v>8</v>
      </c>
    </row>
    <row r="384" spans="1:12" x14ac:dyDescent="0.3">
      <c r="A384" s="16">
        <v>383</v>
      </c>
      <c r="B384" s="4">
        <v>74064</v>
      </c>
      <c r="C384" s="4" t="s">
        <v>525</v>
      </c>
      <c r="D384" s="4" t="s">
        <v>11</v>
      </c>
      <c r="E384" s="4" t="s">
        <v>119</v>
      </c>
      <c r="F384" s="4" t="s">
        <v>25</v>
      </c>
      <c r="G384" s="5">
        <v>43082</v>
      </c>
      <c r="H384" s="4" t="s">
        <v>46</v>
      </c>
      <c r="I384" t="s">
        <v>756</v>
      </c>
      <c r="J384" s="6">
        <v>7412</v>
      </c>
      <c r="K384" s="6">
        <v>13568</v>
      </c>
      <c r="L384" s="4">
        <v>8</v>
      </c>
    </row>
    <row r="385" spans="1:12" x14ac:dyDescent="0.3">
      <c r="A385" s="16">
        <v>384</v>
      </c>
      <c r="B385" s="4">
        <v>74067</v>
      </c>
      <c r="C385" s="4" t="s">
        <v>526</v>
      </c>
      <c r="D385" s="4" t="s">
        <v>11</v>
      </c>
      <c r="E385" s="4" t="s">
        <v>119</v>
      </c>
      <c r="F385" s="4" t="s">
        <v>25</v>
      </c>
      <c r="G385" s="5">
        <v>43051</v>
      </c>
      <c r="H385" s="4" t="s">
        <v>46</v>
      </c>
      <c r="I385" t="s">
        <v>756</v>
      </c>
      <c r="J385" s="6">
        <v>7412</v>
      </c>
      <c r="K385" s="6">
        <v>13568</v>
      </c>
      <c r="L385" s="4">
        <v>8</v>
      </c>
    </row>
    <row r="386" spans="1:12" x14ac:dyDescent="0.3">
      <c r="A386" s="16">
        <v>385</v>
      </c>
      <c r="B386" s="4">
        <v>74069</v>
      </c>
      <c r="C386" s="4" t="s">
        <v>527</v>
      </c>
      <c r="D386" s="4" t="s">
        <v>11</v>
      </c>
      <c r="E386" s="4" t="s">
        <v>119</v>
      </c>
      <c r="F386" s="4" t="s">
        <v>25</v>
      </c>
      <c r="G386" s="5">
        <v>44370</v>
      </c>
      <c r="H386" s="4" t="s">
        <v>46</v>
      </c>
      <c r="I386" t="s">
        <v>755</v>
      </c>
      <c r="J386" s="6">
        <v>7303</v>
      </c>
      <c r="K386" s="6">
        <v>13405</v>
      </c>
      <c r="L386" s="4">
        <v>8</v>
      </c>
    </row>
    <row r="387" spans="1:12" x14ac:dyDescent="0.3">
      <c r="A387" s="16">
        <v>386</v>
      </c>
      <c r="B387" s="4">
        <v>74100</v>
      </c>
      <c r="C387" s="4" t="s">
        <v>528</v>
      </c>
      <c r="D387" s="4" t="s">
        <v>11</v>
      </c>
      <c r="E387" s="4" t="s">
        <v>119</v>
      </c>
      <c r="F387" s="4" t="s">
        <v>25</v>
      </c>
      <c r="G387" s="5">
        <v>43078</v>
      </c>
      <c r="H387" s="4" t="s">
        <v>46</v>
      </c>
      <c r="I387" t="s">
        <v>755</v>
      </c>
      <c r="J387" s="6">
        <v>7412</v>
      </c>
      <c r="K387" s="6">
        <v>13568</v>
      </c>
      <c r="L387" s="4">
        <v>12</v>
      </c>
    </row>
    <row r="388" spans="1:12" x14ac:dyDescent="0.3">
      <c r="A388" s="16">
        <v>387</v>
      </c>
      <c r="B388" s="4">
        <v>74101</v>
      </c>
      <c r="C388" s="4" t="s">
        <v>529</v>
      </c>
      <c r="D388" s="4" t="s">
        <v>11</v>
      </c>
      <c r="E388" s="4" t="s">
        <v>119</v>
      </c>
      <c r="F388" s="4" t="s">
        <v>25</v>
      </c>
      <c r="G388" s="5">
        <v>43078</v>
      </c>
      <c r="H388" s="4" t="s">
        <v>46</v>
      </c>
      <c r="I388" t="s">
        <v>756</v>
      </c>
      <c r="J388" s="6">
        <v>7412</v>
      </c>
      <c r="K388" s="6">
        <v>13568</v>
      </c>
      <c r="L388" s="4">
        <v>8</v>
      </c>
    </row>
    <row r="389" spans="1:12" x14ac:dyDescent="0.3">
      <c r="A389" s="16">
        <v>388</v>
      </c>
      <c r="B389" s="4">
        <v>74102</v>
      </c>
      <c r="C389" s="4" t="s">
        <v>530</v>
      </c>
      <c r="D389" s="4" t="s">
        <v>11</v>
      </c>
      <c r="E389" s="4" t="s">
        <v>119</v>
      </c>
      <c r="F389" s="4" t="s">
        <v>25</v>
      </c>
      <c r="G389" s="5">
        <v>44440</v>
      </c>
      <c r="H389" s="4" t="s">
        <v>46</v>
      </c>
      <c r="I389" t="s">
        <v>755</v>
      </c>
      <c r="J389" s="6">
        <v>7303</v>
      </c>
      <c r="K389" s="6">
        <v>13405</v>
      </c>
      <c r="L389" s="4">
        <v>12</v>
      </c>
    </row>
    <row r="390" spans="1:12" x14ac:dyDescent="0.3">
      <c r="A390" s="16">
        <v>389</v>
      </c>
      <c r="B390" s="4">
        <v>70974</v>
      </c>
      <c r="C390" s="4" t="s">
        <v>389</v>
      </c>
      <c r="D390" s="4" t="s">
        <v>11</v>
      </c>
      <c r="E390" s="4" t="s">
        <v>119</v>
      </c>
      <c r="F390" s="4" t="s">
        <v>116</v>
      </c>
      <c r="G390" s="5">
        <v>43074</v>
      </c>
      <c r="H390" s="4" t="s">
        <v>46</v>
      </c>
      <c r="I390" t="s">
        <v>755</v>
      </c>
      <c r="J390" s="6">
        <v>8591</v>
      </c>
      <c r="K390" s="6">
        <v>15337</v>
      </c>
      <c r="L390" s="4">
        <v>8</v>
      </c>
    </row>
    <row r="391" spans="1:12" x14ac:dyDescent="0.3">
      <c r="A391" s="16">
        <v>390</v>
      </c>
      <c r="B391" s="4">
        <v>70949</v>
      </c>
      <c r="C391" s="4" t="s">
        <v>531</v>
      </c>
      <c r="D391" s="4" t="s">
        <v>11</v>
      </c>
      <c r="E391" s="4" t="s">
        <v>119</v>
      </c>
      <c r="F391" s="4" t="s">
        <v>120</v>
      </c>
      <c r="G391" s="5">
        <v>44766</v>
      </c>
      <c r="H391" s="4" t="s">
        <v>46</v>
      </c>
      <c r="I391" t="s">
        <v>756</v>
      </c>
      <c r="J391" s="6">
        <v>7303</v>
      </c>
      <c r="K391" s="6">
        <v>13405</v>
      </c>
      <c r="L391" s="4">
        <v>8</v>
      </c>
    </row>
    <row r="392" spans="1:12" x14ac:dyDescent="0.3">
      <c r="A392" s="16">
        <v>391</v>
      </c>
      <c r="B392" s="4">
        <v>70940</v>
      </c>
      <c r="C392" s="4" t="s">
        <v>532</v>
      </c>
      <c r="D392" s="4" t="s">
        <v>11</v>
      </c>
      <c r="E392" s="4" t="s">
        <v>119</v>
      </c>
      <c r="F392" s="4" t="s">
        <v>25</v>
      </c>
      <c r="G392" s="5">
        <v>44726</v>
      </c>
      <c r="H392" s="4" t="s">
        <v>46</v>
      </c>
      <c r="I392" t="s">
        <v>755</v>
      </c>
      <c r="J392" s="6">
        <v>7303</v>
      </c>
      <c r="K392" s="6">
        <v>13405</v>
      </c>
      <c r="L392" s="4">
        <v>8</v>
      </c>
    </row>
    <row r="393" spans="1:12" x14ac:dyDescent="0.3">
      <c r="A393" s="16">
        <v>392</v>
      </c>
      <c r="B393" s="4">
        <v>70957</v>
      </c>
      <c r="C393" s="4" t="s">
        <v>533</v>
      </c>
      <c r="D393" s="4" t="s">
        <v>11</v>
      </c>
      <c r="E393" s="4" t="s">
        <v>119</v>
      </c>
      <c r="F393" s="4" t="s">
        <v>25</v>
      </c>
      <c r="G393" s="5">
        <v>44776</v>
      </c>
      <c r="H393" s="4" t="s">
        <v>46</v>
      </c>
      <c r="I393" t="s">
        <v>756</v>
      </c>
      <c r="J393" s="6">
        <v>7303</v>
      </c>
      <c r="K393" s="6">
        <v>13405</v>
      </c>
      <c r="L393" s="4">
        <v>12</v>
      </c>
    </row>
    <row r="394" spans="1:12" x14ac:dyDescent="0.3">
      <c r="A394" s="16">
        <v>393</v>
      </c>
      <c r="B394" s="4">
        <v>70925</v>
      </c>
      <c r="C394" s="4" t="s">
        <v>534</v>
      </c>
      <c r="D394" s="4" t="s">
        <v>11</v>
      </c>
      <c r="E394" s="4" t="s">
        <v>119</v>
      </c>
      <c r="F394" s="4" t="s">
        <v>25</v>
      </c>
      <c r="G394" s="5">
        <v>44713</v>
      </c>
      <c r="H394" s="4" t="s">
        <v>46</v>
      </c>
      <c r="I394" t="s">
        <v>756</v>
      </c>
      <c r="J394" s="6">
        <v>7303</v>
      </c>
      <c r="K394" s="6">
        <v>13405</v>
      </c>
      <c r="L394" s="4">
        <v>12</v>
      </c>
    </row>
    <row r="395" spans="1:12" x14ac:dyDescent="0.3">
      <c r="A395" s="16">
        <v>394</v>
      </c>
      <c r="B395" s="4">
        <v>70930</v>
      </c>
      <c r="C395" s="4" t="s">
        <v>535</v>
      </c>
      <c r="D395" s="4" t="s">
        <v>11</v>
      </c>
      <c r="E395" s="4" t="s">
        <v>119</v>
      </c>
      <c r="F395" s="4" t="s">
        <v>25</v>
      </c>
      <c r="G395" s="5">
        <v>44714</v>
      </c>
      <c r="H395" s="4" t="s">
        <v>46</v>
      </c>
      <c r="I395" t="s">
        <v>756</v>
      </c>
      <c r="J395" s="6">
        <v>7303</v>
      </c>
      <c r="K395" s="6">
        <v>13405</v>
      </c>
      <c r="L395" s="4">
        <v>8</v>
      </c>
    </row>
    <row r="396" spans="1:12" x14ac:dyDescent="0.3">
      <c r="A396" s="16">
        <v>395</v>
      </c>
      <c r="B396" s="4">
        <v>70924</v>
      </c>
      <c r="C396" s="4" t="s">
        <v>536</v>
      </c>
      <c r="D396" s="4" t="s">
        <v>11</v>
      </c>
      <c r="E396" s="4" t="s">
        <v>119</v>
      </c>
      <c r="F396" s="4" t="s">
        <v>25</v>
      </c>
      <c r="G396" s="5">
        <v>44713</v>
      </c>
      <c r="H396" s="4" t="s">
        <v>46</v>
      </c>
      <c r="I396" t="s">
        <v>755</v>
      </c>
      <c r="J396" s="6">
        <v>7303</v>
      </c>
      <c r="K396" s="6">
        <v>13405</v>
      </c>
      <c r="L396" s="4">
        <v>8</v>
      </c>
    </row>
    <row r="397" spans="1:12" x14ac:dyDescent="0.3">
      <c r="A397" s="16">
        <v>396</v>
      </c>
      <c r="B397" s="4">
        <v>70928</v>
      </c>
      <c r="C397" s="4" t="s">
        <v>537</v>
      </c>
      <c r="D397" s="4" t="s">
        <v>11</v>
      </c>
      <c r="E397" s="4" t="s">
        <v>119</v>
      </c>
      <c r="F397" s="4" t="s">
        <v>25</v>
      </c>
      <c r="G397" s="5">
        <v>44713</v>
      </c>
      <c r="H397" s="4" t="s">
        <v>46</v>
      </c>
      <c r="I397" t="s">
        <v>755</v>
      </c>
      <c r="J397" s="6">
        <v>7303</v>
      </c>
      <c r="K397" s="6">
        <v>13405</v>
      </c>
      <c r="L397" s="4">
        <v>8</v>
      </c>
    </row>
    <row r="398" spans="1:12" x14ac:dyDescent="0.3">
      <c r="A398" s="16">
        <v>397</v>
      </c>
      <c r="B398" s="4">
        <v>70935</v>
      </c>
      <c r="C398" s="4" t="s">
        <v>538</v>
      </c>
      <c r="D398" s="4" t="s">
        <v>11</v>
      </c>
      <c r="E398" s="4" t="s">
        <v>119</v>
      </c>
      <c r="F398" s="4" t="s">
        <v>25</v>
      </c>
      <c r="G398" s="5">
        <v>44716</v>
      </c>
      <c r="H398" s="4" t="s">
        <v>46</v>
      </c>
      <c r="I398" t="s">
        <v>756</v>
      </c>
      <c r="J398" s="6">
        <v>7303</v>
      </c>
      <c r="K398" s="6">
        <v>13405</v>
      </c>
      <c r="L398" s="4">
        <v>12</v>
      </c>
    </row>
    <row r="399" spans="1:12" x14ac:dyDescent="0.3">
      <c r="A399" s="16">
        <v>398</v>
      </c>
      <c r="B399" s="4">
        <v>70937</v>
      </c>
      <c r="C399" s="4" t="s">
        <v>539</v>
      </c>
      <c r="D399" s="4" t="s">
        <v>11</v>
      </c>
      <c r="E399" s="4" t="s">
        <v>119</v>
      </c>
      <c r="F399" s="4" t="s">
        <v>25</v>
      </c>
      <c r="G399" s="5">
        <v>44718</v>
      </c>
      <c r="H399" s="4" t="s">
        <v>46</v>
      </c>
      <c r="I399" t="s">
        <v>755</v>
      </c>
      <c r="J399" s="6">
        <v>7303</v>
      </c>
      <c r="K399" s="6">
        <v>13405</v>
      </c>
      <c r="L399" s="4">
        <v>12</v>
      </c>
    </row>
    <row r="400" spans="1:12" x14ac:dyDescent="0.3">
      <c r="A400" s="16">
        <v>399</v>
      </c>
      <c r="B400" s="4">
        <v>90018</v>
      </c>
      <c r="C400" s="4" t="s">
        <v>540</v>
      </c>
      <c r="D400" s="4" t="s">
        <v>11</v>
      </c>
      <c r="E400" s="4" t="s">
        <v>119</v>
      </c>
      <c r="F400" s="4" t="s">
        <v>321</v>
      </c>
      <c r="G400" s="5">
        <v>42319</v>
      </c>
      <c r="H400" s="4" t="s">
        <v>46</v>
      </c>
      <c r="I400" t="s">
        <v>755</v>
      </c>
      <c r="J400" s="6">
        <v>7666</v>
      </c>
      <c r="K400" s="6">
        <v>13949</v>
      </c>
      <c r="L400" s="4">
        <v>8</v>
      </c>
    </row>
    <row r="401" spans="1:12" x14ac:dyDescent="0.3">
      <c r="A401" s="16">
        <v>400</v>
      </c>
      <c r="B401" s="4">
        <v>70664</v>
      </c>
      <c r="C401" s="4" t="s">
        <v>541</v>
      </c>
      <c r="D401" s="4" t="s">
        <v>11</v>
      </c>
      <c r="E401" s="4" t="s">
        <v>119</v>
      </c>
      <c r="F401" s="4" t="s">
        <v>116</v>
      </c>
      <c r="G401" s="5">
        <v>37879</v>
      </c>
      <c r="H401" s="4" t="s">
        <v>46</v>
      </c>
      <c r="I401" t="s">
        <v>756</v>
      </c>
      <c r="J401" s="6">
        <v>10100</v>
      </c>
      <c r="K401" s="6">
        <v>17600</v>
      </c>
      <c r="L401" s="4">
        <v>8</v>
      </c>
    </row>
    <row r="402" spans="1:12" x14ac:dyDescent="0.3">
      <c r="A402" s="16">
        <v>401</v>
      </c>
      <c r="B402" s="4">
        <v>70556</v>
      </c>
      <c r="C402" s="4" t="s">
        <v>336</v>
      </c>
      <c r="D402" s="4" t="s">
        <v>11</v>
      </c>
      <c r="E402" s="4" t="s">
        <v>119</v>
      </c>
      <c r="F402" s="4" t="s">
        <v>341</v>
      </c>
      <c r="G402" s="5">
        <v>43165</v>
      </c>
      <c r="H402" s="4" t="s">
        <v>46</v>
      </c>
      <c r="I402" t="s">
        <v>755</v>
      </c>
      <c r="J402" s="6">
        <v>7412</v>
      </c>
      <c r="K402" s="6">
        <v>13568</v>
      </c>
      <c r="L402" s="4">
        <v>8</v>
      </c>
    </row>
    <row r="403" spans="1:12" x14ac:dyDescent="0.3">
      <c r="A403" s="16">
        <v>402</v>
      </c>
      <c r="B403" s="4">
        <v>70559</v>
      </c>
      <c r="C403" s="4" t="s">
        <v>542</v>
      </c>
      <c r="D403" s="4" t="s">
        <v>11</v>
      </c>
      <c r="E403" s="4" t="s">
        <v>119</v>
      </c>
      <c r="F403" s="4" t="s">
        <v>341</v>
      </c>
      <c r="G403" s="5">
        <v>43173</v>
      </c>
      <c r="H403" s="4" t="s">
        <v>46</v>
      </c>
      <c r="I403" t="s">
        <v>755</v>
      </c>
      <c r="J403" s="6">
        <v>7412</v>
      </c>
      <c r="K403" s="6">
        <v>13568</v>
      </c>
      <c r="L403" s="4">
        <v>8</v>
      </c>
    </row>
    <row r="404" spans="1:12" x14ac:dyDescent="0.3">
      <c r="A404" s="16">
        <v>403</v>
      </c>
      <c r="B404" s="4">
        <v>70569</v>
      </c>
      <c r="C404" s="4" t="s">
        <v>543</v>
      </c>
      <c r="D404" s="4" t="s">
        <v>11</v>
      </c>
      <c r="E404" s="4" t="s">
        <v>119</v>
      </c>
      <c r="F404" s="4" t="s">
        <v>120</v>
      </c>
      <c r="G404" s="5">
        <v>40438</v>
      </c>
      <c r="H404" s="4" t="s">
        <v>46</v>
      </c>
      <c r="I404" t="s">
        <v>756</v>
      </c>
      <c r="J404" s="6">
        <v>8963</v>
      </c>
      <c r="K404" s="6">
        <v>15895</v>
      </c>
      <c r="L404" s="4">
        <v>8</v>
      </c>
    </row>
    <row r="405" spans="1:12" x14ac:dyDescent="0.3">
      <c r="A405" s="16">
        <v>404</v>
      </c>
      <c r="B405" s="4">
        <v>70571</v>
      </c>
      <c r="C405" s="4" t="s">
        <v>544</v>
      </c>
      <c r="D405" s="4" t="s">
        <v>11</v>
      </c>
      <c r="E405" s="4" t="s">
        <v>119</v>
      </c>
      <c r="F405" s="4" t="s">
        <v>120</v>
      </c>
      <c r="G405" s="5">
        <v>40710</v>
      </c>
      <c r="H405" s="4" t="s">
        <v>46</v>
      </c>
      <c r="I405" t="s">
        <v>755</v>
      </c>
      <c r="J405" s="6">
        <v>8492</v>
      </c>
      <c r="K405" s="6">
        <v>15188</v>
      </c>
      <c r="L405" s="4">
        <v>12</v>
      </c>
    </row>
    <row r="406" spans="1:12" x14ac:dyDescent="0.3">
      <c r="A406" s="16">
        <v>405</v>
      </c>
      <c r="B406" s="4">
        <v>70576</v>
      </c>
      <c r="C406" s="4" t="s">
        <v>545</v>
      </c>
      <c r="D406" s="4" t="s">
        <v>11</v>
      </c>
      <c r="E406" s="4" t="s">
        <v>119</v>
      </c>
      <c r="F406" s="4" t="s">
        <v>120</v>
      </c>
      <c r="G406" s="5">
        <v>41447</v>
      </c>
      <c r="H406" s="4" t="s">
        <v>46</v>
      </c>
      <c r="I406" t="s">
        <v>755</v>
      </c>
      <c r="J406" s="6">
        <v>7412</v>
      </c>
      <c r="K406" s="6">
        <v>13568</v>
      </c>
      <c r="L406" s="4">
        <v>8</v>
      </c>
    </row>
    <row r="407" spans="1:12" x14ac:dyDescent="0.3">
      <c r="A407" s="16">
        <v>406</v>
      </c>
      <c r="B407" s="4">
        <v>70588</v>
      </c>
      <c r="C407" s="4" t="s">
        <v>546</v>
      </c>
      <c r="D407" s="4" t="s">
        <v>11</v>
      </c>
      <c r="E407" s="4" t="s">
        <v>119</v>
      </c>
      <c r="F407" s="4" t="s">
        <v>120</v>
      </c>
      <c r="G407" s="5">
        <v>40642</v>
      </c>
      <c r="H407" s="4" t="s">
        <v>46</v>
      </c>
      <c r="I407" t="s">
        <v>756</v>
      </c>
      <c r="J407" s="6">
        <v>8364</v>
      </c>
      <c r="K407" s="6">
        <v>14996</v>
      </c>
      <c r="L407" s="4">
        <v>12</v>
      </c>
    </row>
    <row r="408" spans="1:12" x14ac:dyDescent="0.3">
      <c r="A408" s="16">
        <v>407</v>
      </c>
      <c r="B408" s="4">
        <v>70599</v>
      </c>
      <c r="C408" s="4" t="s">
        <v>547</v>
      </c>
      <c r="D408" s="4" t="s">
        <v>11</v>
      </c>
      <c r="E408" s="4" t="s">
        <v>119</v>
      </c>
      <c r="F408" s="4" t="s">
        <v>120</v>
      </c>
      <c r="G408" s="5">
        <v>42927</v>
      </c>
      <c r="H408" s="4" t="s">
        <v>46</v>
      </c>
      <c r="I408" t="s">
        <v>756</v>
      </c>
      <c r="J408" s="6">
        <v>7412</v>
      </c>
      <c r="K408" s="6">
        <v>13568</v>
      </c>
      <c r="L408" s="4">
        <v>8</v>
      </c>
    </row>
    <row r="409" spans="1:12" x14ac:dyDescent="0.3">
      <c r="A409" s="16">
        <v>408</v>
      </c>
      <c r="B409" s="4">
        <v>70601</v>
      </c>
      <c r="C409" s="4" t="s">
        <v>548</v>
      </c>
      <c r="D409" s="4" t="s">
        <v>11</v>
      </c>
      <c r="E409" s="4" t="s">
        <v>119</v>
      </c>
      <c r="F409" s="4" t="s">
        <v>120</v>
      </c>
      <c r="G409" s="5">
        <v>41001</v>
      </c>
      <c r="H409" s="4" t="s">
        <v>46</v>
      </c>
      <c r="I409" t="s">
        <v>756</v>
      </c>
      <c r="J409" s="6">
        <v>7910</v>
      </c>
      <c r="K409" s="6">
        <v>14315</v>
      </c>
      <c r="L409" s="4">
        <v>8</v>
      </c>
    </row>
    <row r="410" spans="1:12" x14ac:dyDescent="0.3">
      <c r="A410" s="16">
        <v>409</v>
      </c>
      <c r="B410" s="4">
        <v>70602</v>
      </c>
      <c r="C410" s="4" t="s">
        <v>549</v>
      </c>
      <c r="D410" s="4" t="s">
        <v>11</v>
      </c>
      <c r="E410" s="4" t="s">
        <v>119</v>
      </c>
      <c r="F410" s="4" t="s">
        <v>120</v>
      </c>
      <c r="G410" s="5">
        <v>42954</v>
      </c>
      <c r="H410" s="4" t="s">
        <v>46</v>
      </c>
      <c r="I410" t="s">
        <v>755</v>
      </c>
      <c r="J410" s="6">
        <v>7412</v>
      </c>
      <c r="K410" s="6">
        <v>13568</v>
      </c>
      <c r="L410" s="4">
        <v>8</v>
      </c>
    </row>
    <row r="411" spans="1:12" x14ac:dyDescent="0.3">
      <c r="A411" s="16">
        <v>410</v>
      </c>
      <c r="B411" s="4">
        <v>70609</v>
      </c>
      <c r="C411" s="4" t="s">
        <v>550</v>
      </c>
      <c r="D411" s="4" t="s">
        <v>11</v>
      </c>
      <c r="E411" s="4" t="s">
        <v>119</v>
      </c>
      <c r="F411" s="4" t="s">
        <v>120</v>
      </c>
      <c r="G411" s="5">
        <v>42095</v>
      </c>
      <c r="H411" s="4" t="s">
        <v>46</v>
      </c>
      <c r="I411" t="s">
        <v>755</v>
      </c>
      <c r="J411" s="6">
        <v>7412</v>
      </c>
      <c r="K411" s="6">
        <v>13568</v>
      </c>
      <c r="L411" s="4">
        <v>12</v>
      </c>
    </row>
    <row r="412" spans="1:12" x14ac:dyDescent="0.3">
      <c r="A412" s="16">
        <v>411</v>
      </c>
      <c r="B412" s="4">
        <v>70690</v>
      </c>
      <c r="C412" s="4" t="s">
        <v>551</v>
      </c>
      <c r="D412" s="4" t="s">
        <v>11</v>
      </c>
      <c r="E412" s="4" t="s">
        <v>119</v>
      </c>
      <c r="F412" s="4" t="s">
        <v>341</v>
      </c>
      <c r="G412" s="5">
        <v>43831</v>
      </c>
      <c r="H412" s="4" t="s">
        <v>46</v>
      </c>
      <c r="I412" t="s">
        <v>756</v>
      </c>
      <c r="J412" s="6">
        <v>7303</v>
      </c>
      <c r="K412" s="6">
        <v>13405</v>
      </c>
      <c r="L412" s="4">
        <v>12</v>
      </c>
    </row>
    <row r="413" spans="1:12" x14ac:dyDescent="0.3">
      <c r="A413" s="16">
        <v>412</v>
      </c>
      <c r="B413" s="4">
        <v>90022</v>
      </c>
      <c r="C413" s="4" t="s">
        <v>552</v>
      </c>
      <c r="D413" s="4" t="s">
        <v>11</v>
      </c>
      <c r="E413" s="4" t="s">
        <v>119</v>
      </c>
      <c r="F413" s="4" t="s">
        <v>321</v>
      </c>
      <c r="G413" s="5">
        <v>43020</v>
      </c>
      <c r="H413" s="4" t="s">
        <v>46</v>
      </c>
      <c r="I413" t="s">
        <v>755</v>
      </c>
      <c r="J413" s="6">
        <v>7594</v>
      </c>
      <c r="K413" s="6">
        <v>13841</v>
      </c>
      <c r="L413" s="4">
        <v>8</v>
      </c>
    </row>
    <row r="414" spans="1:12" x14ac:dyDescent="0.3">
      <c r="A414" s="16">
        <v>413</v>
      </c>
      <c r="B414" s="4">
        <v>70691</v>
      </c>
      <c r="C414" s="4" t="s">
        <v>553</v>
      </c>
      <c r="D414" s="4" t="s">
        <v>11</v>
      </c>
      <c r="E414" s="4" t="s">
        <v>119</v>
      </c>
      <c r="F414" s="4" t="s">
        <v>341</v>
      </c>
      <c r="G414" s="5">
        <v>43831</v>
      </c>
      <c r="H414" s="4" t="s">
        <v>46</v>
      </c>
      <c r="I414" t="s">
        <v>755</v>
      </c>
      <c r="J414" s="6">
        <v>7303</v>
      </c>
      <c r="K414" s="6">
        <v>13405</v>
      </c>
      <c r="L414" s="4">
        <v>8</v>
      </c>
    </row>
    <row r="415" spans="1:12" x14ac:dyDescent="0.3">
      <c r="A415" s="16">
        <v>414</v>
      </c>
      <c r="B415" s="4">
        <v>70704</v>
      </c>
      <c r="C415" s="4" t="s">
        <v>554</v>
      </c>
      <c r="D415" s="4" t="s">
        <v>11</v>
      </c>
      <c r="E415" s="4" t="s">
        <v>119</v>
      </c>
      <c r="F415" s="4" t="s">
        <v>341</v>
      </c>
      <c r="G415" s="5">
        <v>43835</v>
      </c>
      <c r="H415" s="4" t="s">
        <v>46</v>
      </c>
      <c r="I415" t="s">
        <v>756</v>
      </c>
      <c r="J415" s="6">
        <v>7303</v>
      </c>
      <c r="K415" s="6">
        <v>13405</v>
      </c>
      <c r="L415" s="4">
        <v>8</v>
      </c>
    </row>
    <row r="416" spans="1:12" x14ac:dyDescent="0.3">
      <c r="A416" s="16">
        <v>415</v>
      </c>
      <c r="B416" s="4">
        <v>70799</v>
      </c>
      <c r="C416" s="4" t="s">
        <v>555</v>
      </c>
      <c r="D416" s="4" t="s">
        <v>11</v>
      </c>
      <c r="E416" s="4" t="s">
        <v>119</v>
      </c>
      <c r="F416" s="4" t="s">
        <v>116</v>
      </c>
      <c r="G416" s="5">
        <v>42401</v>
      </c>
      <c r="H416" s="4" t="s">
        <v>46</v>
      </c>
      <c r="I416" t="s">
        <v>755</v>
      </c>
      <c r="J416" s="6">
        <v>8591</v>
      </c>
      <c r="K416" s="6">
        <v>15337</v>
      </c>
      <c r="L416" s="4">
        <v>12</v>
      </c>
    </row>
    <row r="417" spans="1:12" x14ac:dyDescent="0.3">
      <c r="A417" s="16">
        <v>416</v>
      </c>
      <c r="B417" s="4">
        <v>70868</v>
      </c>
      <c r="C417" s="4" t="s">
        <v>556</v>
      </c>
      <c r="D417" s="4" t="s">
        <v>11</v>
      </c>
      <c r="E417" s="4" t="s">
        <v>119</v>
      </c>
      <c r="F417" s="4" t="s">
        <v>25</v>
      </c>
      <c r="G417" s="5">
        <v>44471</v>
      </c>
      <c r="H417" s="4" t="s">
        <v>46</v>
      </c>
      <c r="I417" t="s">
        <v>756</v>
      </c>
      <c r="J417" s="6">
        <v>7303</v>
      </c>
      <c r="K417" s="6">
        <v>13405</v>
      </c>
      <c r="L417" s="4">
        <v>12</v>
      </c>
    </row>
    <row r="418" spans="1:12" x14ac:dyDescent="0.3">
      <c r="A418" s="16">
        <v>417</v>
      </c>
      <c r="B418" s="4">
        <v>70870</v>
      </c>
      <c r="C418" s="4" t="s">
        <v>557</v>
      </c>
      <c r="D418" s="4" t="s">
        <v>11</v>
      </c>
      <c r="E418" s="4" t="s">
        <v>119</v>
      </c>
      <c r="F418" s="4" t="s">
        <v>25</v>
      </c>
      <c r="G418" s="5">
        <v>44471</v>
      </c>
      <c r="H418" s="4" t="s">
        <v>46</v>
      </c>
      <c r="I418" t="s">
        <v>756</v>
      </c>
      <c r="J418" s="6">
        <v>7303</v>
      </c>
      <c r="K418" s="6">
        <v>13405</v>
      </c>
      <c r="L418" s="4">
        <v>8</v>
      </c>
    </row>
    <row r="419" spans="1:12" x14ac:dyDescent="0.3">
      <c r="A419" s="16">
        <v>418</v>
      </c>
      <c r="B419" s="4">
        <v>70817</v>
      </c>
      <c r="C419" s="4" t="s">
        <v>558</v>
      </c>
      <c r="D419" s="4" t="s">
        <v>11</v>
      </c>
      <c r="E419" s="4" t="s">
        <v>119</v>
      </c>
      <c r="F419" s="4" t="s">
        <v>25</v>
      </c>
      <c r="G419" s="5">
        <v>44258</v>
      </c>
      <c r="H419" s="4" t="s">
        <v>46</v>
      </c>
      <c r="I419" t="s">
        <v>756</v>
      </c>
      <c r="J419" s="6">
        <v>7303</v>
      </c>
      <c r="K419" s="6">
        <v>13405</v>
      </c>
      <c r="L419" s="4">
        <v>8</v>
      </c>
    </row>
    <row r="420" spans="1:12" x14ac:dyDescent="0.3">
      <c r="A420" s="16">
        <v>419</v>
      </c>
      <c r="B420" s="4">
        <v>70814</v>
      </c>
      <c r="C420" s="4" t="s">
        <v>559</v>
      </c>
      <c r="D420" s="4" t="s">
        <v>11</v>
      </c>
      <c r="E420" s="4" t="s">
        <v>119</v>
      </c>
      <c r="F420" s="4" t="s">
        <v>25</v>
      </c>
      <c r="G420" s="5">
        <v>44257</v>
      </c>
      <c r="H420" s="4" t="s">
        <v>46</v>
      </c>
      <c r="I420" t="s">
        <v>755</v>
      </c>
      <c r="J420" s="6">
        <v>7303</v>
      </c>
      <c r="K420" s="6">
        <v>13405</v>
      </c>
      <c r="L420" s="4">
        <v>8</v>
      </c>
    </row>
    <row r="421" spans="1:12" x14ac:dyDescent="0.3">
      <c r="A421" s="16">
        <v>420</v>
      </c>
      <c r="B421" s="4">
        <v>70533</v>
      </c>
      <c r="C421" s="4" t="s">
        <v>560</v>
      </c>
      <c r="D421" s="4" t="s">
        <v>11</v>
      </c>
      <c r="E421" s="4" t="s">
        <v>119</v>
      </c>
      <c r="F421" s="4" t="s">
        <v>561</v>
      </c>
      <c r="G421" s="5">
        <v>36771</v>
      </c>
      <c r="H421" s="4" t="s">
        <v>46</v>
      </c>
      <c r="I421" t="s">
        <v>755</v>
      </c>
      <c r="J421" s="6">
        <v>9383</v>
      </c>
      <c r="K421" s="6">
        <v>16524</v>
      </c>
      <c r="L421" s="4">
        <v>8</v>
      </c>
    </row>
    <row r="422" spans="1:12" x14ac:dyDescent="0.3">
      <c r="A422" s="16">
        <v>421</v>
      </c>
      <c r="B422" s="4">
        <v>70534</v>
      </c>
      <c r="C422" s="4" t="s">
        <v>562</v>
      </c>
      <c r="D422" s="4" t="s">
        <v>11</v>
      </c>
      <c r="E422" s="4" t="s">
        <v>119</v>
      </c>
      <c r="F422" s="4" t="s">
        <v>116</v>
      </c>
      <c r="G422" s="5">
        <v>39135</v>
      </c>
      <c r="H422" s="4" t="s">
        <v>46</v>
      </c>
      <c r="I422" t="s">
        <v>756</v>
      </c>
      <c r="J422" s="6">
        <v>9379</v>
      </c>
      <c r="K422" s="6">
        <v>16519</v>
      </c>
      <c r="L422" s="4">
        <v>8</v>
      </c>
    </row>
    <row r="423" spans="1:12" x14ac:dyDescent="0.3">
      <c r="A423" s="16">
        <v>422</v>
      </c>
      <c r="B423" s="4">
        <v>70541</v>
      </c>
      <c r="C423" s="4" t="s">
        <v>563</v>
      </c>
      <c r="D423" s="4" t="s">
        <v>11</v>
      </c>
      <c r="E423" s="4" t="s">
        <v>119</v>
      </c>
      <c r="F423" s="4" t="s">
        <v>120</v>
      </c>
      <c r="G423" s="5">
        <v>43191</v>
      </c>
      <c r="H423" s="4" t="s">
        <v>46</v>
      </c>
      <c r="I423" t="s">
        <v>755</v>
      </c>
      <c r="J423" s="6">
        <v>7412</v>
      </c>
      <c r="K423" s="6">
        <v>13568</v>
      </c>
      <c r="L423" s="4">
        <v>12</v>
      </c>
    </row>
    <row r="424" spans="1:12" x14ac:dyDescent="0.3">
      <c r="A424" s="16">
        <v>423</v>
      </c>
      <c r="B424" s="4">
        <v>70544</v>
      </c>
      <c r="C424" s="4" t="s">
        <v>564</v>
      </c>
      <c r="D424" s="4" t="s">
        <v>11</v>
      </c>
      <c r="E424" s="4" t="s">
        <v>119</v>
      </c>
      <c r="F424" s="4" t="s">
        <v>341</v>
      </c>
      <c r="G424" s="5">
        <v>43163</v>
      </c>
      <c r="H424" s="4" t="s">
        <v>46</v>
      </c>
      <c r="I424" t="s">
        <v>755</v>
      </c>
      <c r="J424" s="6">
        <v>7412</v>
      </c>
      <c r="K424" s="6">
        <v>13568</v>
      </c>
      <c r="L424" s="4">
        <v>8</v>
      </c>
    </row>
    <row r="425" spans="1:12" x14ac:dyDescent="0.3">
      <c r="A425" s="16">
        <v>424</v>
      </c>
      <c r="B425" s="4">
        <v>70548</v>
      </c>
      <c r="C425" s="4" t="s">
        <v>565</v>
      </c>
      <c r="D425" s="4" t="s">
        <v>11</v>
      </c>
      <c r="E425" s="4" t="s">
        <v>119</v>
      </c>
      <c r="F425" s="4" t="s">
        <v>341</v>
      </c>
      <c r="G425" s="5">
        <v>43283</v>
      </c>
      <c r="H425" s="4" t="s">
        <v>46</v>
      </c>
      <c r="I425" t="s">
        <v>756</v>
      </c>
      <c r="J425" s="6">
        <v>7412</v>
      </c>
      <c r="K425" s="6">
        <v>13568</v>
      </c>
      <c r="L425" s="4">
        <v>12</v>
      </c>
    </row>
    <row r="426" spans="1:12" x14ac:dyDescent="0.3">
      <c r="A426" s="16">
        <v>425</v>
      </c>
      <c r="B426" s="4">
        <v>70549</v>
      </c>
      <c r="C426" s="4" t="s">
        <v>566</v>
      </c>
      <c r="D426" s="4" t="s">
        <v>11</v>
      </c>
      <c r="E426" s="4" t="s">
        <v>119</v>
      </c>
      <c r="F426" s="4" t="s">
        <v>341</v>
      </c>
      <c r="G426" s="5">
        <v>43376</v>
      </c>
      <c r="H426" s="4" t="s">
        <v>46</v>
      </c>
      <c r="I426" t="s">
        <v>755</v>
      </c>
      <c r="J426" s="6">
        <v>7412</v>
      </c>
      <c r="K426" s="6">
        <v>13568</v>
      </c>
      <c r="L426" s="4">
        <v>8</v>
      </c>
    </row>
    <row r="427" spans="1:12" x14ac:dyDescent="0.3">
      <c r="A427" s="16">
        <v>426</v>
      </c>
      <c r="B427" s="4">
        <v>70527</v>
      </c>
      <c r="C427" s="4" t="s">
        <v>567</v>
      </c>
      <c r="D427" s="4" t="s">
        <v>11</v>
      </c>
      <c r="E427" s="4" t="s">
        <v>119</v>
      </c>
      <c r="F427" s="4" t="s">
        <v>341</v>
      </c>
      <c r="G427" s="5">
        <v>40152</v>
      </c>
      <c r="H427" s="4" t="s">
        <v>46</v>
      </c>
      <c r="I427" t="s">
        <v>755</v>
      </c>
      <c r="J427" s="6">
        <v>9316</v>
      </c>
      <c r="K427" s="6">
        <v>16424</v>
      </c>
      <c r="L427" s="4">
        <v>8</v>
      </c>
    </row>
    <row r="428" spans="1:12" x14ac:dyDescent="0.3">
      <c r="A428" s="16">
        <v>427</v>
      </c>
      <c r="B428" s="4">
        <v>70528</v>
      </c>
      <c r="C428" s="4" t="s">
        <v>568</v>
      </c>
      <c r="D428" s="4" t="s">
        <v>11</v>
      </c>
      <c r="E428" s="4" t="s">
        <v>119</v>
      </c>
      <c r="F428" s="4" t="s">
        <v>341</v>
      </c>
      <c r="G428" s="5">
        <v>40229</v>
      </c>
      <c r="H428" s="4" t="s">
        <v>46</v>
      </c>
      <c r="I428" t="s">
        <v>756</v>
      </c>
      <c r="J428" s="6">
        <v>8806</v>
      </c>
      <c r="K428" s="6">
        <v>15659</v>
      </c>
      <c r="L428" s="4">
        <v>8</v>
      </c>
    </row>
    <row r="429" spans="1:12" x14ac:dyDescent="0.3">
      <c r="A429" s="16">
        <v>428</v>
      </c>
      <c r="B429" s="4">
        <v>70531</v>
      </c>
      <c r="C429" s="4" t="s">
        <v>384</v>
      </c>
      <c r="D429" s="4" t="s">
        <v>11</v>
      </c>
      <c r="E429" s="4" t="s">
        <v>119</v>
      </c>
      <c r="F429" s="4" t="s">
        <v>116</v>
      </c>
      <c r="G429" s="5">
        <v>42110</v>
      </c>
      <c r="H429" s="4" t="s">
        <v>46</v>
      </c>
      <c r="I429" t="s">
        <v>755</v>
      </c>
      <c r="J429" s="6">
        <v>8591</v>
      </c>
      <c r="K429" s="6">
        <v>15337</v>
      </c>
      <c r="L429" s="4">
        <v>12</v>
      </c>
    </row>
    <row r="430" spans="1:12" x14ac:dyDescent="0.3">
      <c r="A430" s="16">
        <v>429</v>
      </c>
      <c r="B430" s="4">
        <v>70482</v>
      </c>
      <c r="C430" s="4" t="s">
        <v>569</v>
      </c>
      <c r="D430" s="4" t="s">
        <v>11</v>
      </c>
      <c r="E430" s="4" t="s">
        <v>119</v>
      </c>
      <c r="F430" s="4" t="s">
        <v>343</v>
      </c>
      <c r="G430" s="5">
        <v>43345</v>
      </c>
      <c r="H430" s="4" t="s">
        <v>46</v>
      </c>
      <c r="I430" t="s">
        <v>755</v>
      </c>
      <c r="J430" s="6">
        <v>8591</v>
      </c>
      <c r="K430" s="6">
        <v>15337</v>
      </c>
      <c r="L430" s="4">
        <v>12</v>
      </c>
    </row>
    <row r="431" spans="1:12" x14ac:dyDescent="0.3">
      <c r="A431" s="16">
        <v>430</v>
      </c>
      <c r="B431" s="4">
        <v>70507</v>
      </c>
      <c r="C431" s="4" t="s">
        <v>570</v>
      </c>
      <c r="D431" s="4" t="s">
        <v>11</v>
      </c>
      <c r="E431" s="4" t="s">
        <v>119</v>
      </c>
      <c r="F431" s="4" t="s">
        <v>341</v>
      </c>
      <c r="G431" s="5">
        <v>43351</v>
      </c>
      <c r="H431" s="4" t="s">
        <v>46</v>
      </c>
      <c r="I431" t="s">
        <v>756</v>
      </c>
      <c r="J431" s="6">
        <v>7412</v>
      </c>
      <c r="K431" s="6">
        <v>13568</v>
      </c>
      <c r="L431" s="4">
        <v>8</v>
      </c>
    </row>
    <row r="432" spans="1:12" x14ac:dyDescent="0.3">
      <c r="A432" s="16">
        <v>431</v>
      </c>
      <c r="B432" s="4">
        <v>70523</v>
      </c>
      <c r="C432" s="4" t="s">
        <v>571</v>
      </c>
      <c r="D432" s="4" t="s">
        <v>11</v>
      </c>
      <c r="E432" s="4" t="s">
        <v>119</v>
      </c>
      <c r="F432" s="4" t="s">
        <v>341</v>
      </c>
      <c r="G432" s="5">
        <v>43374</v>
      </c>
      <c r="H432" s="4" t="s">
        <v>46</v>
      </c>
      <c r="I432" t="s">
        <v>756</v>
      </c>
      <c r="J432" s="6">
        <v>7412</v>
      </c>
      <c r="K432" s="6">
        <v>13568</v>
      </c>
      <c r="L432" s="4">
        <v>8</v>
      </c>
    </row>
    <row r="433" spans="1:12" x14ac:dyDescent="0.3">
      <c r="A433" s="16">
        <v>432</v>
      </c>
      <c r="B433" s="4">
        <v>70416</v>
      </c>
      <c r="C433" s="4" t="s">
        <v>572</v>
      </c>
      <c r="D433" s="4" t="s">
        <v>11</v>
      </c>
      <c r="E433" s="4" t="s">
        <v>119</v>
      </c>
      <c r="F433" s="4" t="s">
        <v>341</v>
      </c>
      <c r="G433" s="5">
        <v>43283</v>
      </c>
      <c r="H433" s="4" t="s">
        <v>46</v>
      </c>
      <c r="I433" t="s">
        <v>756</v>
      </c>
      <c r="J433" s="6">
        <v>7412</v>
      </c>
      <c r="K433" s="6">
        <v>13568</v>
      </c>
      <c r="L433" s="4">
        <v>12</v>
      </c>
    </row>
    <row r="434" spans="1:12" x14ac:dyDescent="0.3">
      <c r="A434" s="16">
        <v>433</v>
      </c>
      <c r="B434" s="4">
        <v>70390</v>
      </c>
      <c r="C434" s="4" t="s">
        <v>573</v>
      </c>
      <c r="D434" s="4" t="s">
        <v>11</v>
      </c>
      <c r="E434" s="4" t="s">
        <v>119</v>
      </c>
      <c r="F434" s="4" t="s">
        <v>341</v>
      </c>
      <c r="G434" s="5">
        <v>43282</v>
      </c>
      <c r="H434" s="4" t="s">
        <v>46</v>
      </c>
      <c r="I434" t="s">
        <v>755</v>
      </c>
      <c r="J434" s="6">
        <v>7412</v>
      </c>
      <c r="K434" s="6">
        <v>13568</v>
      </c>
      <c r="L434" s="4">
        <v>12</v>
      </c>
    </row>
    <row r="435" spans="1:12" x14ac:dyDescent="0.3">
      <c r="A435" s="16">
        <v>434</v>
      </c>
      <c r="B435" s="4">
        <v>70308</v>
      </c>
      <c r="C435" s="4" t="s">
        <v>388</v>
      </c>
      <c r="D435" s="4" t="s">
        <v>11</v>
      </c>
      <c r="E435" s="4" t="s">
        <v>119</v>
      </c>
      <c r="F435" s="4" t="s">
        <v>341</v>
      </c>
      <c r="G435" s="5">
        <v>43177</v>
      </c>
      <c r="H435" s="4" t="s">
        <v>46</v>
      </c>
      <c r="I435" t="s">
        <v>755</v>
      </c>
      <c r="J435" s="6">
        <v>7412</v>
      </c>
      <c r="K435" s="6">
        <v>13568</v>
      </c>
      <c r="L435" s="4">
        <v>8</v>
      </c>
    </row>
    <row r="436" spans="1:12" x14ac:dyDescent="0.3">
      <c r="A436" s="16">
        <v>435</v>
      </c>
      <c r="B436" s="4">
        <v>70346</v>
      </c>
      <c r="C436" s="4" t="s">
        <v>574</v>
      </c>
      <c r="D436" s="4" t="s">
        <v>11</v>
      </c>
      <c r="E436" s="4" t="s">
        <v>119</v>
      </c>
      <c r="F436" s="4" t="s">
        <v>341</v>
      </c>
      <c r="G436" s="5">
        <v>43193</v>
      </c>
      <c r="H436" s="4" t="s">
        <v>46</v>
      </c>
      <c r="I436" t="s">
        <v>756</v>
      </c>
      <c r="J436" s="6">
        <v>7412</v>
      </c>
      <c r="K436" s="6">
        <v>13568</v>
      </c>
      <c r="L436" s="4">
        <v>8</v>
      </c>
    </row>
    <row r="437" spans="1:12" x14ac:dyDescent="0.3">
      <c r="A437" s="16">
        <v>436</v>
      </c>
      <c r="B437" s="4">
        <v>70325</v>
      </c>
      <c r="C437" s="4" t="s">
        <v>575</v>
      </c>
      <c r="D437" s="4" t="s">
        <v>11</v>
      </c>
      <c r="E437" s="4" t="s">
        <v>119</v>
      </c>
      <c r="F437" s="4" t="s">
        <v>341</v>
      </c>
      <c r="G437" s="5">
        <v>43191</v>
      </c>
      <c r="H437" s="4" t="s">
        <v>46</v>
      </c>
      <c r="I437" t="s">
        <v>755</v>
      </c>
      <c r="J437" s="6">
        <v>7412</v>
      </c>
      <c r="K437" s="6">
        <v>13568</v>
      </c>
      <c r="L437" s="4">
        <v>8</v>
      </c>
    </row>
    <row r="438" spans="1:12" x14ac:dyDescent="0.3">
      <c r="A438" s="16">
        <v>437</v>
      </c>
      <c r="B438" s="4">
        <v>70376</v>
      </c>
      <c r="C438" s="4" t="s">
        <v>576</v>
      </c>
      <c r="D438" s="4" t="s">
        <v>11</v>
      </c>
      <c r="E438" s="4" t="s">
        <v>119</v>
      </c>
      <c r="F438" s="4" t="s">
        <v>341</v>
      </c>
      <c r="G438" s="5">
        <v>43209</v>
      </c>
      <c r="H438" s="4" t="s">
        <v>46</v>
      </c>
      <c r="I438" t="s">
        <v>755</v>
      </c>
      <c r="J438" s="6">
        <v>7412</v>
      </c>
      <c r="K438" s="6">
        <v>13568</v>
      </c>
      <c r="L438" s="4">
        <v>8</v>
      </c>
    </row>
    <row r="439" spans="1:12" x14ac:dyDescent="0.3">
      <c r="A439" s="16">
        <v>438</v>
      </c>
      <c r="B439" s="4">
        <v>70366</v>
      </c>
      <c r="C439" s="4" t="s">
        <v>577</v>
      </c>
      <c r="D439" s="4" t="s">
        <v>11</v>
      </c>
      <c r="E439" s="4" t="s">
        <v>119</v>
      </c>
      <c r="F439" s="4" t="s">
        <v>341</v>
      </c>
      <c r="G439" s="5">
        <v>43197</v>
      </c>
      <c r="H439" s="4" t="s">
        <v>46</v>
      </c>
      <c r="I439" t="s">
        <v>756</v>
      </c>
      <c r="J439" s="6">
        <v>7412</v>
      </c>
      <c r="K439" s="6">
        <v>13568</v>
      </c>
      <c r="L439" s="4">
        <v>8</v>
      </c>
    </row>
    <row r="440" spans="1:12" x14ac:dyDescent="0.3">
      <c r="A440" s="16">
        <v>439</v>
      </c>
      <c r="B440" s="4">
        <v>70339</v>
      </c>
      <c r="C440" s="4" t="s">
        <v>578</v>
      </c>
      <c r="D440" s="4" t="s">
        <v>11</v>
      </c>
      <c r="E440" s="4" t="s">
        <v>119</v>
      </c>
      <c r="F440" s="4" t="s">
        <v>341</v>
      </c>
      <c r="G440" s="5">
        <v>43192</v>
      </c>
      <c r="H440" s="4" t="s">
        <v>46</v>
      </c>
      <c r="I440" t="s">
        <v>755</v>
      </c>
      <c r="J440" s="6">
        <v>7412</v>
      </c>
      <c r="K440" s="6">
        <v>13568</v>
      </c>
      <c r="L440" s="4">
        <v>12</v>
      </c>
    </row>
    <row r="441" spans="1:12" x14ac:dyDescent="0.3">
      <c r="A441" s="16">
        <v>440</v>
      </c>
      <c r="B441" s="4">
        <v>70014</v>
      </c>
      <c r="C441" s="4" t="s">
        <v>579</v>
      </c>
      <c r="D441" s="4" t="s">
        <v>11</v>
      </c>
      <c r="E441" s="4" t="s">
        <v>119</v>
      </c>
      <c r="F441" s="4" t="s">
        <v>343</v>
      </c>
      <c r="G441" s="5">
        <v>39612</v>
      </c>
      <c r="H441" s="4" t="s">
        <v>46</v>
      </c>
      <c r="I441" t="s">
        <v>756</v>
      </c>
      <c r="J441" s="6">
        <v>9379</v>
      </c>
      <c r="K441" s="6">
        <v>16519</v>
      </c>
      <c r="L441" s="4">
        <v>8</v>
      </c>
    </row>
    <row r="442" spans="1:12" x14ac:dyDescent="0.3">
      <c r="A442" s="16">
        <v>441</v>
      </c>
      <c r="B442" s="4">
        <v>70120</v>
      </c>
      <c r="C442" s="4" t="s">
        <v>580</v>
      </c>
      <c r="D442" s="4" t="s">
        <v>11</v>
      </c>
      <c r="E442" s="4" t="s">
        <v>119</v>
      </c>
      <c r="F442" s="4" t="s">
        <v>341</v>
      </c>
      <c r="G442" s="5">
        <v>42095</v>
      </c>
      <c r="H442" s="4" t="s">
        <v>46</v>
      </c>
      <c r="I442" t="s">
        <v>756</v>
      </c>
      <c r="J442" s="6">
        <v>7412</v>
      </c>
      <c r="K442" s="6">
        <v>13568</v>
      </c>
      <c r="L442" s="4">
        <v>12</v>
      </c>
    </row>
    <row r="443" spans="1:12" x14ac:dyDescent="0.3">
      <c r="A443" s="16">
        <v>442</v>
      </c>
      <c r="B443" s="4">
        <v>70066</v>
      </c>
      <c r="C443" s="4" t="s">
        <v>581</v>
      </c>
      <c r="D443" s="4" t="s">
        <v>11</v>
      </c>
      <c r="E443" s="4" t="s">
        <v>119</v>
      </c>
      <c r="F443" s="4" t="s">
        <v>341</v>
      </c>
      <c r="G443" s="5">
        <v>41429</v>
      </c>
      <c r="H443" s="4" t="s">
        <v>46</v>
      </c>
      <c r="I443" t="s">
        <v>756</v>
      </c>
      <c r="J443" s="6">
        <v>7412</v>
      </c>
      <c r="K443" s="6">
        <v>13568</v>
      </c>
      <c r="L443" s="4">
        <v>8</v>
      </c>
    </row>
    <row r="444" spans="1:12" x14ac:dyDescent="0.3">
      <c r="A444" s="16">
        <v>443</v>
      </c>
      <c r="B444" s="4">
        <v>70206</v>
      </c>
      <c r="C444" s="4" t="s">
        <v>582</v>
      </c>
      <c r="D444" s="4" t="s">
        <v>11</v>
      </c>
      <c r="E444" s="4" t="s">
        <v>119</v>
      </c>
      <c r="F444" s="4" t="s">
        <v>341</v>
      </c>
      <c r="G444" s="5">
        <v>42826</v>
      </c>
      <c r="H444" s="4" t="s">
        <v>46</v>
      </c>
      <c r="I444" t="s">
        <v>755</v>
      </c>
      <c r="J444" s="6">
        <v>7412</v>
      </c>
      <c r="K444" s="6">
        <v>13568</v>
      </c>
      <c r="L444" s="4">
        <v>8</v>
      </c>
    </row>
    <row r="445" spans="1:12" x14ac:dyDescent="0.3">
      <c r="A445" s="16">
        <v>444</v>
      </c>
      <c r="B445" s="4">
        <v>70042</v>
      </c>
      <c r="C445" s="4" t="s">
        <v>412</v>
      </c>
      <c r="D445" s="4" t="s">
        <v>11</v>
      </c>
      <c r="E445" s="4" t="s">
        <v>119</v>
      </c>
      <c r="F445" s="4" t="s">
        <v>343</v>
      </c>
      <c r="G445" s="5">
        <v>40725</v>
      </c>
      <c r="H445" s="4" t="s">
        <v>46</v>
      </c>
      <c r="I445" t="s">
        <v>755</v>
      </c>
      <c r="J445" s="6">
        <v>9080</v>
      </c>
      <c r="K445" s="6">
        <v>16070</v>
      </c>
      <c r="L445" s="4">
        <v>8</v>
      </c>
    </row>
    <row r="446" spans="1:12" x14ac:dyDescent="0.3">
      <c r="A446" s="16">
        <v>445</v>
      </c>
      <c r="B446" s="4">
        <v>70196</v>
      </c>
      <c r="C446" s="4" t="s">
        <v>583</v>
      </c>
      <c r="D446" s="4" t="s">
        <v>11</v>
      </c>
      <c r="E446" s="4" t="s">
        <v>119</v>
      </c>
      <c r="F446" s="4" t="s">
        <v>120</v>
      </c>
      <c r="G446" s="5">
        <v>42826</v>
      </c>
      <c r="H446" s="4" t="s">
        <v>46</v>
      </c>
      <c r="I446" t="s">
        <v>756</v>
      </c>
      <c r="J446" s="6">
        <v>7412</v>
      </c>
      <c r="K446" s="6">
        <v>13568</v>
      </c>
      <c r="L446" s="4">
        <v>12</v>
      </c>
    </row>
    <row r="447" spans="1:12" x14ac:dyDescent="0.3">
      <c r="A447" s="16">
        <v>446</v>
      </c>
      <c r="B447" s="4">
        <v>70017</v>
      </c>
      <c r="C447" s="4" t="s">
        <v>584</v>
      </c>
      <c r="D447" s="4" t="s">
        <v>11</v>
      </c>
      <c r="E447" s="4" t="s">
        <v>119</v>
      </c>
      <c r="F447" s="4" t="s">
        <v>452</v>
      </c>
      <c r="G447" s="5">
        <v>39805</v>
      </c>
      <c r="H447" s="4" t="s">
        <v>46</v>
      </c>
      <c r="I447" t="s">
        <v>755</v>
      </c>
      <c r="J447" s="6">
        <v>9874</v>
      </c>
      <c r="K447" s="6">
        <v>17261</v>
      </c>
      <c r="L447" s="4">
        <v>12</v>
      </c>
    </row>
    <row r="448" spans="1:12" x14ac:dyDescent="0.3">
      <c r="A448" s="16">
        <v>447</v>
      </c>
      <c r="B448" s="4">
        <v>70016</v>
      </c>
      <c r="C448" s="4" t="s">
        <v>585</v>
      </c>
      <c r="D448" s="4" t="s">
        <v>11</v>
      </c>
      <c r="E448" s="4" t="s">
        <v>119</v>
      </c>
      <c r="F448" s="4" t="s">
        <v>335</v>
      </c>
      <c r="G448" s="5">
        <v>39612</v>
      </c>
      <c r="H448" s="4" t="s">
        <v>46</v>
      </c>
      <c r="I448" t="s">
        <v>755</v>
      </c>
      <c r="J448" s="6">
        <v>9836</v>
      </c>
      <c r="K448" s="6">
        <v>17204</v>
      </c>
      <c r="L448" s="4">
        <v>8</v>
      </c>
    </row>
    <row r="449" spans="1:12" x14ac:dyDescent="0.3">
      <c r="A449" s="16">
        <v>448</v>
      </c>
      <c r="B449" s="4">
        <v>70115</v>
      </c>
      <c r="C449" s="4" t="s">
        <v>586</v>
      </c>
      <c r="D449" s="4" t="s">
        <v>11</v>
      </c>
      <c r="E449" s="4" t="s">
        <v>119</v>
      </c>
      <c r="F449" s="4" t="s">
        <v>341</v>
      </c>
      <c r="G449" s="5">
        <v>42077</v>
      </c>
      <c r="H449" s="4" t="s">
        <v>46</v>
      </c>
      <c r="I449" t="s">
        <v>756</v>
      </c>
      <c r="J449" s="6">
        <v>7412</v>
      </c>
      <c r="K449" s="6">
        <v>13568</v>
      </c>
      <c r="L449" s="4">
        <v>8</v>
      </c>
    </row>
    <row r="450" spans="1:12" x14ac:dyDescent="0.3">
      <c r="A450" s="16">
        <v>449</v>
      </c>
      <c r="B450" s="4">
        <v>70198</v>
      </c>
      <c r="C450" s="4" t="s">
        <v>587</v>
      </c>
      <c r="D450" s="4" t="s">
        <v>11</v>
      </c>
      <c r="E450" s="4" t="s">
        <v>119</v>
      </c>
      <c r="F450" s="4" t="s">
        <v>341</v>
      </c>
      <c r="G450" s="5">
        <v>42826</v>
      </c>
      <c r="H450" s="4" t="s">
        <v>46</v>
      </c>
      <c r="I450" t="s">
        <v>755</v>
      </c>
      <c r="J450" s="6">
        <v>7412</v>
      </c>
      <c r="K450" s="6">
        <v>13568</v>
      </c>
      <c r="L450" s="4">
        <v>8</v>
      </c>
    </row>
    <row r="451" spans="1:12" x14ac:dyDescent="0.3">
      <c r="A451" s="16">
        <v>450</v>
      </c>
      <c r="B451" s="4">
        <v>70199</v>
      </c>
      <c r="C451" s="4" t="s">
        <v>588</v>
      </c>
      <c r="D451" s="4" t="s">
        <v>11</v>
      </c>
      <c r="E451" s="4" t="s">
        <v>119</v>
      </c>
      <c r="F451" s="4" t="s">
        <v>589</v>
      </c>
      <c r="G451" s="5">
        <v>42826</v>
      </c>
      <c r="H451" s="4" t="s">
        <v>46</v>
      </c>
      <c r="I451" t="s">
        <v>755</v>
      </c>
      <c r="J451" s="6">
        <v>8066</v>
      </c>
      <c r="K451" s="6">
        <v>14549</v>
      </c>
      <c r="L451" s="4">
        <v>12</v>
      </c>
    </row>
    <row r="452" spans="1:12" x14ac:dyDescent="0.3">
      <c r="A452" s="16">
        <v>451</v>
      </c>
      <c r="B452" s="4">
        <v>70922</v>
      </c>
      <c r="C452" s="4" t="s">
        <v>590</v>
      </c>
      <c r="D452" s="4" t="s">
        <v>59</v>
      </c>
      <c r="E452" s="4" t="s">
        <v>60</v>
      </c>
      <c r="F452" s="4" t="s">
        <v>591</v>
      </c>
      <c r="G452" s="5">
        <v>44692</v>
      </c>
      <c r="H452" s="4" t="s">
        <v>46</v>
      </c>
      <c r="I452" t="s">
        <v>756</v>
      </c>
      <c r="J452" s="6">
        <v>7303</v>
      </c>
      <c r="K452" s="6">
        <v>13405</v>
      </c>
      <c r="L452" s="4">
        <v>12</v>
      </c>
    </row>
    <row r="453" spans="1:12" x14ac:dyDescent="0.3">
      <c r="A453" s="16">
        <v>452</v>
      </c>
      <c r="B453" s="4">
        <v>90035</v>
      </c>
      <c r="C453" s="4" t="s">
        <v>592</v>
      </c>
      <c r="D453" s="4" t="s">
        <v>63</v>
      </c>
      <c r="E453" s="4" t="s">
        <v>320</v>
      </c>
      <c r="F453" s="4" t="s">
        <v>593</v>
      </c>
      <c r="G453" s="5">
        <v>44823</v>
      </c>
      <c r="H453" s="4" t="s">
        <v>46</v>
      </c>
      <c r="I453" t="s">
        <v>755</v>
      </c>
      <c r="J453" s="6">
        <v>7521</v>
      </c>
      <c r="K453" s="6">
        <v>13732</v>
      </c>
      <c r="L453" s="4">
        <v>8</v>
      </c>
    </row>
    <row r="454" spans="1:12" x14ac:dyDescent="0.3">
      <c r="A454" s="16">
        <v>453</v>
      </c>
      <c r="B454" s="4">
        <v>90023</v>
      </c>
      <c r="C454" s="4" t="s">
        <v>594</v>
      </c>
      <c r="D454" s="4" t="s">
        <v>63</v>
      </c>
      <c r="E454" s="4" t="s">
        <v>320</v>
      </c>
      <c r="F454" s="4" t="s">
        <v>321</v>
      </c>
      <c r="G454" s="5">
        <v>42828</v>
      </c>
      <c r="H454" s="4" t="s">
        <v>46</v>
      </c>
      <c r="I454" t="s">
        <v>755</v>
      </c>
      <c r="J454" s="6">
        <v>7594</v>
      </c>
      <c r="K454" s="6">
        <v>13841</v>
      </c>
      <c r="L454" s="4">
        <v>8</v>
      </c>
    </row>
    <row r="455" spans="1:12" x14ac:dyDescent="0.3">
      <c r="A455" s="16">
        <v>454</v>
      </c>
      <c r="B455" s="4">
        <v>90015</v>
      </c>
      <c r="C455" s="4" t="s">
        <v>595</v>
      </c>
      <c r="D455" s="4" t="s">
        <v>63</v>
      </c>
      <c r="E455" s="4" t="s">
        <v>320</v>
      </c>
      <c r="F455" s="4" t="s">
        <v>593</v>
      </c>
      <c r="G455" s="5">
        <v>42737</v>
      </c>
      <c r="H455" s="4" t="s">
        <v>46</v>
      </c>
      <c r="I455" t="s">
        <v>756</v>
      </c>
      <c r="J455" s="6">
        <v>7594</v>
      </c>
      <c r="K455" s="6">
        <v>13841</v>
      </c>
      <c r="L455" s="4">
        <v>8</v>
      </c>
    </row>
    <row r="456" spans="1:12" x14ac:dyDescent="0.3">
      <c r="A456" s="16">
        <v>455</v>
      </c>
      <c r="B456" s="4">
        <v>90013</v>
      </c>
      <c r="C456" s="4" t="s">
        <v>596</v>
      </c>
      <c r="D456" s="4" t="s">
        <v>63</v>
      </c>
      <c r="E456" s="4" t="s">
        <v>320</v>
      </c>
      <c r="F456" s="4" t="s">
        <v>321</v>
      </c>
      <c r="G456" s="5">
        <v>42736</v>
      </c>
      <c r="H456" s="4" t="s">
        <v>46</v>
      </c>
      <c r="I456" t="s">
        <v>756</v>
      </c>
      <c r="J456" s="6">
        <v>7594</v>
      </c>
      <c r="K456" s="6">
        <v>13841</v>
      </c>
      <c r="L456" s="4">
        <v>8</v>
      </c>
    </row>
    <row r="457" spans="1:12" x14ac:dyDescent="0.3">
      <c r="A457" s="16">
        <v>456</v>
      </c>
      <c r="B457" s="4">
        <v>70393</v>
      </c>
      <c r="C457" s="4" t="s">
        <v>597</v>
      </c>
      <c r="D457" s="4" t="s">
        <v>11</v>
      </c>
      <c r="E457" s="4" t="s">
        <v>193</v>
      </c>
      <c r="F457" s="4" t="s">
        <v>443</v>
      </c>
      <c r="G457" s="5">
        <v>42770</v>
      </c>
      <c r="H457" s="4" t="s">
        <v>46</v>
      </c>
      <c r="I457" t="s">
        <v>756</v>
      </c>
      <c r="J457" s="6">
        <v>7339</v>
      </c>
      <c r="K457" s="6">
        <v>13458</v>
      </c>
      <c r="L457" s="4">
        <v>8</v>
      </c>
    </row>
    <row r="458" spans="1:12" x14ac:dyDescent="0.3">
      <c r="A458" s="16">
        <v>457</v>
      </c>
      <c r="B458" s="4">
        <v>70192</v>
      </c>
      <c r="C458" s="4" t="s">
        <v>598</v>
      </c>
      <c r="D458" s="4" t="s">
        <v>11</v>
      </c>
      <c r="E458" s="4" t="s">
        <v>193</v>
      </c>
      <c r="F458" s="4" t="s">
        <v>599</v>
      </c>
      <c r="G458" s="5">
        <v>41986</v>
      </c>
      <c r="H458" s="4" t="s">
        <v>46</v>
      </c>
      <c r="I458" t="s">
        <v>755</v>
      </c>
      <c r="J458" s="6">
        <v>8591</v>
      </c>
      <c r="K458" s="6">
        <v>15337</v>
      </c>
      <c r="L458" s="4">
        <v>12</v>
      </c>
    </row>
    <row r="459" spans="1:12" x14ac:dyDescent="0.3">
      <c r="A459" s="16">
        <v>458</v>
      </c>
      <c r="B459" s="4">
        <v>70236</v>
      </c>
      <c r="C459" s="4" t="s">
        <v>600</v>
      </c>
      <c r="D459" s="4" t="s">
        <v>11</v>
      </c>
      <c r="E459" s="4" t="s">
        <v>193</v>
      </c>
      <c r="F459" s="4" t="s">
        <v>599</v>
      </c>
      <c r="G459" s="5">
        <v>42374</v>
      </c>
      <c r="H459" s="4" t="s">
        <v>46</v>
      </c>
      <c r="I459" t="s">
        <v>755</v>
      </c>
      <c r="J459" s="6">
        <v>8591</v>
      </c>
      <c r="K459" s="6">
        <v>15337</v>
      </c>
      <c r="L459" s="4">
        <v>8</v>
      </c>
    </row>
    <row r="460" spans="1:12" x14ac:dyDescent="0.3">
      <c r="A460" s="16">
        <v>459</v>
      </c>
      <c r="B460" s="4">
        <v>70100</v>
      </c>
      <c r="C460" s="4" t="s">
        <v>601</v>
      </c>
      <c r="D460" s="4" t="s">
        <v>11</v>
      </c>
      <c r="E460" s="4" t="s">
        <v>193</v>
      </c>
      <c r="F460" s="4" t="s">
        <v>602</v>
      </c>
      <c r="G460" s="5">
        <v>40696</v>
      </c>
      <c r="H460" s="4" t="s">
        <v>46</v>
      </c>
      <c r="I460" t="s">
        <v>756</v>
      </c>
      <c r="J460" s="6">
        <v>8851</v>
      </c>
      <c r="K460" s="6">
        <v>15726</v>
      </c>
      <c r="L460" s="4">
        <v>12</v>
      </c>
    </row>
    <row r="461" spans="1:12" x14ac:dyDescent="0.3">
      <c r="A461" s="16">
        <v>460</v>
      </c>
      <c r="B461" s="4">
        <v>70131</v>
      </c>
      <c r="C461" s="4" t="s">
        <v>603</v>
      </c>
      <c r="D461" s="4" t="s">
        <v>11</v>
      </c>
      <c r="E461" s="4" t="s">
        <v>193</v>
      </c>
      <c r="F461" s="4" t="s">
        <v>604</v>
      </c>
      <c r="G461" s="5">
        <v>41183</v>
      </c>
      <c r="H461" s="4" t="s">
        <v>46</v>
      </c>
      <c r="I461" t="s">
        <v>755</v>
      </c>
      <c r="J461" s="6">
        <v>8612</v>
      </c>
      <c r="K461" s="6">
        <v>15368</v>
      </c>
      <c r="L461" s="4">
        <v>8</v>
      </c>
    </row>
    <row r="462" spans="1:12" x14ac:dyDescent="0.3">
      <c r="A462" s="16">
        <v>461</v>
      </c>
      <c r="B462" s="4">
        <v>70181</v>
      </c>
      <c r="C462" s="4" t="s">
        <v>605</v>
      </c>
      <c r="D462" s="4" t="s">
        <v>11</v>
      </c>
      <c r="E462" s="4" t="s">
        <v>193</v>
      </c>
      <c r="F462" s="4" t="s">
        <v>202</v>
      </c>
      <c r="G462" s="5">
        <v>41654</v>
      </c>
      <c r="H462" s="4" t="s">
        <v>46</v>
      </c>
      <c r="I462" t="s">
        <v>755</v>
      </c>
      <c r="J462" s="6">
        <v>8591</v>
      </c>
      <c r="K462" s="6">
        <v>15337</v>
      </c>
      <c r="L462" s="4">
        <v>8</v>
      </c>
    </row>
    <row r="463" spans="1:12" x14ac:dyDescent="0.3">
      <c r="A463" s="16">
        <v>462</v>
      </c>
      <c r="B463" s="4">
        <v>70190</v>
      </c>
      <c r="C463" s="4" t="s">
        <v>606</v>
      </c>
      <c r="D463" s="4" t="s">
        <v>11</v>
      </c>
      <c r="E463" s="4" t="s">
        <v>193</v>
      </c>
      <c r="F463" s="4" t="s">
        <v>120</v>
      </c>
      <c r="G463" s="5">
        <v>41986</v>
      </c>
      <c r="H463" s="4" t="s">
        <v>46</v>
      </c>
      <c r="I463" t="s">
        <v>756</v>
      </c>
      <c r="J463" s="6">
        <v>7376</v>
      </c>
      <c r="K463" s="6">
        <v>13514</v>
      </c>
      <c r="L463" s="4">
        <v>8</v>
      </c>
    </row>
    <row r="464" spans="1:12" x14ac:dyDescent="0.3">
      <c r="A464" s="16">
        <v>463</v>
      </c>
      <c r="B464" s="4">
        <v>70068</v>
      </c>
      <c r="C464" s="4" t="s">
        <v>607</v>
      </c>
      <c r="D464" s="4" t="s">
        <v>11</v>
      </c>
      <c r="E464" s="4" t="s">
        <v>193</v>
      </c>
      <c r="F464" s="4" t="s">
        <v>281</v>
      </c>
      <c r="G464" s="5">
        <v>40225</v>
      </c>
      <c r="H464" s="4" t="s">
        <v>46</v>
      </c>
      <c r="I464" t="s">
        <v>755</v>
      </c>
      <c r="J464" s="6">
        <v>9461</v>
      </c>
      <c r="K464" s="6">
        <v>16642</v>
      </c>
      <c r="L464" s="4">
        <v>12</v>
      </c>
    </row>
    <row r="465" spans="1:12" x14ac:dyDescent="0.3">
      <c r="A465" s="16">
        <v>464</v>
      </c>
      <c r="B465" s="4">
        <v>70029</v>
      </c>
      <c r="C465" s="4" t="s">
        <v>608</v>
      </c>
      <c r="D465" s="4" t="s">
        <v>11</v>
      </c>
      <c r="E465" s="4" t="s">
        <v>193</v>
      </c>
      <c r="F465" s="4" t="s">
        <v>202</v>
      </c>
      <c r="G465" s="5">
        <v>39250</v>
      </c>
      <c r="H465" s="4" t="s">
        <v>46</v>
      </c>
      <c r="I465" t="s">
        <v>756</v>
      </c>
      <c r="J465" s="6">
        <v>10174</v>
      </c>
      <c r="K465" s="6">
        <v>17711</v>
      </c>
      <c r="L465" s="4">
        <v>12</v>
      </c>
    </row>
    <row r="466" spans="1:12" x14ac:dyDescent="0.3">
      <c r="A466" s="16">
        <v>465</v>
      </c>
      <c r="B466" s="4">
        <v>70030</v>
      </c>
      <c r="C466" s="4" t="s">
        <v>609</v>
      </c>
      <c r="D466" s="4" t="s">
        <v>11</v>
      </c>
      <c r="E466" s="4" t="s">
        <v>193</v>
      </c>
      <c r="F466" s="4" t="s">
        <v>610</v>
      </c>
      <c r="G466" s="5">
        <v>39266</v>
      </c>
      <c r="H466" s="4" t="s">
        <v>46</v>
      </c>
      <c r="I466" t="s">
        <v>756</v>
      </c>
      <c r="J466" s="6">
        <v>9498</v>
      </c>
      <c r="K466" s="6">
        <v>16697</v>
      </c>
      <c r="L466" s="4">
        <v>8</v>
      </c>
    </row>
    <row r="467" spans="1:12" x14ac:dyDescent="0.3">
      <c r="A467" s="16">
        <v>466</v>
      </c>
      <c r="B467" s="4">
        <v>70183</v>
      </c>
      <c r="C467" s="4" t="s">
        <v>611</v>
      </c>
      <c r="D467" s="4" t="s">
        <v>11</v>
      </c>
      <c r="E467" s="4" t="s">
        <v>193</v>
      </c>
      <c r="F467" s="4" t="s">
        <v>599</v>
      </c>
      <c r="G467" s="5">
        <v>41700</v>
      </c>
      <c r="H467" s="4" t="s">
        <v>46</v>
      </c>
      <c r="I467" t="s">
        <v>756</v>
      </c>
      <c r="J467" s="6">
        <v>8591</v>
      </c>
      <c r="K467" s="6">
        <v>15337</v>
      </c>
      <c r="L467" s="4">
        <v>8</v>
      </c>
    </row>
    <row r="468" spans="1:12" x14ac:dyDescent="0.3">
      <c r="A468" s="16">
        <v>467</v>
      </c>
      <c r="B468" s="4">
        <v>70133</v>
      </c>
      <c r="C468" s="4" t="s">
        <v>612</v>
      </c>
      <c r="D468" s="4" t="s">
        <v>11</v>
      </c>
      <c r="E468" s="4" t="s">
        <v>193</v>
      </c>
      <c r="F468" s="4" t="s">
        <v>604</v>
      </c>
      <c r="G468" s="5">
        <v>41220</v>
      </c>
      <c r="H468" s="4" t="s">
        <v>46</v>
      </c>
      <c r="I468" t="s">
        <v>755</v>
      </c>
      <c r="J468" s="6">
        <v>8612</v>
      </c>
      <c r="K468" s="6">
        <v>15368</v>
      </c>
      <c r="L468" s="4">
        <v>8</v>
      </c>
    </row>
    <row r="469" spans="1:12" x14ac:dyDescent="0.3">
      <c r="A469" s="16">
        <v>468</v>
      </c>
      <c r="B469" s="4">
        <v>70504</v>
      </c>
      <c r="C469" s="4" t="s">
        <v>613</v>
      </c>
      <c r="D469" s="4" t="s">
        <v>11</v>
      </c>
      <c r="E469" s="4" t="s">
        <v>193</v>
      </c>
      <c r="F469" s="4" t="s">
        <v>120</v>
      </c>
      <c r="G469" s="5">
        <v>42995</v>
      </c>
      <c r="H469" s="4" t="s">
        <v>46</v>
      </c>
      <c r="I469" t="s">
        <v>755</v>
      </c>
      <c r="J469" s="6">
        <v>7339</v>
      </c>
      <c r="K469" s="6">
        <v>13458</v>
      </c>
      <c r="L469" s="4">
        <v>12</v>
      </c>
    </row>
    <row r="470" spans="1:12" x14ac:dyDescent="0.3">
      <c r="A470" s="16">
        <v>469</v>
      </c>
      <c r="B470" s="4">
        <v>70786</v>
      </c>
      <c r="C470" s="4" t="s">
        <v>614</v>
      </c>
      <c r="D470" s="4" t="s">
        <v>11</v>
      </c>
      <c r="E470" s="4" t="s">
        <v>193</v>
      </c>
      <c r="F470" s="4" t="s">
        <v>604</v>
      </c>
      <c r="G470" s="5">
        <v>41710</v>
      </c>
      <c r="H470" s="4" t="s">
        <v>46</v>
      </c>
      <c r="I470" t="s">
        <v>756</v>
      </c>
      <c r="J470" s="6">
        <v>7910</v>
      </c>
      <c r="K470" s="6">
        <v>14315</v>
      </c>
      <c r="L470" s="4">
        <v>12</v>
      </c>
    </row>
    <row r="471" spans="1:12" x14ac:dyDescent="0.3">
      <c r="A471" s="16">
        <v>470</v>
      </c>
      <c r="B471" s="4">
        <v>70833</v>
      </c>
      <c r="C471" s="4" t="s">
        <v>615</v>
      </c>
      <c r="D471" s="4" t="s">
        <v>11</v>
      </c>
      <c r="E471" s="4" t="s">
        <v>193</v>
      </c>
      <c r="F471" s="4" t="s">
        <v>120</v>
      </c>
      <c r="G471" s="5">
        <v>44236</v>
      </c>
      <c r="H471" s="4" t="s">
        <v>46</v>
      </c>
      <c r="I471" t="s">
        <v>755</v>
      </c>
      <c r="J471" s="6">
        <v>7303</v>
      </c>
      <c r="K471" s="6">
        <v>13405</v>
      </c>
      <c r="L471" s="4">
        <v>8</v>
      </c>
    </row>
    <row r="472" spans="1:12" x14ac:dyDescent="0.3">
      <c r="A472" s="16">
        <v>471</v>
      </c>
      <c r="B472" s="4">
        <v>70835</v>
      </c>
      <c r="C472" s="4" t="s">
        <v>616</v>
      </c>
      <c r="D472" s="4" t="s">
        <v>11</v>
      </c>
      <c r="E472" s="4" t="s">
        <v>193</v>
      </c>
      <c r="F472" s="4" t="s">
        <v>120</v>
      </c>
      <c r="G472" s="5">
        <v>44240</v>
      </c>
      <c r="H472" s="4" t="s">
        <v>46</v>
      </c>
      <c r="I472" t="s">
        <v>755</v>
      </c>
      <c r="J472" s="6">
        <v>7303</v>
      </c>
      <c r="K472" s="6">
        <v>13405</v>
      </c>
      <c r="L472" s="4">
        <v>8</v>
      </c>
    </row>
    <row r="473" spans="1:12" x14ac:dyDescent="0.3">
      <c r="A473" s="16">
        <v>472</v>
      </c>
      <c r="B473" s="4">
        <v>70839</v>
      </c>
      <c r="C473" s="4" t="s">
        <v>617</v>
      </c>
      <c r="D473" s="4" t="s">
        <v>11</v>
      </c>
      <c r="E473" s="4" t="s">
        <v>193</v>
      </c>
      <c r="F473" s="4" t="s">
        <v>120</v>
      </c>
      <c r="G473" s="5">
        <v>44262</v>
      </c>
      <c r="H473" s="4" t="s">
        <v>46</v>
      </c>
      <c r="I473" t="s">
        <v>756</v>
      </c>
      <c r="J473" s="6">
        <v>7303</v>
      </c>
      <c r="K473" s="6">
        <v>13405</v>
      </c>
      <c r="L473" s="4">
        <v>8</v>
      </c>
    </row>
    <row r="474" spans="1:12" x14ac:dyDescent="0.3">
      <c r="A474" s="16">
        <v>473</v>
      </c>
      <c r="B474" s="4">
        <v>70837</v>
      </c>
      <c r="C474" s="4" t="s">
        <v>618</v>
      </c>
      <c r="D474" s="4" t="s">
        <v>11</v>
      </c>
      <c r="E474" s="4" t="s">
        <v>193</v>
      </c>
      <c r="F474" s="4" t="s">
        <v>120</v>
      </c>
      <c r="G474" s="5">
        <v>44256</v>
      </c>
      <c r="H474" s="4" t="s">
        <v>46</v>
      </c>
      <c r="I474" t="s">
        <v>755</v>
      </c>
      <c r="J474" s="6">
        <v>7303</v>
      </c>
      <c r="K474" s="6">
        <v>13405</v>
      </c>
      <c r="L474" s="4">
        <v>8</v>
      </c>
    </row>
    <row r="475" spans="1:12" x14ac:dyDescent="0.3">
      <c r="A475" s="16">
        <v>474</v>
      </c>
      <c r="B475" s="4">
        <v>70894</v>
      </c>
      <c r="C475" s="4" t="s">
        <v>619</v>
      </c>
      <c r="D475" s="4" t="s">
        <v>11</v>
      </c>
      <c r="E475" s="4" t="s">
        <v>193</v>
      </c>
      <c r="F475" s="4" t="s">
        <v>120</v>
      </c>
      <c r="G475" s="5">
        <v>43807</v>
      </c>
      <c r="H475" s="4" t="s">
        <v>46</v>
      </c>
      <c r="I475" t="s">
        <v>755</v>
      </c>
      <c r="J475" s="6">
        <v>7303</v>
      </c>
      <c r="K475" s="6">
        <v>13405</v>
      </c>
      <c r="L475" s="4">
        <v>8</v>
      </c>
    </row>
    <row r="476" spans="1:12" x14ac:dyDescent="0.3">
      <c r="A476" s="16">
        <v>475</v>
      </c>
      <c r="B476" s="4">
        <v>70793</v>
      </c>
      <c r="C476" s="4" t="s">
        <v>620</v>
      </c>
      <c r="D476" s="4" t="s">
        <v>11</v>
      </c>
      <c r="E476" s="4" t="s">
        <v>193</v>
      </c>
      <c r="F476" s="4" t="s">
        <v>443</v>
      </c>
      <c r="G476" s="5">
        <v>41396</v>
      </c>
      <c r="H476" s="4" t="s">
        <v>46</v>
      </c>
      <c r="I476" t="s">
        <v>756</v>
      </c>
      <c r="J476" s="6">
        <v>8612</v>
      </c>
      <c r="K476" s="6">
        <v>15368</v>
      </c>
      <c r="L476" s="4">
        <v>12</v>
      </c>
    </row>
    <row r="477" spans="1:12" x14ac:dyDescent="0.3">
      <c r="A477" s="16">
        <v>476</v>
      </c>
      <c r="B477" s="4">
        <v>70791</v>
      </c>
      <c r="C477" s="4" t="s">
        <v>621</v>
      </c>
      <c r="D477" s="4" t="s">
        <v>11</v>
      </c>
      <c r="E477" s="4" t="s">
        <v>193</v>
      </c>
      <c r="F477" s="4" t="s">
        <v>604</v>
      </c>
      <c r="G477" s="5">
        <v>43010</v>
      </c>
      <c r="H477" s="4" t="s">
        <v>46</v>
      </c>
      <c r="I477" t="s">
        <v>755</v>
      </c>
      <c r="J477" s="6">
        <v>7339</v>
      </c>
      <c r="K477" s="6">
        <v>13458</v>
      </c>
      <c r="L477" s="4">
        <v>8</v>
      </c>
    </row>
    <row r="478" spans="1:12" x14ac:dyDescent="0.3">
      <c r="A478" s="16">
        <v>477</v>
      </c>
      <c r="B478" s="4">
        <v>70963</v>
      </c>
      <c r="C478" s="4" t="s">
        <v>622</v>
      </c>
      <c r="D478" s="4" t="s">
        <v>11</v>
      </c>
      <c r="E478" s="4" t="s">
        <v>193</v>
      </c>
      <c r="F478" s="4" t="s">
        <v>25</v>
      </c>
      <c r="G478" s="5">
        <v>44628</v>
      </c>
      <c r="H478" s="4" t="s">
        <v>46</v>
      </c>
      <c r="I478" t="s">
        <v>756</v>
      </c>
      <c r="J478" s="6">
        <v>7303</v>
      </c>
      <c r="K478" s="6">
        <v>13405</v>
      </c>
      <c r="L478" s="4">
        <v>12</v>
      </c>
    </row>
    <row r="479" spans="1:12" x14ac:dyDescent="0.3">
      <c r="A479" s="16">
        <v>478</v>
      </c>
      <c r="B479" s="4">
        <v>70968</v>
      </c>
      <c r="C479" s="4" t="s">
        <v>623</v>
      </c>
      <c r="D479" s="4" t="s">
        <v>11</v>
      </c>
      <c r="E479" s="4" t="s">
        <v>193</v>
      </c>
      <c r="F479" s="4" t="s">
        <v>25</v>
      </c>
      <c r="G479" s="5">
        <v>44766</v>
      </c>
      <c r="H479" s="4" t="s">
        <v>46</v>
      </c>
      <c r="I479" t="s">
        <v>756</v>
      </c>
      <c r="J479" s="6">
        <v>7303</v>
      </c>
      <c r="K479" s="6">
        <v>13405</v>
      </c>
      <c r="L479" s="4">
        <v>8</v>
      </c>
    </row>
    <row r="480" spans="1:12" x14ac:dyDescent="0.3">
      <c r="A480" s="16">
        <v>479</v>
      </c>
      <c r="B480" s="4">
        <v>70961</v>
      </c>
      <c r="C480" s="4" t="s">
        <v>624</v>
      </c>
      <c r="D480" s="4" t="s">
        <v>11</v>
      </c>
      <c r="E480" s="4" t="s">
        <v>193</v>
      </c>
      <c r="F480" s="4" t="s">
        <v>25</v>
      </c>
      <c r="G480" s="5">
        <v>44791</v>
      </c>
      <c r="H480" s="4" t="s">
        <v>46</v>
      </c>
      <c r="I480" t="s">
        <v>756</v>
      </c>
      <c r="J480" s="6">
        <v>7303</v>
      </c>
      <c r="K480" s="6">
        <v>13405</v>
      </c>
      <c r="L480" s="4">
        <v>8</v>
      </c>
    </row>
    <row r="481" spans="1:12" x14ac:dyDescent="0.3">
      <c r="A481" s="16">
        <v>480</v>
      </c>
      <c r="B481" s="4">
        <v>70983</v>
      </c>
      <c r="C481" s="4" t="s">
        <v>625</v>
      </c>
      <c r="D481" s="4" t="s">
        <v>11</v>
      </c>
      <c r="E481" s="4" t="s">
        <v>193</v>
      </c>
      <c r="F481" s="4" t="s">
        <v>25</v>
      </c>
      <c r="G481" s="5">
        <v>45237</v>
      </c>
      <c r="H481" s="4" t="s">
        <v>46</v>
      </c>
      <c r="I481" t="s">
        <v>755</v>
      </c>
      <c r="J481" s="6">
        <v>7303</v>
      </c>
      <c r="K481" s="6">
        <v>13405</v>
      </c>
      <c r="L481" s="4">
        <v>8</v>
      </c>
    </row>
    <row r="482" spans="1:12" x14ac:dyDescent="0.3">
      <c r="A482" s="16">
        <v>481</v>
      </c>
      <c r="B482" s="4">
        <v>70981</v>
      </c>
      <c r="C482" s="4" t="s">
        <v>626</v>
      </c>
      <c r="D482" s="4" t="s">
        <v>11</v>
      </c>
      <c r="E482" s="4" t="s">
        <v>193</v>
      </c>
      <c r="F482" s="4" t="s">
        <v>25</v>
      </c>
      <c r="G482" s="5">
        <v>45231</v>
      </c>
      <c r="H482" s="4" t="s">
        <v>46</v>
      </c>
      <c r="I482" t="s">
        <v>755</v>
      </c>
      <c r="J482" s="6">
        <v>7303</v>
      </c>
      <c r="K482" s="6">
        <v>13405</v>
      </c>
      <c r="L482" s="4">
        <v>12</v>
      </c>
    </row>
    <row r="483" spans="1:12" x14ac:dyDescent="0.3">
      <c r="A483" s="16">
        <v>482</v>
      </c>
      <c r="B483" s="4">
        <v>70980</v>
      </c>
      <c r="C483" s="4" t="s">
        <v>627</v>
      </c>
      <c r="D483" s="4" t="s">
        <v>11</v>
      </c>
      <c r="E483" s="4" t="s">
        <v>193</v>
      </c>
      <c r="F483" s="4" t="s">
        <v>25</v>
      </c>
      <c r="G483" s="5">
        <v>45204</v>
      </c>
      <c r="H483" s="4" t="s">
        <v>46</v>
      </c>
      <c r="I483" t="s">
        <v>756</v>
      </c>
      <c r="J483" s="6">
        <v>7303</v>
      </c>
      <c r="K483" s="6">
        <v>13405</v>
      </c>
      <c r="L483" s="4">
        <v>12</v>
      </c>
    </row>
    <row r="484" spans="1:12" x14ac:dyDescent="0.3">
      <c r="A484" s="16">
        <v>483</v>
      </c>
      <c r="B484" s="4">
        <v>70979</v>
      </c>
      <c r="C484" s="4" t="s">
        <v>628</v>
      </c>
      <c r="D484" s="4" t="s">
        <v>11</v>
      </c>
      <c r="E484" s="4" t="s">
        <v>193</v>
      </c>
      <c r="F484" s="4" t="s">
        <v>25</v>
      </c>
      <c r="G484" s="5">
        <v>45202</v>
      </c>
      <c r="H484" s="4" t="s">
        <v>46</v>
      </c>
      <c r="I484" t="s">
        <v>755</v>
      </c>
      <c r="J484" s="6">
        <v>7303</v>
      </c>
      <c r="K484" s="6">
        <v>13405</v>
      </c>
      <c r="L484" s="4">
        <v>8</v>
      </c>
    </row>
    <row r="485" spans="1:12" x14ac:dyDescent="0.3">
      <c r="A485" s="16">
        <v>484</v>
      </c>
      <c r="B485" s="4">
        <v>70985</v>
      </c>
      <c r="C485" s="4" t="s">
        <v>629</v>
      </c>
      <c r="D485" s="4" t="s">
        <v>11</v>
      </c>
      <c r="E485" s="4" t="s">
        <v>193</v>
      </c>
      <c r="F485" s="4" t="s">
        <v>25</v>
      </c>
      <c r="G485" s="5">
        <v>44961</v>
      </c>
      <c r="H485" s="4" t="s">
        <v>46</v>
      </c>
      <c r="I485" t="s">
        <v>755</v>
      </c>
      <c r="J485" s="6">
        <v>7303</v>
      </c>
      <c r="K485" s="6">
        <v>13405</v>
      </c>
      <c r="L485" s="4">
        <v>8</v>
      </c>
    </row>
    <row r="486" spans="1:12" x14ac:dyDescent="0.3">
      <c r="A486" s="16">
        <v>485</v>
      </c>
      <c r="B486" s="4">
        <v>70986</v>
      </c>
      <c r="C486" s="4" t="s">
        <v>630</v>
      </c>
      <c r="D486" s="4" t="s">
        <v>11</v>
      </c>
      <c r="E486" s="4" t="s">
        <v>193</v>
      </c>
      <c r="F486" s="4" t="s">
        <v>25</v>
      </c>
      <c r="G486" s="5">
        <v>44842</v>
      </c>
      <c r="H486" s="4" t="s">
        <v>46</v>
      </c>
      <c r="I486" t="s">
        <v>756</v>
      </c>
      <c r="J486" s="6">
        <v>7303</v>
      </c>
      <c r="K486" s="6">
        <v>13405</v>
      </c>
      <c r="L486" s="4">
        <v>8</v>
      </c>
    </row>
    <row r="487" spans="1:12" x14ac:dyDescent="0.3">
      <c r="A487" s="16">
        <v>486</v>
      </c>
      <c r="B487" s="4">
        <v>70958</v>
      </c>
      <c r="C487" s="4" t="s">
        <v>631</v>
      </c>
      <c r="D487" s="4" t="s">
        <v>11</v>
      </c>
      <c r="E487" s="4" t="s">
        <v>209</v>
      </c>
      <c r="F487" s="4" t="s">
        <v>120</v>
      </c>
      <c r="G487" s="5">
        <v>41445</v>
      </c>
      <c r="H487" s="4" t="s">
        <v>46</v>
      </c>
      <c r="I487" t="s">
        <v>755</v>
      </c>
      <c r="J487" s="6">
        <v>8612</v>
      </c>
      <c r="K487" s="6">
        <v>15368</v>
      </c>
      <c r="L487" s="4">
        <v>12</v>
      </c>
    </row>
    <row r="488" spans="1:12" x14ac:dyDescent="0.3">
      <c r="A488" s="16">
        <v>487</v>
      </c>
      <c r="B488" s="4">
        <v>70950</v>
      </c>
      <c r="C488" s="4" t="s">
        <v>632</v>
      </c>
      <c r="D488" s="4" t="s">
        <v>11</v>
      </c>
      <c r="E488" s="4" t="s">
        <v>209</v>
      </c>
      <c r="F488" s="4" t="s">
        <v>120</v>
      </c>
      <c r="G488" s="5">
        <v>42919</v>
      </c>
      <c r="H488" s="4" t="s">
        <v>46</v>
      </c>
      <c r="I488" t="s">
        <v>756</v>
      </c>
      <c r="J488" s="6">
        <v>7303</v>
      </c>
      <c r="K488" s="6">
        <v>13405</v>
      </c>
      <c r="L488" s="4">
        <v>12</v>
      </c>
    </row>
    <row r="489" spans="1:12" x14ac:dyDescent="0.3">
      <c r="A489" s="16">
        <v>488</v>
      </c>
      <c r="B489" s="4">
        <v>70951</v>
      </c>
      <c r="C489" s="4" t="s">
        <v>633</v>
      </c>
      <c r="D489" s="4" t="s">
        <v>11</v>
      </c>
      <c r="E489" s="4" t="s">
        <v>209</v>
      </c>
      <c r="F489" s="4" t="s">
        <v>116</v>
      </c>
      <c r="G489" s="5">
        <v>37288</v>
      </c>
      <c r="H489" s="4" t="s">
        <v>46</v>
      </c>
      <c r="I489" t="s">
        <v>756</v>
      </c>
      <c r="J489" s="6">
        <v>9762</v>
      </c>
      <c r="K489" s="6">
        <v>17093</v>
      </c>
      <c r="L489" s="4">
        <v>8</v>
      </c>
    </row>
    <row r="490" spans="1:12" x14ac:dyDescent="0.3">
      <c r="A490" s="16">
        <v>489</v>
      </c>
      <c r="B490" s="4">
        <v>70952</v>
      </c>
      <c r="C490" s="4" t="s">
        <v>634</v>
      </c>
      <c r="D490" s="4" t="s">
        <v>11</v>
      </c>
      <c r="E490" s="4" t="s">
        <v>209</v>
      </c>
      <c r="F490" s="4" t="s">
        <v>120</v>
      </c>
      <c r="G490" s="5">
        <v>41003</v>
      </c>
      <c r="H490" s="4" t="s">
        <v>46</v>
      </c>
      <c r="I490" t="s">
        <v>756</v>
      </c>
      <c r="J490" s="6">
        <v>8055</v>
      </c>
      <c r="K490" s="6">
        <v>14533</v>
      </c>
      <c r="L490" s="4">
        <v>8</v>
      </c>
    </row>
    <row r="491" spans="1:12" x14ac:dyDescent="0.3">
      <c r="A491" s="16">
        <v>490</v>
      </c>
      <c r="B491" s="4">
        <v>70954</v>
      </c>
      <c r="C491" s="4" t="s">
        <v>635</v>
      </c>
      <c r="D491" s="4" t="s">
        <v>11</v>
      </c>
      <c r="E491" s="4" t="s">
        <v>209</v>
      </c>
      <c r="F491" s="4" t="s">
        <v>116</v>
      </c>
      <c r="G491" s="5">
        <v>42126</v>
      </c>
      <c r="H491" s="4" t="s">
        <v>46</v>
      </c>
      <c r="I491" t="s">
        <v>755</v>
      </c>
      <c r="J491" s="6">
        <v>8591</v>
      </c>
      <c r="K491" s="6">
        <v>15337</v>
      </c>
      <c r="L491" s="4">
        <v>8</v>
      </c>
    </row>
    <row r="492" spans="1:12" x14ac:dyDescent="0.3">
      <c r="A492" s="16">
        <v>491</v>
      </c>
      <c r="B492" s="4">
        <v>70955</v>
      </c>
      <c r="C492" s="4" t="s">
        <v>636</v>
      </c>
      <c r="D492" s="4" t="s">
        <v>11</v>
      </c>
      <c r="E492" s="4" t="s">
        <v>209</v>
      </c>
      <c r="F492" s="4" t="s">
        <v>120</v>
      </c>
      <c r="G492" s="5">
        <v>40735</v>
      </c>
      <c r="H492" s="4" t="s">
        <v>46</v>
      </c>
      <c r="I492" t="s">
        <v>755</v>
      </c>
      <c r="J492" s="6">
        <v>8102</v>
      </c>
      <c r="K492" s="6">
        <v>14603</v>
      </c>
      <c r="L492" s="4">
        <v>8</v>
      </c>
    </row>
    <row r="493" spans="1:12" x14ac:dyDescent="0.3">
      <c r="A493" s="16">
        <v>492</v>
      </c>
      <c r="B493" s="4">
        <v>70956</v>
      </c>
      <c r="C493" s="4" t="s">
        <v>637</v>
      </c>
      <c r="D493" s="4" t="s">
        <v>11</v>
      </c>
      <c r="E493" s="4" t="s">
        <v>209</v>
      </c>
      <c r="F493" s="4" t="s">
        <v>120</v>
      </c>
      <c r="G493" s="5">
        <v>42925</v>
      </c>
      <c r="H493" s="4" t="s">
        <v>46</v>
      </c>
      <c r="I493" t="s">
        <v>756</v>
      </c>
      <c r="J493" s="6">
        <v>7303</v>
      </c>
      <c r="K493" s="6">
        <v>13405</v>
      </c>
      <c r="L493" s="4">
        <v>8</v>
      </c>
    </row>
    <row r="494" spans="1:12" x14ac:dyDescent="0.3">
      <c r="A494" s="16">
        <v>493</v>
      </c>
      <c r="B494" s="4">
        <v>70798</v>
      </c>
      <c r="C494" s="4" t="s">
        <v>638</v>
      </c>
      <c r="D494" s="4" t="s">
        <v>11</v>
      </c>
      <c r="E494" s="4" t="s">
        <v>209</v>
      </c>
      <c r="F494" s="4" t="s">
        <v>639</v>
      </c>
      <c r="G494" s="5">
        <v>42445</v>
      </c>
      <c r="H494" s="4" t="s">
        <v>46</v>
      </c>
      <c r="I494" t="s">
        <v>755</v>
      </c>
      <c r="J494" s="6">
        <v>7339</v>
      </c>
      <c r="K494" s="6">
        <v>13458</v>
      </c>
      <c r="L494" s="4">
        <v>12</v>
      </c>
    </row>
    <row r="495" spans="1:12" x14ac:dyDescent="0.3">
      <c r="A495" s="16">
        <v>494</v>
      </c>
      <c r="B495" s="4">
        <v>70794</v>
      </c>
      <c r="C495" s="4" t="s">
        <v>640</v>
      </c>
      <c r="D495" s="4" t="s">
        <v>11</v>
      </c>
      <c r="E495" s="4" t="s">
        <v>209</v>
      </c>
      <c r="F495" s="4" t="s">
        <v>641</v>
      </c>
      <c r="G495" s="5">
        <v>40727</v>
      </c>
      <c r="H495" s="4" t="s">
        <v>46</v>
      </c>
      <c r="I495" t="s">
        <v>755</v>
      </c>
      <c r="J495" s="6">
        <v>8591</v>
      </c>
      <c r="K495" s="6">
        <v>15337</v>
      </c>
      <c r="L495" s="4">
        <v>8</v>
      </c>
    </row>
    <row r="496" spans="1:12" x14ac:dyDescent="0.3">
      <c r="A496" s="16">
        <v>495</v>
      </c>
      <c r="B496" s="4">
        <v>70821</v>
      </c>
      <c r="C496" s="4" t="s">
        <v>642</v>
      </c>
      <c r="D496" s="4" t="s">
        <v>11</v>
      </c>
      <c r="E496" s="4" t="s">
        <v>209</v>
      </c>
      <c r="F496" s="4" t="s">
        <v>356</v>
      </c>
      <c r="G496" s="5">
        <v>43160</v>
      </c>
      <c r="H496" s="4" t="s">
        <v>46</v>
      </c>
      <c r="I496" t="s">
        <v>756</v>
      </c>
      <c r="J496" s="6">
        <v>7376</v>
      </c>
      <c r="K496" s="6">
        <v>13514</v>
      </c>
      <c r="L496" s="4">
        <v>12</v>
      </c>
    </row>
    <row r="497" spans="1:12" x14ac:dyDescent="0.3">
      <c r="A497" s="16">
        <v>496</v>
      </c>
      <c r="B497" s="4">
        <v>70822</v>
      </c>
      <c r="C497" s="4" t="s">
        <v>643</v>
      </c>
      <c r="D497" s="4" t="s">
        <v>11</v>
      </c>
      <c r="E497" s="4" t="s">
        <v>209</v>
      </c>
      <c r="F497" s="4" t="s">
        <v>116</v>
      </c>
      <c r="G497" s="5">
        <v>41007</v>
      </c>
      <c r="H497" s="4" t="s">
        <v>46</v>
      </c>
      <c r="I497" t="s">
        <v>755</v>
      </c>
      <c r="J497" s="6">
        <v>8591</v>
      </c>
      <c r="K497" s="6">
        <v>15337</v>
      </c>
      <c r="L497" s="4">
        <v>8</v>
      </c>
    </row>
    <row r="498" spans="1:12" x14ac:dyDescent="0.3">
      <c r="A498" s="16">
        <v>497</v>
      </c>
      <c r="B498" s="4">
        <v>70825</v>
      </c>
      <c r="C498" s="4" t="s">
        <v>644</v>
      </c>
      <c r="D498" s="4" t="s">
        <v>11</v>
      </c>
      <c r="E498" s="4" t="s">
        <v>209</v>
      </c>
      <c r="F498" s="4" t="s">
        <v>356</v>
      </c>
      <c r="G498" s="5">
        <v>41488</v>
      </c>
      <c r="H498" s="4" t="s">
        <v>46</v>
      </c>
      <c r="I498" t="s">
        <v>755</v>
      </c>
      <c r="J498" s="6">
        <v>8292</v>
      </c>
      <c r="K498" s="6">
        <v>14888</v>
      </c>
      <c r="L498" s="4">
        <v>8</v>
      </c>
    </row>
    <row r="499" spans="1:12" x14ac:dyDescent="0.3">
      <c r="A499" s="16">
        <v>498</v>
      </c>
      <c r="B499" s="4">
        <v>70826</v>
      </c>
      <c r="C499" s="4" t="s">
        <v>645</v>
      </c>
      <c r="D499" s="4" t="s">
        <v>11</v>
      </c>
      <c r="E499" s="4" t="s">
        <v>209</v>
      </c>
      <c r="F499" s="4" t="s">
        <v>116</v>
      </c>
      <c r="G499" s="5">
        <v>42409</v>
      </c>
      <c r="H499" s="4" t="s">
        <v>46</v>
      </c>
      <c r="I499" t="s">
        <v>756</v>
      </c>
      <c r="J499" s="6">
        <v>8591</v>
      </c>
      <c r="K499" s="6">
        <v>15337</v>
      </c>
      <c r="L499" s="4">
        <v>8</v>
      </c>
    </row>
    <row r="500" spans="1:12" x14ac:dyDescent="0.3">
      <c r="A500" s="16">
        <v>499</v>
      </c>
      <c r="B500" s="4">
        <v>70828</v>
      </c>
      <c r="C500" s="4" t="s">
        <v>646</v>
      </c>
      <c r="D500" s="4" t="s">
        <v>11</v>
      </c>
      <c r="E500" s="4" t="s">
        <v>209</v>
      </c>
      <c r="F500" s="4" t="s">
        <v>116</v>
      </c>
      <c r="G500" s="5">
        <v>41078</v>
      </c>
      <c r="H500" s="4" t="s">
        <v>46</v>
      </c>
      <c r="I500" t="s">
        <v>755</v>
      </c>
      <c r="J500" s="6">
        <v>8591</v>
      </c>
      <c r="K500" s="6">
        <v>15337</v>
      </c>
      <c r="L500" s="4">
        <v>12</v>
      </c>
    </row>
    <row r="501" spans="1:12" x14ac:dyDescent="0.3">
      <c r="A501" s="16">
        <v>500</v>
      </c>
      <c r="B501" s="4">
        <v>70829</v>
      </c>
      <c r="C501" s="4" t="s">
        <v>647</v>
      </c>
      <c r="D501" s="4" t="s">
        <v>11</v>
      </c>
      <c r="E501" s="4" t="s">
        <v>209</v>
      </c>
      <c r="F501" s="4" t="s">
        <v>116</v>
      </c>
      <c r="G501" s="5">
        <v>42919</v>
      </c>
      <c r="H501" s="4" t="s">
        <v>46</v>
      </c>
      <c r="I501" t="s">
        <v>755</v>
      </c>
      <c r="J501" s="6">
        <v>8591</v>
      </c>
      <c r="K501" s="6">
        <v>15337</v>
      </c>
      <c r="L501" s="4">
        <v>12</v>
      </c>
    </row>
    <row r="502" spans="1:12" x14ac:dyDescent="0.3">
      <c r="A502" s="16">
        <v>501</v>
      </c>
      <c r="B502" s="4">
        <v>70830</v>
      </c>
      <c r="C502" s="4" t="s">
        <v>388</v>
      </c>
      <c r="D502" s="4" t="s">
        <v>11</v>
      </c>
      <c r="E502" s="4" t="s">
        <v>209</v>
      </c>
      <c r="F502" s="4" t="s">
        <v>116</v>
      </c>
      <c r="G502" s="5">
        <v>40736</v>
      </c>
      <c r="H502" s="4" t="s">
        <v>46</v>
      </c>
      <c r="I502" t="s">
        <v>756</v>
      </c>
      <c r="J502" s="6">
        <v>8591</v>
      </c>
      <c r="K502" s="6">
        <v>15337</v>
      </c>
      <c r="L502" s="4">
        <v>8</v>
      </c>
    </row>
    <row r="503" spans="1:12" x14ac:dyDescent="0.3">
      <c r="A503" s="16">
        <v>502</v>
      </c>
      <c r="B503" s="4">
        <v>70813</v>
      </c>
      <c r="C503" s="4" t="s">
        <v>648</v>
      </c>
      <c r="D503" s="4" t="s">
        <v>11</v>
      </c>
      <c r="E503" s="4" t="s">
        <v>209</v>
      </c>
      <c r="F503" s="4" t="s">
        <v>116</v>
      </c>
      <c r="G503" s="5">
        <v>39194</v>
      </c>
      <c r="H503" s="4" t="s">
        <v>46</v>
      </c>
      <c r="I503" t="s">
        <v>756</v>
      </c>
      <c r="J503" s="6">
        <v>9836</v>
      </c>
      <c r="K503" s="6">
        <v>17204</v>
      </c>
      <c r="L503" s="4">
        <v>8</v>
      </c>
    </row>
    <row r="504" spans="1:12" x14ac:dyDescent="0.3">
      <c r="A504" s="16">
        <v>503</v>
      </c>
      <c r="B504" s="4">
        <v>70814</v>
      </c>
      <c r="C504" s="4" t="s">
        <v>585</v>
      </c>
      <c r="D504" s="4" t="s">
        <v>11</v>
      </c>
      <c r="E504" s="4" t="s">
        <v>209</v>
      </c>
      <c r="F504" s="4" t="s">
        <v>116</v>
      </c>
      <c r="G504" s="5">
        <v>40702</v>
      </c>
      <c r="H504" s="4" t="s">
        <v>46</v>
      </c>
      <c r="I504" t="s">
        <v>756</v>
      </c>
      <c r="J504" s="6">
        <v>9386</v>
      </c>
      <c r="K504" s="6">
        <v>16529</v>
      </c>
      <c r="L504" s="4">
        <v>8</v>
      </c>
    </row>
    <row r="505" spans="1:12" x14ac:dyDescent="0.3">
      <c r="A505" s="16">
        <v>504</v>
      </c>
      <c r="B505" s="4">
        <v>70817</v>
      </c>
      <c r="C505" s="4" t="s">
        <v>649</v>
      </c>
      <c r="D505" s="4" t="s">
        <v>11</v>
      </c>
      <c r="E505" s="4" t="s">
        <v>209</v>
      </c>
      <c r="F505" s="4" t="s">
        <v>120</v>
      </c>
      <c r="G505" s="5">
        <v>43010</v>
      </c>
      <c r="H505" s="4" t="s">
        <v>46</v>
      </c>
      <c r="I505" t="s">
        <v>755</v>
      </c>
      <c r="J505" s="6">
        <v>7303</v>
      </c>
      <c r="K505" s="6">
        <v>13405</v>
      </c>
      <c r="L505" s="4">
        <v>12</v>
      </c>
    </row>
    <row r="506" spans="1:12" x14ac:dyDescent="0.3">
      <c r="A506" s="16">
        <v>505</v>
      </c>
      <c r="B506" s="4">
        <v>70850</v>
      </c>
      <c r="C506" s="4" t="s">
        <v>650</v>
      </c>
      <c r="D506" s="4" t="s">
        <v>11</v>
      </c>
      <c r="E506" s="4" t="s">
        <v>209</v>
      </c>
      <c r="F506" s="4" t="s">
        <v>116</v>
      </c>
      <c r="G506" s="5">
        <v>40666</v>
      </c>
      <c r="H506" s="4" t="s">
        <v>46</v>
      </c>
      <c r="I506" t="s">
        <v>755</v>
      </c>
      <c r="J506" s="6">
        <v>8591</v>
      </c>
      <c r="K506" s="6">
        <v>15337</v>
      </c>
      <c r="L506" s="4">
        <v>12</v>
      </c>
    </row>
    <row r="507" spans="1:12" x14ac:dyDescent="0.3">
      <c r="A507" s="16">
        <v>506</v>
      </c>
      <c r="B507" s="4">
        <v>70851</v>
      </c>
      <c r="C507" s="4" t="s">
        <v>651</v>
      </c>
      <c r="D507" s="4" t="s">
        <v>11</v>
      </c>
      <c r="E507" s="4" t="s">
        <v>209</v>
      </c>
      <c r="F507" s="4" t="s">
        <v>120</v>
      </c>
      <c r="G507" s="5">
        <v>42931</v>
      </c>
      <c r="H507" s="4" t="s">
        <v>46</v>
      </c>
      <c r="I507" t="s">
        <v>756</v>
      </c>
      <c r="J507" s="6">
        <v>7303</v>
      </c>
      <c r="K507" s="6">
        <v>13405</v>
      </c>
      <c r="L507" s="4">
        <v>8</v>
      </c>
    </row>
    <row r="508" spans="1:12" x14ac:dyDescent="0.3">
      <c r="A508" s="16">
        <v>507</v>
      </c>
      <c r="B508" s="4">
        <v>70902</v>
      </c>
      <c r="C508" s="4" t="s">
        <v>652</v>
      </c>
      <c r="D508" s="4" t="s">
        <v>11</v>
      </c>
      <c r="E508" s="4" t="s">
        <v>209</v>
      </c>
      <c r="F508" s="4" t="s">
        <v>25</v>
      </c>
      <c r="G508" s="5">
        <v>44384</v>
      </c>
      <c r="H508" s="4" t="s">
        <v>46</v>
      </c>
      <c r="I508" t="s">
        <v>755</v>
      </c>
      <c r="J508" s="6">
        <v>7303</v>
      </c>
      <c r="K508" s="6">
        <v>13405</v>
      </c>
      <c r="L508" s="4">
        <v>8</v>
      </c>
    </row>
    <row r="509" spans="1:12" x14ac:dyDescent="0.3">
      <c r="A509" s="16">
        <v>508</v>
      </c>
      <c r="B509" s="4">
        <v>70895</v>
      </c>
      <c r="C509" s="4" t="s">
        <v>653</v>
      </c>
      <c r="D509" s="4" t="s">
        <v>11</v>
      </c>
      <c r="E509" s="4" t="s">
        <v>209</v>
      </c>
      <c r="F509" s="4" t="s">
        <v>654</v>
      </c>
      <c r="G509" s="5">
        <v>42920</v>
      </c>
      <c r="H509" s="4" t="s">
        <v>46</v>
      </c>
      <c r="I509" t="s">
        <v>755</v>
      </c>
      <c r="J509" s="6">
        <v>7303</v>
      </c>
      <c r="K509" s="6">
        <v>13405</v>
      </c>
      <c r="L509" s="4">
        <v>8</v>
      </c>
    </row>
    <row r="510" spans="1:12" x14ac:dyDescent="0.3">
      <c r="A510" s="16">
        <v>509</v>
      </c>
      <c r="B510" s="4">
        <v>70854</v>
      </c>
      <c r="C510" s="4" t="s">
        <v>655</v>
      </c>
      <c r="D510" s="4" t="s">
        <v>11</v>
      </c>
      <c r="E510" s="4" t="s">
        <v>209</v>
      </c>
      <c r="F510" s="4" t="s">
        <v>120</v>
      </c>
      <c r="G510" s="5">
        <v>40347</v>
      </c>
      <c r="H510" s="4" t="s">
        <v>46</v>
      </c>
      <c r="I510" t="s">
        <v>756</v>
      </c>
      <c r="J510" s="6">
        <v>8575</v>
      </c>
      <c r="K510" s="6">
        <v>15313</v>
      </c>
      <c r="L510" s="4">
        <v>8</v>
      </c>
    </row>
    <row r="511" spans="1:12" x14ac:dyDescent="0.3">
      <c r="A511" s="16">
        <v>510</v>
      </c>
      <c r="B511" s="4">
        <v>70855</v>
      </c>
      <c r="C511" s="4" t="s">
        <v>656</v>
      </c>
      <c r="D511" s="4" t="s">
        <v>11</v>
      </c>
      <c r="E511" s="4" t="s">
        <v>209</v>
      </c>
      <c r="F511" s="4" t="s">
        <v>335</v>
      </c>
      <c r="G511" s="5">
        <v>42929</v>
      </c>
      <c r="H511" s="4" t="s">
        <v>46</v>
      </c>
      <c r="I511" t="s">
        <v>755</v>
      </c>
      <c r="J511" s="6">
        <v>8066</v>
      </c>
      <c r="K511" s="6">
        <v>14549</v>
      </c>
      <c r="L511" s="4">
        <v>8</v>
      </c>
    </row>
    <row r="512" spans="1:12" x14ac:dyDescent="0.3">
      <c r="A512" s="16">
        <v>511</v>
      </c>
      <c r="B512" s="4">
        <v>70856</v>
      </c>
      <c r="C512" s="4" t="s">
        <v>657</v>
      </c>
      <c r="D512" s="4" t="s">
        <v>11</v>
      </c>
      <c r="E512" s="4" t="s">
        <v>209</v>
      </c>
      <c r="F512" s="4" t="s">
        <v>116</v>
      </c>
      <c r="G512" s="5">
        <v>43010</v>
      </c>
      <c r="H512" s="4" t="s">
        <v>46</v>
      </c>
      <c r="I512" t="s">
        <v>756</v>
      </c>
      <c r="J512" s="6">
        <v>8591</v>
      </c>
      <c r="K512" s="6">
        <v>15337</v>
      </c>
      <c r="L512" s="4">
        <v>12</v>
      </c>
    </row>
    <row r="513" spans="1:12" x14ac:dyDescent="0.3">
      <c r="A513" s="16">
        <v>512</v>
      </c>
      <c r="B513" s="4">
        <v>70857</v>
      </c>
      <c r="C513" s="4" t="s">
        <v>648</v>
      </c>
      <c r="D513" s="4" t="s">
        <v>11</v>
      </c>
      <c r="E513" s="4" t="s">
        <v>209</v>
      </c>
      <c r="F513" s="4" t="s">
        <v>120</v>
      </c>
      <c r="G513" s="5">
        <v>42409</v>
      </c>
      <c r="H513" s="4" t="s">
        <v>46</v>
      </c>
      <c r="I513" t="s">
        <v>756</v>
      </c>
      <c r="J513" s="6">
        <v>7339</v>
      </c>
      <c r="K513" s="6">
        <v>13458</v>
      </c>
      <c r="L513" s="4">
        <v>8</v>
      </c>
    </row>
    <row r="514" spans="1:12" x14ac:dyDescent="0.3">
      <c r="A514" s="16">
        <v>513</v>
      </c>
      <c r="B514" s="4">
        <v>70308</v>
      </c>
      <c r="C514" s="4" t="s">
        <v>658</v>
      </c>
      <c r="D514" s="4" t="s">
        <v>11</v>
      </c>
      <c r="E514" s="4" t="s">
        <v>209</v>
      </c>
      <c r="F514" s="4" t="s">
        <v>80</v>
      </c>
      <c r="G514" s="5">
        <v>42126</v>
      </c>
      <c r="H514" s="4" t="s">
        <v>46</v>
      </c>
      <c r="I514" t="s">
        <v>756</v>
      </c>
      <c r="J514" s="6">
        <v>7666</v>
      </c>
      <c r="K514" s="6">
        <v>13949</v>
      </c>
      <c r="L514" s="4">
        <v>12</v>
      </c>
    </row>
    <row r="515" spans="1:12" x14ac:dyDescent="0.3">
      <c r="A515" s="16">
        <v>514</v>
      </c>
      <c r="B515" s="4">
        <v>70167</v>
      </c>
      <c r="C515" s="4" t="s">
        <v>659</v>
      </c>
      <c r="D515" s="4" t="s">
        <v>11</v>
      </c>
      <c r="E515" s="4" t="s">
        <v>209</v>
      </c>
      <c r="F515" s="4" t="s">
        <v>116</v>
      </c>
      <c r="G515" s="5">
        <v>39671</v>
      </c>
      <c r="H515" s="4" t="s">
        <v>46</v>
      </c>
      <c r="I515" t="s">
        <v>755</v>
      </c>
      <c r="J515" s="6">
        <v>9762</v>
      </c>
      <c r="K515" s="6">
        <v>17093</v>
      </c>
      <c r="L515" s="4">
        <v>8</v>
      </c>
    </row>
    <row r="516" spans="1:12" x14ac:dyDescent="0.3">
      <c r="A516" s="16">
        <v>515</v>
      </c>
      <c r="B516" s="4">
        <v>70066</v>
      </c>
      <c r="C516" s="4" t="s">
        <v>660</v>
      </c>
      <c r="D516" s="4" t="s">
        <v>11</v>
      </c>
      <c r="E516" s="4" t="s">
        <v>209</v>
      </c>
      <c r="F516" s="4" t="s">
        <v>116</v>
      </c>
      <c r="G516" s="5">
        <v>40089</v>
      </c>
      <c r="H516" s="4" t="s">
        <v>46</v>
      </c>
      <c r="I516" t="s">
        <v>755</v>
      </c>
      <c r="J516" s="6">
        <v>9762</v>
      </c>
      <c r="K516" s="6">
        <v>17093</v>
      </c>
      <c r="L516" s="4">
        <v>8</v>
      </c>
    </row>
    <row r="517" spans="1:12" x14ac:dyDescent="0.3">
      <c r="A517" s="16">
        <v>516</v>
      </c>
      <c r="B517" s="4">
        <v>70038</v>
      </c>
      <c r="C517" s="4" t="s">
        <v>661</v>
      </c>
      <c r="D517" s="4" t="s">
        <v>11</v>
      </c>
      <c r="E517" s="4" t="s">
        <v>209</v>
      </c>
      <c r="F517" s="4" t="s">
        <v>116</v>
      </c>
      <c r="G517" s="5">
        <v>39295</v>
      </c>
      <c r="H517" s="4" t="s">
        <v>46</v>
      </c>
      <c r="I517" t="s">
        <v>756</v>
      </c>
      <c r="J517" s="6">
        <v>10174</v>
      </c>
      <c r="K517" s="6">
        <v>17711</v>
      </c>
      <c r="L517" s="4">
        <v>8</v>
      </c>
    </row>
    <row r="518" spans="1:12" x14ac:dyDescent="0.3">
      <c r="A518" s="16">
        <v>517</v>
      </c>
      <c r="B518" s="4">
        <v>70165</v>
      </c>
      <c r="C518" s="4" t="s">
        <v>662</v>
      </c>
      <c r="D518" s="4" t="s">
        <v>11</v>
      </c>
      <c r="E518" s="4" t="s">
        <v>209</v>
      </c>
      <c r="F518" s="4" t="s">
        <v>116</v>
      </c>
      <c r="G518" s="5">
        <v>41456</v>
      </c>
      <c r="H518" s="4" t="s">
        <v>46</v>
      </c>
      <c r="I518" t="s">
        <v>755</v>
      </c>
      <c r="J518" s="6">
        <v>9379</v>
      </c>
      <c r="K518" s="6">
        <v>16519</v>
      </c>
      <c r="L518" s="4">
        <v>12</v>
      </c>
    </row>
    <row r="519" spans="1:12" x14ac:dyDescent="0.3">
      <c r="A519" s="16">
        <v>518</v>
      </c>
      <c r="B519" s="4">
        <v>70144</v>
      </c>
      <c r="C519" s="4" t="s">
        <v>663</v>
      </c>
      <c r="D519" s="4" t="s">
        <v>11</v>
      </c>
      <c r="E519" s="4" t="s">
        <v>209</v>
      </c>
      <c r="F519" s="4" t="s">
        <v>120</v>
      </c>
      <c r="G519" s="5">
        <v>41366</v>
      </c>
      <c r="H519" s="4" t="s">
        <v>46</v>
      </c>
      <c r="I519" t="s">
        <v>755</v>
      </c>
      <c r="J519" s="6">
        <v>8364</v>
      </c>
      <c r="K519" s="6">
        <v>14996</v>
      </c>
      <c r="L519" s="4">
        <v>12</v>
      </c>
    </row>
    <row r="520" spans="1:12" x14ac:dyDescent="0.3">
      <c r="A520" s="16">
        <v>519</v>
      </c>
      <c r="B520" s="4">
        <v>70012</v>
      </c>
      <c r="C520" s="4" t="s">
        <v>664</v>
      </c>
      <c r="D520" s="4" t="s">
        <v>11</v>
      </c>
      <c r="E520" s="4" t="s">
        <v>209</v>
      </c>
      <c r="F520" s="4" t="s">
        <v>116</v>
      </c>
      <c r="G520" s="5">
        <v>37833</v>
      </c>
      <c r="H520" s="4" t="s">
        <v>46</v>
      </c>
      <c r="I520" t="s">
        <v>756</v>
      </c>
      <c r="J520" s="6">
        <v>10137</v>
      </c>
      <c r="K520" s="6">
        <v>17656</v>
      </c>
      <c r="L520" s="4">
        <v>8</v>
      </c>
    </row>
    <row r="521" spans="1:12" x14ac:dyDescent="0.3">
      <c r="A521" s="16">
        <v>520</v>
      </c>
      <c r="B521" s="4">
        <v>70013</v>
      </c>
      <c r="C521" s="4" t="s">
        <v>665</v>
      </c>
      <c r="D521" s="4" t="s">
        <v>11</v>
      </c>
      <c r="E521" s="4" t="s">
        <v>209</v>
      </c>
      <c r="F521" s="4" t="s">
        <v>116</v>
      </c>
      <c r="G521" s="5">
        <v>35187</v>
      </c>
      <c r="H521" s="4" t="s">
        <v>46</v>
      </c>
      <c r="I521" t="s">
        <v>755</v>
      </c>
      <c r="J521" s="6">
        <v>11676</v>
      </c>
      <c r="K521" s="6">
        <v>19964</v>
      </c>
      <c r="L521" s="4">
        <v>8</v>
      </c>
    </row>
    <row r="522" spans="1:12" x14ac:dyDescent="0.3">
      <c r="A522" s="16">
        <v>521</v>
      </c>
      <c r="B522" s="4">
        <v>70194</v>
      </c>
      <c r="C522" s="4" t="s">
        <v>634</v>
      </c>
      <c r="D522" s="4" t="s">
        <v>11</v>
      </c>
      <c r="E522" s="4" t="s">
        <v>209</v>
      </c>
      <c r="F522" s="4" t="s">
        <v>116</v>
      </c>
      <c r="G522" s="5">
        <v>42049</v>
      </c>
      <c r="H522" s="4" t="s">
        <v>46</v>
      </c>
      <c r="I522" t="s">
        <v>755</v>
      </c>
      <c r="J522" s="6">
        <v>8591</v>
      </c>
      <c r="K522" s="6">
        <v>15337</v>
      </c>
      <c r="L522" s="4">
        <v>8</v>
      </c>
    </row>
    <row r="523" spans="1:12" x14ac:dyDescent="0.3">
      <c r="A523" s="16">
        <v>522</v>
      </c>
      <c r="B523" s="4">
        <v>70116</v>
      </c>
      <c r="C523" s="4" t="s">
        <v>666</v>
      </c>
      <c r="D523" s="4" t="s">
        <v>11</v>
      </c>
      <c r="E523" s="4" t="s">
        <v>209</v>
      </c>
      <c r="F523" s="4" t="s">
        <v>667</v>
      </c>
      <c r="G523" s="5">
        <v>40983</v>
      </c>
      <c r="H523" s="4" t="s">
        <v>46</v>
      </c>
      <c r="I523" t="s">
        <v>756</v>
      </c>
      <c r="J523" s="6">
        <v>9079</v>
      </c>
      <c r="K523" s="6">
        <v>16068</v>
      </c>
      <c r="L523" s="4">
        <v>12</v>
      </c>
    </row>
    <row r="524" spans="1:12" x14ac:dyDescent="0.3">
      <c r="A524" s="16">
        <v>523</v>
      </c>
      <c r="B524" s="4">
        <v>70042</v>
      </c>
      <c r="C524" s="4" t="s">
        <v>668</v>
      </c>
      <c r="D524" s="4" t="s">
        <v>11</v>
      </c>
      <c r="E524" s="4" t="s">
        <v>209</v>
      </c>
      <c r="F524" s="4" t="s">
        <v>116</v>
      </c>
      <c r="G524" s="5">
        <v>39602</v>
      </c>
      <c r="H524" s="4" t="s">
        <v>46</v>
      </c>
      <c r="I524" t="s">
        <v>755</v>
      </c>
      <c r="J524" s="6">
        <v>9687</v>
      </c>
      <c r="K524" s="6">
        <v>16980</v>
      </c>
      <c r="L524" s="4">
        <v>12</v>
      </c>
    </row>
    <row r="525" spans="1:12" x14ac:dyDescent="0.3">
      <c r="A525" s="16">
        <v>524</v>
      </c>
      <c r="B525" s="4">
        <v>70113</v>
      </c>
      <c r="C525" s="4" t="s">
        <v>669</v>
      </c>
      <c r="D525" s="4" t="s">
        <v>11</v>
      </c>
      <c r="E525" s="4" t="s">
        <v>209</v>
      </c>
      <c r="F525" s="4" t="s">
        <v>667</v>
      </c>
      <c r="G525" s="5">
        <v>40880</v>
      </c>
      <c r="H525" s="4" t="s">
        <v>46</v>
      </c>
      <c r="I525" t="s">
        <v>755</v>
      </c>
      <c r="J525" s="6">
        <v>8591</v>
      </c>
      <c r="K525" s="6">
        <v>15337</v>
      </c>
      <c r="L525" s="4">
        <v>8</v>
      </c>
    </row>
    <row r="526" spans="1:12" x14ac:dyDescent="0.3">
      <c r="A526" s="16">
        <v>525</v>
      </c>
      <c r="B526" s="4">
        <v>70016</v>
      </c>
      <c r="C526" s="4" t="s">
        <v>670</v>
      </c>
      <c r="D526" s="4" t="s">
        <v>11</v>
      </c>
      <c r="E526" s="4" t="s">
        <v>209</v>
      </c>
      <c r="F526" s="4" t="s">
        <v>116</v>
      </c>
      <c r="G526" s="5">
        <v>37412</v>
      </c>
      <c r="H526" s="4" t="s">
        <v>46</v>
      </c>
      <c r="I526" t="s">
        <v>756</v>
      </c>
      <c r="J526" s="6">
        <v>9762</v>
      </c>
      <c r="K526" s="6">
        <v>17093</v>
      </c>
      <c r="L526" s="4">
        <v>8</v>
      </c>
    </row>
    <row r="527" spans="1:12" x14ac:dyDescent="0.3">
      <c r="A527" s="16">
        <v>526</v>
      </c>
      <c r="B527" s="4">
        <v>70427</v>
      </c>
      <c r="C527" s="4" t="s">
        <v>671</v>
      </c>
      <c r="D527" s="4" t="s">
        <v>11</v>
      </c>
      <c r="E527" s="4" t="s">
        <v>209</v>
      </c>
      <c r="F527" s="4" t="s">
        <v>116</v>
      </c>
      <c r="G527" s="5">
        <v>42869</v>
      </c>
      <c r="H527" s="4" t="s">
        <v>46</v>
      </c>
      <c r="I527" t="s">
        <v>756</v>
      </c>
      <c r="J527" s="6">
        <v>8591</v>
      </c>
      <c r="K527" s="6">
        <v>15337</v>
      </c>
      <c r="L527" s="4">
        <v>8</v>
      </c>
    </row>
    <row r="528" spans="1:12" x14ac:dyDescent="0.3">
      <c r="A528" s="16">
        <v>527</v>
      </c>
      <c r="B528" s="4">
        <v>70065</v>
      </c>
      <c r="C528" s="4" t="s">
        <v>672</v>
      </c>
      <c r="D528" s="4" t="s">
        <v>63</v>
      </c>
      <c r="E528" s="4" t="s">
        <v>320</v>
      </c>
      <c r="F528" s="4" t="s">
        <v>321</v>
      </c>
      <c r="G528" s="5">
        <v>41457</v>
      </c>
      <c r="H528" s="4" t="s">
        <v>46</v>
      </c>
      <c r="I528" t="s">
        <v>756</v>
      </c>
      <c r="J528" s="6">
        <v>7521</v>
      </c>
      <c r="K528" s="6">
        <v>13732</v>
      </c>
      <c r="L528" s="4">
        <v>8</v>
      </c>
    </row>
    <row r="529" spans="1:12" x14ac:dyDescent="0.3">
      <c r="A529" s="16">
        <v>528</v>
      </c>
      <c r="B529" s="4">
        <v>70530</v>
      </c>
      <c r="C529" s="4" t="s">
        <v>673</v>
      </c>
      <c r="D529" s="4" t="s">
        <v>63</v>
      </c>
      <c r="E529" s="4" t="s">
        <v>320</v>
      </c>
      <c r="F529" s="4" t="s">
        <v>593</v>
      </c>
      <c r="G529" s="5">
        <v>45214</v>
      </c>
      <c r="H529" s="4" t="s">
        <v>46</v>
      </c>
      <c r="I529" t="s">
        <v>755</v>
      </c>
      <c r="J529" s="6">
        <v>7739</v>
      </c>
      <c r="K529" s="6">
        <v>14059</v>
      </c>
      <c r="L529" s="4">
        <v>8</v>
      </c>
    </row>
    <row r="530" spans="1:12" x14ac:dyDescent="0.3">
      <c r="A530" s="16">
        <v>529</v>
      </c>
      <c r="B530" s="4">
        <v>70545</v>
      </c>
      <c r="C530" s="4" t="s">
        <v>277</v>
      </c>
      <c r="D530" s="4" t="s">
        <v>63</v>
      </c>
      <c r="E530" s="4" t="s">
        <v>79</v>
      </c>
      <c r="F530" s="4" t="s">
        <v>674</v>
      </c>
      <c r="G530" s="5">
        <v>44937</v>
      </c>
      <c r="H530" s="4" t="s">
        <v>46</v>
      </c>
      <c r="I530" t="s">
        <v>755</v>
      </c>
      <c r="J530" s="6">
        <v>7303</v>
      </c>
      <c r="K530" s="6">
        <v>13405</v>
      </c>
      <c r="L530" s="4">
        <v>12</v>
      </c>
    </row>
    <row r="531" spans="1:12" x14ac:dyDescent="0.3">
      <c r="A531" s="16">
        <v>530</v>
      </c>
      <c r="B531" s="4">
        <v>60035</v>
      </c>
      <c r="C531" s="4" t="s">
        <v>280</v>
      </c>
      <c r="D531" s="4" t="s">
        <v>63</v>
      </c>
      <c r="E531" s="4" t="s">
        <v>86</v>
      </c>
      <c r="F531" s="4" t="s">
        <v>675</v>
      </c>
      <c r="G531" s="5">
        <v>44348</v>
      </c>
      <c r="H531" s="4" t="s">
        <v>46</v>
      </c>
      <c r="I531" t="s">
        <v>756</v>
      </c>
      <c r="J531" s="6">
        <v>7303</v>
      </c>
      <c r="K531" s="6">
        <v>13405</v>
      </c>
      <c r="L531" s="4">
        <v>8</v>
      </c>
    </row>
    <row r="532" spans="1:12" x14ac:dyDescent="0.3">
      <c r="A532" s="16">
        <v>531</v>
      </c>
      <c r="B532" s="4">
        <v>70526</v>
      </c>
      <c r="C532" s="4" t="s">
        <v>676</v>
      </c>
      <c r="D532" s="4" t="s">
        <v>63</v>
      </c>
      <c r="E532" s="4" t="s">
        <v>86</v>
      </c>
      <c r="F532" s="4" t="s">
        <v>258</v>
      </c>
      <c r="G532" s="5">
        <v>45172</v>
      </c>
      <c r="H532" s="4" t="s">
        <v>46</v>
      </c>
      <c r="I532" t="s">
        <v>755</v>
      </c>
      <c r="J532" s="6">
        <v>7884</v>
      </c>
      <c r="K532" s="6">
        <v>14276</v>
      </c>
      <c r="L532" s="4">
        <v>12</v>
      </c>
    </row>
    <row r="533" spans="1:12" x14ac:dyDescent="0.3">
      <c r="A533" s="16">
        <v>532</v>
      </c>
      <c r="B533" s="4">
        <v>70525</v>
      </c>
      <c r="C533" s="4" t="s">
        <v>677</v>
      </c>
      <c r="D533" s="4" t="s">
        <v>11</v>
      </c>
      <c r="E533" s="4" t="s">
        <v>274</v>
      </c>
      <c r="F533" s="4" t="s">
        <v>25</v>
      </c>
      <c r="G533" s="5">
        <v>45141</v>
      </c>
      <c r="H533" s="4" t="s">
        <v>46</v>
      </c>
      <c r="I533" t="s">
        <v>755</v>
      </c>
      <c r="J533" s="6">
        <v>7303</v>
      </c>
      <c r="K533" s="6">
        <v>13405</v>
      </c>
      <c r="L533" s="4">
        <v>8</v>
      </c>
    </row>
    <row r="534" spans="1:12" x14ac:dyDescent="0.3">
      <c r="A534" s="16">
        <v>533</v>
      </c>
      <c r="B534" s="4">
        <v>70504</v>
      </c>
      <c r="C534" s="4" t="s">
        <v>678</v>
      </c>
      <c r="D534" s="4" t="s">
        <v>11</v>
      </c>
      <c r="E534" s="4" t="s">
        <v>274</v>
      </c>
      <c r="F534" s="4" t="s">
        <v>116</v>
      </c>
      <c r="G534" s="5">
        <v>43365</v>
      </c>
      <c r="H534" s="4" t="s">
        <v>46</v>
      </c>
      <c r="I534" t="s">
        <v>756</v>
      </c>
      <c r="J534" s="6">
        <v>8591</v>
      </c>
      <c r="K534" s="6">
        <v>15337</v>
      </c>
      <c r="L534" s="4">
        <v>8</v>
      </c>
    </row>
    <row r="535" spans="1:12" x14ac:dyDescent="0.3">
      <c r="A535" s="16">
        <v>534</v>
      </c>
      <c r="B535" s="4">
        <v>70469</v>
      </c>
      <c r="C535" s="4" t="s">
        <v>679</v>
      </c>
      <c r="D535" s="4" t="s">
        <v>11</v>
      </c>
      <c r="E535" s="4" t="s">
        <v>274</v>
      </c>
      <c r="F535" s="4" t="s">
        <v>22</v>
      </c>
      <c r="G535" s="5">
        <v>44713</v>
      </c>
      <c r="H535" s="4" t="s">
        <v>46</v>
      </c>
      <c r="I535" t="s">
        <v>755</v>
      </c>
      <c r="J535" s="6">
        <v>8591</v>
      </c>
      <c r="K535" s="6">
        <v>15337</v>
      </c>
      <c r="L535" s="4">
        <v>8</v>
      </c>
    </row>
    <row r="536" spans="1:12" x14ac:dyDescent="0.3">
      <c r="A536" s="16">
        <v>535</v>
      </c>
      <c r="B536" s="4">
        <v>70468</v>
      </c>
      <c r="C536" s="4" t="s">
        <v>680</v>
      </c>
      <c r="D536" s="4" t="s">
        <v>11</v>
      </c>
      <c r="E536" s="4" t="s">
        <v>274</v>
      </c>
      <c r="F536" s="4" t="s">
        <v>25</v>
      </c>
      <c r="G536" s="5">
        <v>44695</v>
      </c>
      <c r="H536" s="4" t="s">
        <v>46</v>
      </c>
      <c r="I536" t="s">
        <v>756</v>
      </c>
      <c r="J536" s="6">
        <v>7303</v>
      </c>
      <c r="K536" s="6">
        <v>13405</v>
      </c>
      <c r="L536" s="4">
        <v>12</v>
      </c>
    </row>
    <row r="537" spans="1:12" x14ac:dyDescent="0.3">
      <c r="A537" s="16">
        <v>536</v>
      </c>
      <c r="B537" s="4">
        <v>70478</v>
      </c>
      <c r="C537" s="4" t="s">
        <v>681</v>
      </c>
      <c r="D537" s="4" t="s">
        <v>11</v>
      </c>
      <c r="E537" s="4" t="s">
        <v>274</v>
      </c>
      <c r="F537" s="4" t="s">
        <v>116</v>
      </c>
      <c r="G537" s="5">
        <v>42218</v>
      </c>
      <c r="H537" s="4" t="s">
        <v>46</v>
      </c>
      <c r="I537" t="s">
        <v>756</v>
      </c>
      <c r="J537" s="6">
        <v>8591</v>
      </c>
      <c r="K537" s="6">
        <v>15337</v>
      </c>
      <c r="L537" s="4">
        <v>12</v>
      </c>
    </row>
    <row r="538" spans="1:12" x14ac:dyDescent="0.3">
      <c r="A538" s="16">
        <v>537</v>
      </c>
      <c r="B538" s="4">
        <v>70499</v>
      </c>
      <c r="C538" s="4" t="s">
        <v>682</v>
      </c>
      <c r="D538" s="4" t="s">
        <v>11</v>
      </c>
      <c r="E538" s="4" t="s">
        <v>274</v>
      </c>
      <c r="F538" s="4" t="s">
        <v>25</v>
      </c>
      <c r="G538" s="5">
        <v>44593</v>
      </c>
      <c r="H538" s="4" t="s">
        <v>46</v>
      </c>
      <c r="I538" t="s">
        <v>756</v>
      </c>
      <c r="J538" s="6">
        <v>7303</v>
      </c>
      <c r="K538" s="6">
        <v>13405</v>
      </c>
      <c r="L538" s="4">
        <v>8</v>
      </c>
    </row>
    <row r="539" spans="1:12" x14ac:dyDescent="0.3">
      <c r="A539" s="16">
        <v>538</v>
      </c>
      <c r="B539" s="4">
        <v>70497</v>
      </c>
      <c r="C539" s="4" t="s">
        <v>683</v>
      </c>
      <c r="D539" s="4" t="s">
        <v>11</v>
      </c>
      <c r="E539" s="4" t="s">
        <v>274</v>
      </c>
      <c r="F539" s="4" t="s">
        <v>25</v>
      </c>
      <c r="G539" s="5">
        <v>44867</v>
      </c>
      <c r="H539" s="4" t="s">
        <v>46</v>
      </c>
      <c r="I539" t="s">
        <v>755</v>
      </c>
      <c r="J539" s="6">
        <v>7303</v>
      </c>
      <c r="K539" s="6">
        <v>13405</v>
      </c>
      <c r="L539" s="4">
        <v>8</v>
      </c>
    </row>
    <row r="540" spans="1:12" x14ac:dyDescent="0.3">
      <c r="A540" s="16">
        <v>539</v>
      </c>
      <c r="B540" s="4">
        <v>70487</v>
      </c>
      <c r="C540" s="4" t="s">
        <v>684</v>
      </c>
      <c r="D540" s="4" t="s">
        <v>11</v>
      </c>
      <c r="E540" s="4" t="s">
        <v>274</v>
      </c>
      <c r="F540" s="4" t="s">
        <v>685</v>
      </c>
      <c r="G540" s="5">
        <v>44826</v>
      </c>
      <c r="H540" s="4" t="s">
        <v>46</v>
      </c>
      <c r="I540" t="s">
        <v>755</v>
      </c>
      <c r="J540" s="6">
        <v>8066</v>
      </c>
      <c r="K540" s="6">
        <v>14549</v>
      </c>
      <c r="L540" s="4">
        <v>12</v>
      </c>
    </row>
    <row r="541" spans="1:12" x14ac:dyDescent="0.3">
      <c r="A541" s="16">
        <v>540</v>
      </c>
      <c r="B541" s="4">
        <v>70540</v>
      </c>
      <c r="C541" s="4" t="s">
        <v>686</v>
      </c>
      <c r="D541" s="4" t="s">
        <v>11</v>
      </c>
      <c r="E541" s="4" t="s">
        <v>274</v>
      </c>
      <c r="F541" s="4" t="s">
        <v>25</v>
      </c>
      <c r="G541" s="5">
        <v>44959</v>
      </c>
      <c r="H541" s="4" t="s">
        <v>46</v>
      </c>
      <c r="I541" t="s">
        <v>756</v>
      </c>
      <c r="J541" s="6">
        <v>7303</v>
      </c>
      <c r="K541" s="6">
        <v>13405</v>
      </c>
      <c r="L541" s="4">
        <v>12</v>
      </c>
    </row>
    <row r="542" spans="1:12" x14ac:dyDescent="0.3">
      <c r="A542" s="16">
        <v>541</v>
      </c>
      <c r="B542" s="4">
        <v>70541</v>
      </c>
      <c r="C542" s="4" t="s">
        <v>687</v>
      </c>
      <c r="D542" s="4" t="s">
        <v>11</v>
      </c>
      <c r="E542" s="4" t="s">
        <v>274</v>
      </c>
      <c r="F542" s="4" t="s">
        <v>25</v>
      </c>
      <c r="G542" s="5">
        <v>45172</v>
      </c>
      <c r="H542" s="4" t="s">
        <v>46</v>
      </c>
      <c r="I542" t="s">
        <v>755</v>
      </c>
      <c r="J542" s="6">
        <v>7303</v>
      </c>
      <c r="K542" s="6">
        <v>13405</v>
      </c>
      <c r="L542" s="4">
        <v>8</v>
      </c>
    </row>
    <row r="543" spans="1:12" x14ac:dyDescent="0.3">
      <c r="A543" s="16">
        <v>542</v>
      </c>
      <c r="B543" s="4">
        <v>70542</v>
      </c>
      <c r="C543" s="4" t="s">
        <v>688</v>
      </c>
      <c r="D543" s="4" t="s">
        <v>11</v>
      </c>
      <c r="E543" s="4" t="s">
        <v>274</v>
      </c>
      <c r="F543" s="4" t="s">
        <v>25</v>
      </c>
      <c r="G543" s="5">
        <v>45117</v>
      </c>
      <c r="H543" s="4" t="s">
        <v>46</v>
      </c>
      <c r="I543" t="s">
        <v>755</v>
      </c>
      <c r="J543" s="6">
        <v>7303</v>
      </c>
      <c r="K543" s="6">
        <v>13405</v>
      </c>
      <c r="L543" s="4">
        <v>8</v>
      </c>
    </row>
    <row r="544" spans="1:12" x14ac:dyDescent="0.3">
      <c r="A544" s="16">
        <v>543</v>
      </c>
      <c r="B544" s="4">
        <v>70188</v>
      </c>
      <c r="C544" s="4" t="s">
        <v>689</v>
      </c>
      <c r="D544" s="4" t="s">
        <v>11</v>
      </c>
      <c r="E544" s="4" t="s">
        <v>274</v>
      </c>
      <c r="F544" s="4" t="s">
        <v>440</v>
      </c>
      <c r="G544" s="5">
        <v>42918</v>
      </c>
      <c r="H544" s="4" t="s">
        <v>46</v>
      </c>
      <c r="I544" t="s">
        <v>756</v>
      </c>
      <c r="J544" s="6">
        <v>7339</v>
      </c>
      <c r="K544" s="6">
        <v>13458</v>
      </c>
      <c r="L544" s="4">
        <v>8</v>
      </c>
    </row>
    <row r="545" spans="1:12" x14ac:dyDescent="0.3">
      <c r="A545" s="16">
        <v>544</v>
      </c>
      <c r="B545" s="4">
        <v>70091</v>
      </c>
      <c r="C545" s="4" t="s">
        <v>690</v>
      </c>
      <c r="D545" s="4" t="s">
        <v>11</v>
      </c>
      <c r="E545" s="4" t="s">
        <v>274</v>
      </c>
      <c r="F545" s="4" t="s">
        <v>691</v>
      </c>
      <c r="G545" s="5">
        <v>41986</v>
      </c>
      <c r="H545" s="4" t="s">
        <v>46</v>
      </c>
      <c r="I545" t="s">
        <v>755</v>
      </c>
      <c r="J545" s="6">
        <v>8066</v>
      </c>
      <c r="K545" s="6">
        <v>14549</v>
      </c>
      <c r="L545" s="4">
        <v>8</v>
      </c>
    </row>
    <row r="546" spans="1:12" x14ac:dyDescent="0.3">
      <c r="A546" s="16">
        <v>545</v>
      </c>
      <c r="B546" s="4">
        <v>70103</v>
      </c>
      <c r="C546" s="4" t="s">
        <v>692</v>
      </c>
      <c r="D546" s="4" t="s">
        <v>11</v>
      </c>
      <c r="E546" s="4" t="s">
        <v>274</v>
      </c>
      <c r="F546" s="4" t="s">
        <v>693</v>
      </c>
      <c r="G546" s="5">
        <v>42221</v>
      </c>
      <c r="H546" s="4" t="s">
        <v>46</v>
      </c>
      <c r="I546" t="s">
        <v>755</v>
      </c>
      <c r="J546" s="6">
        <v>8591</v>
      </c>
      <c r="K546" s="6">
        <v>15337</v>
      </c>
      <c r="L546" s="4">
        <v>8</v>
      </c>
    </row>
    <row r="547" spans="1:12" x14ac:dyDescent="0.3">
      <c r="A547" s="16">
        <v>546</v>
      </c>
      <c r="B547" s="4">
        <v>70010</v>
      </c>
      <c r="C547" s="4" t="s">
        <v>227</v>
      </c>
      <c r="D547" s="4" t="s">
        <v>11</v>
      </c>
      <c r="E547" s="4" t="s">
        <v>274</v>
      </c>
      <c r="F547" s="4" t="s">
        <v>694</v>
      </c>
      <c r="G547" s="5">
        <v>37288</v>
      </c>
      <c r="H547" s="4" t="s">
        <v>46</v>
      </c>
      <c r="I547" t="s">
        <v>756</v>
      </c>
      <c r="J547" s="6">
        <v>10625</v>
      </c>
      <c r="K547" s="6">
        <v>18388</v>
      </c>
      <c r="L547" s="4">
        <v>12</v>
      </c>
    </row>
    <row r="548" spans="1:12" x14ac:dyDescent="0.3">
      <c r="A548" s="16">
        <v>547</v>
      </c>
      <c r="B548" s="4">
        <v>70037</v>
      </c>
      <c r="C548" s="4" t="s">
        <v>695</v>
      </c>
      <c r="D548" s="4" t="s">
        <v>11</v>
      </c>
      <c r="E548" s="4" t="s">
        <v>274</v>
      </c>
      <c r="F548" s="4" t="s">
        <v>440</v>
      </c>
      <c r="G548" s="5">
        <v>40515</v>
      </c>
      <c r="H548" s="4" t="s">
        <v>46</v>
      </c>
      <c r="I548" t="s">
        <v>755</v>
      </c>
      <c r="J548" s="6">
        <v>9122</v>
      </c>
      <c r="K548" s="6">
        <v>16133</v>
      </c>
      <c r="L548" s="4">
        <v>8</v>
      </c>
    </row>
    <row r="549" spans="1:12" x14ac:dyDescent="0.3">
      <c r="A549" s="16">
        <v>548</v>
      </c>
      <c r="B549" s="4">
        <v>70356</v>
      </c>
      <c r="C549" s="4" t="s">
        <v>696</v>
      </c>
      <c r="D549" s="4" t="s">
        <v>11</v>
      </c>
      <c r="E549" s="4" t="s">
        <v>274</v>
      </c>
      <c r="F549" s="4" t="s">
        <v>443</v>
      </c>
      <c r="G549" s="5">
        <v>41762</v>
      </c>
      <c r="H549" s="4" t="s">
        <v>46</v>
      </c>
      <c r="I549" t="s">
        <v>755</v>
      </c>
      <c r="J549" s="6">
        <v>8189</v>
      </c>
      <c r="K549" s="6">
        <v>14734</v>
      </c>
      <c r="L549" s="4">
        <v>12</v>
      </c>
    </row>
    <row r="550" spans="1:12" x14ac:dyDescent="0.3">
      <c r="A550" s="16">
        <v>549</v>
      </c>
      <c r="B550" s="4">
        <v>70361</v>
      </c>
      <c r="C550" s="4" t="s">
        <v>697</v>
      </c>
      <c r="D550" s="4" t="s">
        <v>11</v>
      </c>
      <c r="E550" s="4" t="s">
        <v>274</v>
      </c>
      <c r="F550" s="4" t="s">
        <v>440</v>
      </c>
      <c r="G550" s="5">
        <v>42675</v>
      </c>
      <c r="H550" s="4" t="s">
        <v>46</v>
      </c>
      <c r="I550" t="s">
        <v>756</v>
      </c>
      <c r="J550" s="6">
        <v>7448</v>
      </c>
      <c r="K550" s="6">
        <v>13622</v>
      </c>
      <c r="L550" s="4">
        <v>8</v>
      </c>
    </row>
    <row r="551" spans="1:12" x14ac:dyDescent="0.3">
      <c r="A551" s="16">
        <v>550</v>
      </c>
      <c r="B551" s="4">
        <v>70362</v>
      </c>
      <c r="C551" s="4" t="s">
        <v>698</v>
      </c>
      <c r="D551" s="4" t="s">
        <v>11</v>
      </c>
      <c r="E551" s="4" t="s">
        <v>274</v>
      </c>
      <c r="F551" s="4" t="s">
        <v>699</v>
      </c>
      <c r="G551" s="5">
        <v>42675</v>
      </c>
      <c r="H551" s="4" t="s">
        <v>46</v>
      </c>
      <c r="I551" t="s">
        <v>756</v>
      </c>
      <c r="J551" s="6">
        <v>8066</v>
      </c>
      <c r="K551" s="6">
        <v>14549</v>
      </c>
      <c r="L551" s="4">
        <v>8</v>
      </c>
    </row>
    <row r="552" spans="1:12" x14ac:dyDescent="0.3">
      <c r="A552" s="16">
        <v>551</v>
      </c>
      <c r="B552" s="4">
        <v>70451</v>
      </c>
      <c r="C552" s="4" t="s">
        <v>700</v>
      </c>
      <c r="D552" s="4" t="s">
        <v>11</v>
      </c>
      <c r="E552" s="4" t="s">
        <v>274</v>
      </c>
      <c r="F552" s="4" t="s">
        <v>25</v>
      </c>
      <c r="G552" s="5">
        <v>44507</v>
      </c>
      <c r="H552" s="4" t="s">
        <v>46</v>
      </c>
      <c r="I552" t="s">
        <v>756</v>
      </c>
      <c r="J552" s="6">
        <v>7303</v>
      </c>
      <c r="K552" s="6">
        <v>13405</v>
      </c>
      <c r="L552" s="4">
        <v>8</v>
      </c>
    </row>
    <row r="553" spans="1:12" x14ac:dyDescent="0.3">
      <c r="A553" s="16">
        <v>552</v>
      </c>
      <c r="B553" s="4">
        <v>70431</v>
      </c>
      <c r="C553" s="4" t="s">
        <v>23</v>
      </c>
      <c r="D553" s="4" t="s">
        <v>11</v>
      </c>
      <c r="E553" s="4" t="s">
        <v>274</v>
      </c>
      <c r="F553" s="4" t="s">
        <v>116</v>
      </c>
      <c r="G553" s="5">
        <v>44382</v>
      </c>
      <c r="H553" s="4" t="s">
        <v>46</v>
      </c>
      <c r="I553" t="s">
        <v>755</v>
      </c>
      <c r="J553" s="6">
        <v>8591</v>
      </c>
      <c r="K553" s="6">
        <v>15337</v>
      </c>
      <c r="L553" s="4">
        <v>12</v>
      </c>
    </row>
    <row r="554" spans="1:12" x14ac:dyDescent="0.3">
      <c r="A554" s="16">
        <v>553</v>
      </c>
      <c r="B554" s="4">
        <v>70403</v>
      </c>
      <c r="C554" s="4" t="s">
        <v>701</v>
      </c>
      <c r="D554" s="4" t="s">
        <v>11</v>
      </c>
      <c r="E554" s="4" t="s">
        <v>274</v>
      </c>
      <c r="F554" s="4" t="s">
        <v>116</v>
      </c>
      <c r="G554" s="5">
        <v>44237</v>
      </c>
      <c r="H554" s="4" t="s">
        <v>46</v>
      </c>
      <c r="I554" t="s">
        <v>755</v>
      </c>
      <c r="J554" s="6">
        <v>8591</v>
      </c>
      <c r="K554" s="6">
        <v>15337</v>
      </c>
      <c r="L554" s="4">
        <v>12</v>
      </c>
    </row>
    <row r="555" spans="1:12" x14ac:dyDescent="0.3">
      <c r="A555" s="16">
        <v>554</v>
      </c>
      <c r="B555" s="4">
        <v>70416</v>
      </c>
      <c r="C555" s="4" t="s">
        <v>702</v>
      </c>
      <c r="D555" s="4" t="s">
        <v>11</v>
      </c>
      <c r="E555" s="4" t="s">
        <v>274</v>
      </c>
      <c r="F555" s="4" t="s">
        <v>25</v>
      </c>
      <c r="G555" s="5">
        <v>44360</v>
      </c>
      <c r="H555" s="4" t="s">
        <v>46</v>
      </c>
      <c r="I555" t="s">
        <v>756</v>
      </c>
      <c r="J555" s="6">
        <v>7303</v>
      </c>
      <c r="K555" s="6">
        <v>13405</v>
      </c>
      <c r="L555" s="4">
        <v>8</v>
      </c>
    </row>
    <row r="556" spans="1:12" x14ac:dyDescent="0.3">
      <c r="A556" s="16">
        <v>555</v>
      </c>
      <c r="B556" s="4">
        <v>70417</v>
      </c>
      <c r="C556" s="4" t="s">
        <v>703</v>
      </c>
      <c r="D556" s="4" t="s">
        <v>11</v>
      </c>
      <c r="E556" s="4" t="s">
        <v>274</v>
      </c>
      <c r="F556" s="4" t="s">
        <v>25</v>
      </c>
      <c r="G556" s="5">
        <v>44362</v>
      </c>
      <c r="H556" s="4" t="s">
        <v>46</v>
      </c>
      <c r="I556" t="s">
        <v>755</v>
      </c>
      <c r="J556" s="6">
        <v>7303</v>
      </c>
      <c r="K556" s="6">
        <v>13405</v>
      </c>
      <c r="L556" s="4">
        <v>8</v>
      </c>
    </row>
    <row r="557" spans="1:12" x14ac:dyDescent="0.3">
      <c r="A557" s="16">
        <v>556</v>
      </c>
      <c r="B557" s="4">
        <v>70405</v>
      </c>
      <c r="C557" s="4" t="s">
        <v>704</v>
      </c>
      <c r="D557" s="4" t="s">
        <v>11</v>
      </c>
      <c r="E557" s="4" t="s">
        <v>274</v>
      </c>
      <c r="F557" s="4" t="s">
        <v>25</v>
      </c>
      <c r="G557" s="5">
        <v>44263</v>
      </c>
      <c r="H557" s="4" t="s">
        <v>46</v>
      </c>
      <c r="I557" t="s">
        <v>755</v>
      </c>
      <c r="J557" s="6">
        <v>7303</v>
      </c>
      <c r="K557" s="6">
        <v>13405</v>
      </c>
      <c r="L557" s="4">
        <v>8</v>
      </c>
    </row>
    <row r="558" spans="1:12" x14ac:dyDescent="0.3">
      <c r="A558" s="16">
        <v>557</v>
      </c>
      <c r="B558" s="4">
        <v>70379</v>
      </c>
      <c r="C558" s="4" t="s">
        <v>705</v>
      </c>
      <c r="D558" s="4" t="s">
        <v>11</v>
      </c>
      <c r="E558" s="4" t="s">
        <v>274</v>
      </c>
      <c r="F558" s="4" t="s">
        <v>443</v>
      </c>
      <c r="G558" s="5">
        <v>43010</v>
      </c>
      <c r="H558" s="4" t="s">
        <v>46</v>
      </c>
      <c r="I558" t="s">
        <v>756</v>
      </c>
      <c r="J558" s="6">
        <v>7376</v>
      </c>
      <c r="K558" s="6">
        <v>13514</v>
      </c>
      <c r="L558" s="4">
        <v>12</v>
      </c>
    </row>
    <row r="559" spans="1:12" x14ac:dyDescent="0.3">
      <c r="A559" s="16">
        <v>558</v>
      </c>
      <c r="B559" s="4">
        <v>70424</v>
      </c>
      <c r="C559" s="4" t="s">
        <v>706</v>
      </c>
      <c r="D559" s="4" t="s">
        <v>11</v>
      </c>
      <c r="E559" s="4" t="s">
        <v>283</v>
      </c>
      <c r="F559" s="4" t="s">
        <v>116</v>
      </c>
      <c r="G559" s="5">
        <v>42409</v>
      </c>
      <c r="H559" s="4" t="s">
        <v>46</v>
      </c>
      <c r="I559" t="s">
        <v>755</v>
      </c>
      <c r="J559" s="6">
        <v>8591</v>
      </c>
      <c r="K559" s="6">
        <v>15337</v>
      </c>
      <c r="L559" s="4">
        <v>12</v>
      </c>
    </row>
    <row r="560" spans="1:12" x14ac:dyDescent="0.3">
      <c r="A560" s="16">
        <v>559</v>
      </c>
      <c r="B560" s="4">
        <v>70425</v>
      </c>
      <c r="C560" s="4" t="s">
        <v>707</v>
      </c>
      <c r="D560" s="4" t="s">
        <v>11</v>
      </c>
      <c r="E560" s="4" t="s">
        <v>283</v>
      </c>
      <c r="F560" s="4" t="s">
        <v>116</v>
      </c>
      <c r="G560" s="5">
        <v>41440</v>
      </c>
      <c r="H560" s="4" t="s">
        <v>46</v>
      </c>
      <c r="I560" t="s">
        <v>756</v>
      </c>
      <c r="J560" s="6">
        <v>8591</v>
      </c>
      <c r="K560" s="6">
        <v>15337</v>
      </c>
      <c r="L560" s="4">
        <v>8</v>
      </c>
    </row>
    <row r="561" spans="1:12" x14ac:dyDescent="0.3">
      <c r="A561" s="16">
        <v>560</v>
      </c>
      <c r="B561" s="4">
        <v>70418</v>
      </c>
      <c r="C561" s="4" t="s">
        <v>708</v>
      </c>
      <c r="D561" s="4" t="s">
        <v>11</v>
      </c>
      <c r="E561" s="4" t="s">
        <v>283</v>
      </c>
      <c r="F561" s="4" t="s">
        <v>120</v>
      </c>
      <c r="G561" s="5">
        <v>42798</v>
      </c>
      <c r="H561" s="4" t="s">
        <v>46</v>
      </c>
      <c r="I561" t="s">
        <v>756</v>
      </c>
      <c r="J561" s="6">
        <v>7303</v>
      </c>
      <c r="K561" s="6">
        <v>13405</v>
      </c>
      <c r="L561" s="4">
        <v>8</v>
      </c>
    </row>
    <row r="562" spans="1:12" x14ac:dyDescent="0.3">
      <c r="A562" s="16">
        <v>561</v>
      </c>
      <c r="B562" s="4">
        <v>70420</v>
      </c>
      <c r="C562" s="4" t="s">
        <v>709</v>
      </c>
      <c r="D562" s="4" t="s">
        <v>11</v>
      </c>
      <c r="E562" s="4" t="s">
        <v>283</v>
      </c>
      <c r="F562" s="4" t="s">
        <v>116</v>
      </c>
      <c r="G562" s="5">
        <v>40331</v>
      </c>
      <c r="H562" s="4" t="s">
        <v>46</v>
      </c>
      <c r="I562" t="s">
        <v>756</v>
      </c>
      <c r="J562" s="6">
        <v>8591</v>
      </c>
      <c r="K562" s="6">
        <v>15337</v>
      </c>
      <c r="L562" s="4">
        <v>8</v>
      </c>
    </row>
    <row r="563" spans="1:12" x14ac:dyDescent="0.3">
      <c r="A563" s="16">
        <v>562</v>
      </c>
      <c r="B563" s="4">
        <v>70048</v>
      </c>
      <c r="C563" s="4" t="s">
        <v>543</v>
      </c>
      <c r="D563" s="4" t="s">
        <v>11</v>
      </c>
      <c r="E563" s="4" t="s">
        <v>283</v>
      </c>
      <c r="F563" s="4" t="s">
        <v>343</v>
      </c>
      <c r="G563" s="5">
        <v>40725</v>
      </c>
      <c r="H563" s="4" t="s">
        <v>46</v>
      </c>
      <c r="I563" t="s">
        <v>755</v>
      </c>
      <c r="J563" s="6">
        <v>9079</v>
      </c>
      <c r="K563" s="6">
        <v>16068</v>
      </c>
      <c r="L563" s="4">
        <v>8</v>
      </c>
    </row>
    <row r="564" spans="1:12" x14ac:dyDescent="0.3">
      <c r="A564" s="16">
        <v>563</v>
      </c>
      <c r="B564" s="4">
        <v>70006</v>
      </c>
      <c r="C564" s="4" t="s">
        <v>710</v>
      </c>
      <c r="D564" s="4" t="s">
        <v>11</v>
      </c>
      <c r="E564" s="4" t="s">
        <v>283</v>
      </c>
      <c r="F564" s="4" t="s">
        <v>641</v>
      </c>
      <c r="G564" s="5">
        <v>36312</v>
      </c>
      <c r="H564" s="4" t="s">
        <v>46</v>
      </c>
      <c r="I564" t="s">
        <v>755</v>
      </c>
      <c r="J564" s="6">
        <v>10925</v>
      </c>
      <c r="K564" s="6">
        <v>18838</v>
      </c>
      <c r="L564" s="4">
        <v>8</v>
      </c>
    </row>
    <row r="565" spans="1:12" x14ac:dyDescent="0.3">
      <c r="A565" s="16">
        <v>564</v>
      </c>
      <c r="B565" s="4">
        <v>70070</v>
      </c>
      <c r="C565" s="4" t="s">
        <v>711</v>
      </c>
      <c r="D565" s="4" t="s">
        <v>11</v>
      </c>
      <c r="E565" s="4" t="s">
        <v>283</v>
      </c>
      <c r="F565" s="4" t="s">
        <v>712</v>
      </c>
      <c r="G565" s="5">
        <v>41711</v>
      </c>
      <c r="H565" s="4" t="s">
        <v>46</v>
      </c>
      <c r="I565" t="s">
        <v>756</v>
      </c>
      <c r="J565" s="6">
        <v>8451</v>
      </c>
      <c r="K565" s="6">
        <v>15126</v>
      </c>
      <c r="L565" s="4">
        <v>12</v>
      </c>
    </row>
    <row r="566" spans="1:12" x14ac:dyDescent="0.3">
      <c r="A566" s="16">
        <v>565</v>
      </c>
      <c r="B566" s="4">
        <v>70064</v>
      </c>
      <c r="C566" s="4" t="s">
        <v>713</v>
      </c>
      <c r="D566" s="4" t="s">
        <v>11</v>
      </c>
      <c r="E566" s="4" t="s">
        <v>283</v>
      </c>
      <c r="F566" s="4" t="s">
        <v>667</v>
      </c>
      <c r="G566" s="5">
        <v>41456</v>
      </c>
      <c r="H566" s="4" t="s">
        <v>46</v>
      </c>
      <c r="I566" t="s">
        <v>755</v>
      </c>
      <c r="J566" s="6">
        <v>9375</v>
      </c>
      <c r="K566" s="6">
        <v>16513</v>
      </c>
      <c r="L566" s="4">
        <v>8</v>
      </c>
    </row>
    <row r="567" spans="1:12" x14ac:dyDescent="0.3">
      <c r="A567" s="16">
        <v>566</v>
      </c>
      <c r="B567" s="4">
        <v>70004</v>
      </c>
      <c r="C567" s="4" t="s">
        <v>714</v>
      </c>
      <c r="D567" s="4" t="s">
        <v>11</v>
      </c>
      <c r="E567" s="4" t="s">
        <v>283</v>
      </c>
      <c r="F567" s="4" t="s">
        <v>343</v>
      </c>
      <c r="G567" s="5">
        <v>35952</v>
      </c>
      <c r="H567" s="4" t="s">
        <v>46</v>
      </c>
      <c r="I567" t="s">
        <v>755</v>
      </c>
      <c r="J567" s="6">
        <v>11376</v>
      </c>
      <c r="K567" s="6">
        <v>19514</v>
      </c>
      <c r="L567" s="4">
        <v>12</v>
      </c>
    </row>
    <row r="568" spans="1:12" x14ac:dyDescent="0.3">
      <c r="A568" s="16">
        <v>567</v>
      </c>
      <c r="B568" s="4">
        <v>70132</v>
      </c>
      <c r="C568" s="4" t="s">
        <v>715</v>
      </c>
      <c r="D568" s="4" t="s">
        <v>11</v>
      </c>
      <c r="E568" s="4" t="s">
        <v>283</v>
      </c>
      <c r="F568" s="4" t="s">
        <v>712</v>
      </c>
      <c r="G568" s="5">
        <v>42575</v>
      </c>
      <c r="H568" s="4" t="s">
        <v>46</v>
      </c>
      <c r="I568" t="s">
        <v>756</v>
      </c>
      <c r="J568" s="6">
        <v>7339</v>
      </c>
      <c r="K568" s="6">
        <v>13458</v>
      </c>
      <c r="L568" s="4">
        <v>8</v>
      </c>
    </row>
    <row r="569" spans="1:12" x14ac:dyDescent="0.3">
      <c r="A569" s="16">
        <v>568</v>
      </c>
      <c r="B569" s="4">
        <v>70016</v>
      </c>
      <c r="C569" s="4" t="s">
        <v>716</v>
      </c>
      <c r="D569" s="4" t="s">
        <v>11</v>
      </c>
      <c r="E569" s="4" t="s">
        <v>283</v>
      </c>
      <c r="F569" s="4" t="s">
        <v>641</v>
      </c>
      <c r="G569" s="5">
        <v>37657</v>
      </c>
      <c r="H569" s="4" t="s">
        <v>46</v>
      </c>
      <c r="I569" t="s">
        <v>755</v>
      </c>
      <c r="J569" s="6">
        <v>10174</v>
      </c>
      <c r="K569" s="6">
        <v>17711</v>
      </c>
      <c r="L569" s="4">
        <v>8</v>
      </c>
    </row>
    <row r="570" spans="1:12" x14ac:dyDescent="0.3">
      <c r="A570" s="16">
        <v>569</v>
      </c>
      <c r="B570" s="4">
        <v>70531</v>
      </c>
      <c r="C570" s="4" t="s">
        <v>648</v>
      </c>
      <c r="D570" s="4" t="s">
        <v>11</v>
      </c>
      <c r="E570" s="4" t="s">
        <v>283</v>
      </c>
      <c r="F570" s="4" t="s">
        <v>25</v>
      </c>
      <c r="G570" s="5">
        <v>39909</v>
      </c>
      <c r="H570" s="4" t="s">
        <v>46</v>
      </c>
      <c r="I570" t="s">
        <v>755</v>
      </c>
      <c r="J570" s="6">
        <v>8687</v>
      </c>
      <c r="K570" s="6">
        <v>15481</v>
      </c>
      <c r="L570" s="4">
        <v>8</v>
      </c>
    </row>
    <row r="571" spans="1:12" x14ac:dyDescent="0.3">
      <c r="A571" s="16">
        <v>570</v>
      </c>
      <c r="B571" s="4">
        <v>70480</v>
      </c>
      <c r="C571" s="4" t="s">
        <v>717</v>
      </c>
      <c r="D571" s="4" t="s">
        <v>11</v>
      </c>
      <c r="E571" s="4" t="s">
        <v>283</v>
      </c>
      <c r="F571" s="4" t="s">
        <v>116</v>
      </c>
      <c r="G571" s="5">
        <v>44774</v>
      </c>
      <c r="H571" s="4" t="s">
        <v>46</v>
      </c>
      <c r="I571" t="s">
        <v>756</v>
      </c>
      <c r="J571" s="6">
        <v>8591</v>
      </c>
      <c r="K571" s="6">
        <v>15337</v>
      </c>
      <c r="L571" s="4">
        <v>12</v>
      </c>
    </row>
    <row r="572" spans="1:12" x14ac:dyDescent="0.3">
      <c r="A572" s="16">
        <v>571</v>
      </c>
      <c r="B572" s="4">
        <v>70479</v>
      </c>
      <c r="C572" s="4" t="s">
        <v>718</v>
      </c>
      <c r="D572" s="4" t="s">
        <v>11</v>
      </c>
      <c r="E572" s="4" t="s">
        <v>283</v>
      </c>
      <c r="F572" s="4" t="s">
        <v>116</v>
      </c>
      <c r="G572" s="5">
        <v>44774</v>
      </c>
      <c r="H572" s="4" t="s">
        <v>46</v>
      </c>
      <c r="I572" t="s">
        <v>755</v>
      </c>
      <c r="J572" s="6">
        <v>8591</v>
      </c>
      <c r="K572" s="6">
        <v>15337</v>
      </c>
      <c r="L572" s="4">
        <v>12</v>
      </c>
    </row>
    <row r="573" spans="1:12" x14ac:dyDescent="0.3">
      <c r="A573" s="16">
        <v>572</v>
      </c>
      <c r="B573" s="4">
        <v>70509</v>
      </c>
      <c r="C573" s="4" t="s">
        <v>719</v>
      </c>
      <c r="D573" s="4" t="s">
        <v>11</v>
      </c>
      <c r="E573" s="4" t="s">
        <v>283</v>
      </c>
      <c r="F573" s="4" t="s">
        <v>25</v>
      </c>
      <c r="G573" s="5">
        <v>44998</v>
      </c>
      <c r="H573" s="4" t="s">
        <v>46</v>
      </c>
      <c r="I573" t="s">
        <v>756</v>
      </c>
      <c r="J573" s="6">
        <v>7303</v>
      </c>
      <c r="K573" s="6">
        <v>13405</v>
      </c>
      <c r="L573" s="4">
        <v>8</v>
      </c>
    </row>
    <row r="574" spans="1:12" x14ac:dyDescent="0.3">
      <c r="A574" s="16">
        <v>573</v>
      </c>
      <c r="B574" s="4">
        <v>70510</v>
      </c>
      <c r="C574" s="4" t="s">
        <v>720</v>
      </c>
      <c r="D574" s="4" t="s">
        <v>11</v>
      </c>
      <c r="E574" s="4" t="s">
        <v>283</v>
      </c>
      <c r="F574" s="4" t="s">
        <v>25</v>
      </c>
      <c r="G574" s="5">
        <v>44998</v>
      </c>
      <c r="H574" s="4" t="s">
        <v>46</v>
      </c>
      <c r="I574" t="s">
        <v>756</v>
      </c>
      <c r="J574" s="6">
        <v>7303</v>
      </c>
      <c r="K574" s="6">
        <v>13405</v>
      </c>
      <c r="L574" s="4">
        <v>8</v>
      </c>
    </row>
    <row r="575" spans="1:12" x14ac:dyDescent="0.3">
      <c r="A575" s="16">
        <v>574</v>
      </c>
      <c r="B575" s="4">
        <v>70507</v>
      </c>
      <c r="C575" s="4" t="s">
        <v>721</v>
      </c>
      <c r="D575" s="4" t="s">
        <v>11</v>
      </c>
      <c r="E575" s="4" t="s">
        <v>283</v>
      </c>
      <c r="F575" s="4" t="s">
        <v>25</v>
      </c>
      <c r="G575" s="5">
        <v>44992</v>
      </c>
      <c r="H575" s="4" t="s">
        <v>46</v>
      </c>
      <c r="I575" t="s">
        <v>756</v>
      </c>
      <c r="J575" s="6">
        <v>7303</v>
      </c>
      <c r="K575" s="6">
        <v>13405</v>
      </c>
      <c r="L575" s="4">
        <v>8</v>
      </c>
    </row>
    <row r="576" spans="1:12" x14ac:dyDescent="0.3">
      <c r="A576" s="16">
        <v>575</v>
      </c>
      <c r="B576" s="4">
        <v>70508</v>
      </c>
      <c r="C576" s="4" t="s">
        <v>722</v>
      </c>
      <c r="D576" s="4" t="s">
        <v>11</v>
      </c>
      <c r="E576" s="4" t="s">
        <v>283</v>
      </c>
      <c r="F576" s="4" t="s">
        <v>25</v>
      </c>
      <c r="G576" s="5">
        <v>44992</v>
      </c>
      <c r="H576" s="4" t="s">
        <v>46</v>
      </c>
      <c r="I576" t="s">
        <v>755</v>
      </c>
      <c r="J576" s="6">
        <v>7303</v>
      </c>
      <c r="K576" s="6">
        <v>13405</v>
      </c>
      <c r="L576" s="4">
        <v>12</v>
      </c>
    </row>
    <row r="577" spans="1:12" x14ac:dyDescent="0.3">
      <c r="A577" s="16">
        <v>576</v>
      </c>
      <c r="B577" s="4">
        <v>70268</v>
      </c>
      <c r="C577" s="4" t="s">
        <v>723</v>
      </c>
      <c r="D577" s="4" t="s">
        <v>11</v>
      </c>
      <c r="E577" s="4" t="s">
        <v>309</v>
      </c>
      <c r="F577" s="4" t="s">
        <v>25</v>
      </c>
      <c r="G577" s="5">
        <v>45150</v>
      </c>
      <c r="H577" s="4" t="s">
        <v>46</v>
      </c>
      <c r="I577" t="s">
        <v>755</v>
      </c>
      <c r="J577" s="6">
        <v>7303</v>
      </c>
      <c r="K577" s="6">
        <v>13405</v>
      </c>
      <c r="L577" s="4">
        <v>12</v>
      </c>
    </row>
    <row r="578" spans="1:12" x14ac:dyDescent="0.3">
      <c r="A578" s="16">
        <v>577</v>
      </c>
      <c r="B578" s="4">
        <v>70252</v>
      </c>
      <c r="C578" s="4" t="s">
        <v>724</v>
      </c>
      <c r="D578" s="4" t="s">
        <v>11</v>
      </c>
      <c r="E578" s="4" t="s">
        <v>309</v>
      </c>
      <c r="F578" s="4" t="s">
        <v>25</v>
      </c>
      <c r="G578" s="5">
        <v>45122</v>
      </c>
      <c r="H578" s="4" t="s">
        <v>46</v>
      </c>
      <c r="I578" t="s">
        <v>756</v>
      </c>
      <c r="J578" s="6">
        <v>7303</v>
      </c>
      <c r="K578" s="6">
        <v>13405</v>
      </c>
      <c r="L578" s="4">
        <v>8</v>
      </c>
    </row>
    <row r="579" spans="1:12" x14ac:dyDescent="0.3">
      <c r="A579" s="16">
        <v>578</v>
      </c>
      <c r="B579" s="4">
        <v>70251</v>
      </c>
      <c r="C579" s="4" t="s">
        <v>725</v>
      </c>
      <c r="D579" s="4" t="s">
        <v>11</v>
      </c>
      <c r="E579" s="4" t="s">
        <v>309</v>
      </c>
      <c r="F579" s="4" t="s">
        <v>25</v>
      </c>
      <c r="G579" s="5">
        <v>45119</v>
      </c>
      <c r="H579" s="4" t="s">
        <v>46</v>
      </c>
      <c r="I579" t="s">
        <v>755</v>
      </c>
      <c r="J579" s="6">
        <v>7303</v>
      </c>
      <c r="K579" s="6">
        <v>13405</v>
      </c>
      <c r="L579" s="4">
        <v>8</v>
      </c>
    </row>
    <row r="580" spans="1:12" x14ac:dyDescent="0.3">
      <c r="A580" s="16">
        <v>579</v>
      </c>
      <c r="B580" s="4">
        <v>70250</v>
      </c>
      <c r="C580" s="4" t="s">
        <v>726</v>
      </c>
      <c r="D580" s="4" t="s">
        <v>11</v>
      </c>
      <c r="E580" s="4" t="s">
        <v>309</v>
      </c>
      <c r="F580" s="4" t="s">
        <v>25</v>
      </c>
      <c r="G580" s="5">
        <v>45116</v>
      </c>
      <c r="H580" s="4" t="s">
        <v>46</v>
      </c>
      <c r="I580" t="s">
        <v>755</v>
      </c>
      <c r="J580" s="6">
        <v>7303</v>
      </c>
      <c r="K580" s="6">
        <v>13405</v>
      </c>
      <c r="L580" s="4">
        <v>8</v>
      </c>
    </row>
    <row r="581" spans="1:12" x14ac:dyDescent="0.3">
      <c r="A581" s="16">
        <v>580</v>
      </c>
      <c r="B581" s="4">
        <v>70270</v>
      </c>
      <c r="C581" s="4" t="s">
        <v>727</v>
      </c>
      <c r="D581" s="4" t="s">
        <v>11</v>
      </c>
      <c r="E581" s="4" t="s">
        <v>309</v>
      </c>
      <c r="F581" s="4" t="s">
        <v>25</v>
      </c>
      <c r="G581" s="5">
        <v>45203</v>
      </c>
      <c r="H581" s="4" t="s">
        <v>46</v>
      </c>
      <c r="I581" t="s">
        <v>756</v>
      </c>
      <c r="J581" s="6">
        <v>7303</v>
      </c>
      <c r="K581" s="6">
        <v>13405</v>
      </c>
      <c r="L581" s="4">
        <v>8</v>
      </c>
    </row>
    <row r="582" spans="1:12" x14ac:dyDescent="0.3">
      <c r="A582" s="16">
        <v>581</v>
      </c>
      <c r="B582" s="4">
        <v>70272</v>
      </c>
      <c r="C582" s="4" t="s">
        <v>728</v>
      </c>
      <c r="D582" s="4" t="s">
        <v>11</v>
      </c>
      <c r="E582" s="4" t="s">
        <v>309</v>
      </c>
      <c r="F582" s="4" t="s">
        <v>25</v>
      </c>
      <c r="G582" s="5">
        <v>45204</v>
      </c>
      <c r="H582" s="4" t="s">
        <v>46</v>
      </c>
      <c r="I582" t="s">
        <v>755</v>
      </c>
      <c r="J582" s="6">
        <v>7303</v>
      </c>
      <c r="K582" s="6">
        <v>13405</v>
      </c>
      <c r="L582" s="4">
        <v>8</v>
      </c>
    </row>
    <row r="583" spans="1:12" x14ac:dyDescent="0.3">
      <c r="A583" s="16">
        <v>582</v>
      </c>
      <c r="B583" s="4">
        <v>70215</v>
      </c>
      <c r="C583" s="4" t="s">
        <v>729</v>
      </c>
      <c r="D583" s="4" t="s">
        <v>11</v>
      </c>
      <c r="E583" s="4" t="s">
        <v>309</v>
      </c>
      <c r="F583" s="4" t="s">
        <v>25</v>
      </c>
      <c r="G583" s="5">
        <v>44844</v>
      </c>
      <c r="H583" s="4" t="s">
        <v>46</v>
      </c>
      <c r="I583" t="s">
        <v>756</v>
      </c>
      <c r="J583" s="6">
        <v>7303</v>
      </c>
      <c r="K583" s="6">
        <v>13405</v>
      </c>
      <c r="L583" s="4">
        <v>12</v>
      </c>
    </row>
    <row r="584" spans="1:12" x14ac:dyDescent="0.3">
      <c r="A584" s="16">
        <v>583</v>
      </c>
      <c r="B584" s="4">
        <v>70222</v>
      </c>
      <c r="C584" s="4" t="s">
        <v>730</v>
      </c>
      <c r="D584" s="4" t="s">
        <v>11</v>
      </c>
      <c r="E584" s="4" t="s">
        <v>309</v>
      </c>
      <c r="F584" s="4" t="s">
        <v>25</v>
      </c>
      <c r="G584" s="5">
        <v>44900</v>
      </c>
      <c r="H584" s="4" t="s">
        <v>46</v>
      </c>
      <c r="I584" t="s">
        <v>756</v>
      </c>
      <c r="J584" s="6">
        <v>7303</v>
      </c>
      <c r="K584" s="6">
        <v>13405</v>
      </c>
      <c r="L584" s="4">
        <v>8</v>
      </c>
    </row>
    <row r="585" spans="1:12" x14ac:dyDescent="0.3">
      <c r="A585" s="16">
        <v>584</v>
      </c>
      <c r="B585" s="4">
        <v>70227</v>
      </c>
      <c r="C585" s="4" t="s">
        <v>731</v>
      </c>
      <c r="D585" s="4" t="s">
        <v>11</v>
      </c>
      <c r="E585" s="4" t="s">
        <v>309</v>
      </c>
      <c r="F585" s="4" t="s">
        <v>25</v>
      </c>
      <c r="G585" s="5">
        <v>44927</v>
      </c>
      <c r="H585" s="4" t="s">
        <v>46</v>
      </c>
      <c r="I585" t="s">
        <v>756</v>
      </c>
      <c r="J585" s="6">
        <v>7303</v>
      </c>
      <c r="K585" s="6">
        <v>13405</v>
      </c>
      <c r="L585" s="4">
        <v>12</v>
      </c>
    </row>
    <row r="586" spans="1:12" x14ac:dyDescent="0.3">
      <c r="A586" s="16">
        <v>585</v>
      </c>
      <c r="B586" s="4">
        <v>70238</v>
      </c>
      <c r="C586" s="4" t="s">
        <v>260</v>
      </c>
      <c r="D586" s="4" t="s">
        <v>11</v>
      </c>
      <c r="E586" s="4" t="s">
        <v>309</v>
      </c>
      <c r="F586" s="4" t="s">
        <v>25</v>
      </c>
      <c r="G586" s="5">
        <v>44938</v>
      </c>
      <c r="H586" s="4" t="s">
        <v>46</v>
      </c>
      <c r="I586" t="s">
        <v>755</v>
      </c>
      <c r="J586" s="6">
        <v>7303</v>
      </c>
      <c r="K586" s="6">
        <v>13405</v>
      </c>
      <c r="L586" s="4">
        <v>8</v>
      </c>
    </row>
    <row r="587" spans="1:12" x14ac:dyDescent="0.3">
      <c r="A587" s="16">
        <v>586</v>
      </c>
      <c r="B587" s="4">
        <v>70237</v>
      </c>
      <c r="C587" s="4" t="s">
        <v>732</v>
      </c>
      <c r="D587" s="4" t="s">
        <v>11</v>
      </c>
      <c r="E587" s="4" t="s">
        <v>309</v>
      </c>
      <c r="F587" s="4" t="s">
        <v>25</v>
      </c>
      <c r="G587" s="5">
        <v>44938</v>
      </c>
      <c r="H587" s="4" t="s">
        <v>46</v>
      </c>
      <c r="I587" t="s">
        <v>755</v>
      </c>
      <c r="J587" s="6">
        <v>7303</v>
      </c>
      <c r="K587" s="6">
        <v>13405</v>
      </c>
      <c r="L587" s="4">
        <v>8</v>
      </c>
    </row>
    <row r="588" spans="1:12" x14ac:dyDescent="0.3">
      <c r="A588" s="16">
        <v>587</v>
      </c>
      <c r="B588" s="4">
        <v>70240</v>
      </c>
      <c r="C588" s="4" t="s">
        <v>733</v>
      </c>
      <c r="D588" s="4" t="s">
        <v>11</v>
      </c>
      <c r="E588" s="4" t="s">
        <v>309</v>
      </c>
      <c r="F588" s="4" t="s">
        <v>25</v>
      </c>
      <c r="G588" s="5">
        <v>44940</v>
      </c>
      <c r="H588" s="4" t="s">
        <v>46</v>
      </c>
      <c r="I588" t="s">
        <v>756</v>
      </c>
      <c r="J588" s="6">
        <v>7303</v>
      </c>
      <c r="K588" s="6">
        <v>13405</v>
      </c>
      <c r="L588" s="4">
        <v>8</v>
      </c>
    </row>
    <row r="589" spans="1:12" x14ac:dyDescent="0.3">
      <c r="A589" s="16">
        <v>588</v>
      </c>
      <c r="B589" s="4">
        <v>70035</v>
      </c>
      <c r="C589" s="4" t="s">
        <v>734</v>
      </c>
      <c r="D589" s="4" t="s">
        <v>11</v>
      </c>
      <c r="E589" s="4" t="s">
        <v>309</v>
      </c>
      <c r="F589" s="4" t="s">
        <v>735</v>
      </c>
      <c r="G589" s="5">
        <v>42690</v>
      </c>
      <c r="H589" s="4" t="s">
        <v>46</v>
      </c>
      <c r="I589" t="s">
        <v>755</v>
      </c>
      <c r="J589" s="6">
        <v>8591</v>
      </c>
      <c r="K589" s="6">
        <v>15337</v>
      </c>
      <c r="L589" s="4">
        <v>12</v>
      </c>
    </row>
    <row r="590" spans="1:12" x14ac:dyDescent="0.3">
      <c r="A590" s="16">
        <v>589</v>
      </c>
      <c r="B590" s="4">
        <v>70004</v>
      </c>
      <c r="C590" s="4" t="s">
        <v>736</v>
      </c>
      <c r="D590" s="4" t="s">
        <v>11</v>
      </c>
      <c r="E590" s="4" t="s">
        <v>309</v>
      </c>
      <c r="F590" s="4" t="s">
        <v>735</v>
      </c>
      <c r="G590" s="5">
        <v>41883</v>
      </c>
      <c r="H590" s="4" t="s">
        <v>46</v>
      </c>
      <c r="I590" t="s">
        <v>755</v>
      </c>
      <c r="J590" s="6">
        <v>8591</v>
      </c>
      <c r="K590" s="6">
        <v>15337</v>
      </c>
      <c r="L590" s="4">
        <v>12</v>
      </c>
    </row>
    <row r="591" spans="1:12" x14ac:dyDescent="0.3">
      <c r="A591" s="16">
        <v>590</v>
      </c>
      <c r="B591" s="4">
        <v>70016</v>
      </c>
      <c r="C591" s="4" t="s">
        <v>737</v>
      </c>
      <c r="D591" s="4" t="s">
        <v>11</v>
      </c>
      <c r="E591" s="4" t="s">
        <v>309</v>
      </c>
      <c r="F591" s="4" t="s">
        <v>735</v>
      </c>
      <c r="G591" s="5">
        <v>42644</v>
      </c>
      <c r="H591" s="4" t="s">
        <v>46</v>
      </c>
      <c r="I591" t="s">
        <v>756</v>
      </c>
      <c r="J591" s="6">
        <v>8591</v>
      </c>
      <c r="K591" s="6">
        <v>15337</v>
      </c>
      <c r="L591" s="4">
        <v>8</v>
      </c>
    </row>
    <row r="592" spans="1:12" x14ac:dyDescent="0.3">
      <c r="A592" s="16">
        <v>591</v>
      </c>
      <c r="B592" s="4">
        <v>70022</v>
      </c>
      <c r="C592" s="4" t="s">
        <v>738</v>
      </c>
      <c r="D592" s="4" t="s">
        <v>11</v>
      </c>
      <c r="E592" s="4" t="s">
        <v>309</v>
      </c>
      <c r="F592" s="4" t="s">
        <v>739</v>
      </c>
      <c r="G592" s="5">
        <v>42992</v>
      </c>
      <c r="H592" s="4" t="s">
        <v>46</v>
      </c>
      <c r="I592" t="s">
        <v>755</v>
      </c>
      <c r="J592" s="6">
        <v>8591</v>
      </c>
      <c r="K592" s="6">
        <v>15337</v>
      </c>
      <c r="L592" s="4">
        <v>8</v>
      </c>
    </row>
    <row r="593" spans="1:12" x14ac:dyDescent="0.3">
      <c r="A593" s="16">
        <v>592</v>
      </c>
      <c r="B593" s="4">
        <v>70023</v>
      </c>
      <c r="C593" s="4" t="s">
        <v>740</v>
      </c>
      <c r="D593" s="4" t="s">
        <v>11</v>
      </c>
      <c r="E593" s="4" t="s">
        <v>309</v>
      </c>
      <c r="F593" s="4" t="s">
        <v>735</v>
      </c>
      <c r="G593" s="5">
        <v>42998</v>
      </c>
      <c r="H593" s="4" t="s">
        <v>46</v>
      </c>
      <c r="I593" t="s">
        <v>755</v>
      </c>
      <c r="J593" s="6">
        <v>8591</v>
      </c>
      <c r="K593" s="6">
        <v>15337</v>
      </c>
      <c r="L593" s="4">
        <v>8</v>
      </c>
    </row>
    <row r="594" spans="1:12" x14ac:dyDescent="0.3">
      <c r="A594" s="16">
        <v>593</v>
      </c>
      <c r="B594" s="4">
        <v>70116</v>
      </c>
      <c r="C594" s="4" t="s">
        <v>741</v>
      </c>
      <c r="D594" s="4" t="s">
        <v>11</v>
      </c>
      <c r="E594" s="4" t="s">
        <v>309</v>
      </c>
      <c r="F594" s="4" t="s">
        <v>25</v>
      </c>
      <c r="G594" s="5">
        <v>44380</v>
      </c>
      <c r="H594" s="4" t="s">
        <v>46</v>
      </c>
      <c r="I594" t="s">
        <v>756</v>
      </c>
      <c r="J594" s="6">
        <v>7303</v>
      </c>
      <c r="K594" s="6">
        <v>13405</v>
      </c>
      <c r="L594" s="4">
        <v>12</v>
      </c>
    </row>
    <row r="595" spans="1:12" x14ac:dyDescent="0.3">
      <c r="A595" s="16">
        <v>594</v>
      </c>
      <c r="B595" s="4">
        <v>70119</v>
      </c>
      <c r="C595" s="4" t="s">
        <v>742</v>
      </c>
      <c r="D595" s="4" t="s">
        <v>11</v>
      </c>
      <c r="E595" s="4" t="s">
        <v>309</v>
      </c>
      <c r="F595" s="4" t="s">
        <v>25</v>
      </c>
      <c r="G595" s="5">
        <v>44388</v>
      </c>
      <c r="H595" s="4" t="s">
        <v>46</v>
      </c>
      <c r="I595" t="s">
        <v>755</v>
      </c>
      <c r="J595" s="6">
        <v>7303</v>
      </c>
      <c r="K595" s="6">
        <v>13405</v>
      </c>
      <c r="L595" s="4">
        <v>12</v>
      </c>
    </row>
    <row r="596" spans="1:12" x14ac:dyDescent="0.3">
      <c r="A596" s="16">
        <v>595</v>
      </c>
      <c r="B596" s="4">
        <v>70087</v>
      </c>
      <c r="C596" s="4" t="s">
        <v>743</v>
      </c>
      <c r="D596" s="4" t="s">
        <v>11</v>
      </c>
      <c r="E596" s="4" t="s">
        <v>309</v>
      </c>
      <c r="F596" s="4" t="s">
        <v>25</v>
      </c>
      <c r="G596" s="5">
        <v>44262</v>
      </c>
      <c r="H596" s="4" t="s">
        <v>46</v>
      </c>
      <c r="I596" t="s">
        <v>755</v>
      </c>
      <c r="J596" s="6">
        <v>7303</v>
      </c>
      <c r="K596" s="6">
        <v>13405</v>
      </c>
      <c r="L596" s="4">
        <v>8</v>
      </c>
    </row>
    <row r="597" spans="1:12" x14ac:dyDescent="0.3">
      <c r="A597" s="16">
        <v>596</v>
      </c>
      <c r="B597" s="4">
        <v>70102</v>
      </c>
      <c r="C597" s="4" t="s">
        <v>744</v>
      </c>
      <c r="D597" s="4" t="s">
        <v>11</v>
      </c>
      <c r="E597" s="4" t="s">
        <v>309</v>
      </c>
      <c r="F597" s="4" t="s">
        <v>25</v>
      </c>
      <c r="G597" s="5">
        <v>44349</v>
      </c>
      <c r="H597" s="4" t="s">
        <v>46</v>
      </c>
      <c r="I597" t="s">
        <v>756</v>
      </c>
      <c r="J597" s="6">
        <v>7303</v>
      </c>
      <c r="K597" s="6">
        <v>13405</v>
      </c>
      <c r="L597" s="4">
        <v>8</v>
      </c>
    </row>
    <row r="598" spans="1:12" x14ac:dyDescent="0.3">
      <c r="A598" s="16">
        <v>597</v>
      </c>
      <c r="B598" s="4">
        <v>70193</v>
      </c>
      <c r="C598" s="4" t="s">
        <v>745</v>
      </c>
      <c r="D598" s="4" t="s">
        <v>11</v>
      </c>
      <c r="E598" s="4" t="s">
        <v>309</v>
      </c>
      <c r="F598" s="4" t="s">
        <v>25</v>
      </c>
      <c r="G598" s="5">
        <v>44698</v>
      </c>
      <c r="H598" s="4" t="s">
        <v>46</v>
      </c>
      <c r="I598" t="s">
        <v>756</v>
      </c>
      <c r="J598" s="6">
        <v>7303</v>
      </c>
      <c r="K598" s="6">
        <v>13405</v>
      </c>
      <c r="L598" s="4">
        <v>8</v>
      </c>
    </row>
    <row r="599" spans="1:12" x14ac:dyDescent="0.3">
      <c r="A599" s="16">
        <v>598</v>
      </c>
      <c r="B599" s="4">
        <v>70149</v>
      </c>
      <c r="C599" s="4" t="s">
        <v>746</v>
      </c>
      <c r="D599" s="4" t="s">
        <v>11</v>
      </c>
      <c r="E599" s="4" t="s">
        <v>309</v>
      </c>
      <c r="F599" s="4" t="s">
        <v>25</v>
      </c>
      <c r="G599" s="5">
        <v>44625</v>
      </c>
      <c r="H599" s="4" t="s">
        <v>46</v>
      </c>
      <c r="I599" t="s">
        <v>756</v>
      </c>
      <c r="J599" s="6">
        <v>7303</v>
      </c>
      <c r="K599" s="6">
        <v>13405</v>
      </c>
      <c r="L599" s="4">
        <v>8</v>
      </c>
    </row>
    <row r="600" spans="1:12" x14ac:dyDescent="0.3">
      <c r="A600" s="16">
        <v>599</v>
      </c>
      <c r="B600" s="4">
        <v>70157</v>
      </c>
      <c r="C600" s="4" t="s">
        <v>747</v>
      </c>
      <c r="D600" s="4" t="s">
        <v>11</v>
      </c>
      <c r="E600" s="4" t="s">
        <v>309</v>
      </c>
      <c r="F600" s="4" t="s">
        <v>25</v>
      </c>
      <c r="G600" s="5">
        <v>44635</v>
      </c>
      <c r="H600" s="4" t="s">
        <v>46</v>
      </c>
      <c r="I600" t="s">
        <v>755</v>
      </c>
      <c r="J600" s="6">
        <v>7303</v>
      </c>
      <c r="K600" s="6">
        <v>13405</v>
      </c>
      <c r="L600" s="4">
        <v>8</v>
      </c>
    </row>
    <row r="601" spans="1:12" x14ac:dyDescent="0.3">
      <c r="A601" s="16">
        <v>600</v>
      </c>
      <c r="B601" s="4">
        <v>70053</v>
      </c>
      <c r="C601" s="4" t="s">
        <v>748</v>
      </c>
      <c r="D601" s="4" t="s">
        <v>11</v>
      </c>
      <c r="E601" s="4" t="s">
        <v>309</v>
      </c>
      <c r="F601" s="4" t="s">
        <v>80</v>
      </c>
      <c r="G601" s="5">
        <v>44053</v>
      </c>
      <c r="H601" s="4" t="s">
        <v>46</v>
      </c>
      <c r="I601" t="s">
        <v>755</v>
      </c>
      <c r="J601" s="6">
        <v>7521</v>
      </c>
      <c r="K601" s="6">
        <v>13732</v>
      </c>
      <c r="L601" s="4">
        <v>12</v>
      </c>
    </row>
    <row r="602" spans="1:12" x14ac:dyDescent="0.3">
      <c r="A602" s="16">
        <v>601</v>
      </c>
      <c r="B602" s="4">
        <v>70054</v>
      </c>
      <c r="C602" s="4" t="s">
        <v>618</v>
      </c>
      <c r="D602" s="4" t="s">
        <v>11</v>
      </c>
      <c r="E602" s="4" t="s">
        <v>309</v>
      </c>
      <c r="F602" s="4" t="s">
        <v>80</v>
      </c>
      <c r="G602" s="5">
        <v>44059</v>
      </c>
      <c r="H602" s="4" t="s">
        <v>46</v>
      </c>
      <c r="I602" t="s">
        <v>756</v>
      </c>
      <c r="J602" s="6">
        <v>7521</v>
      </c>
      <c r="K602" s="6">
        <v>13732</v>
      </c>
      <c r="L602" s="4">
        <v>8</v>
      </c>
    </row>
    <row r="603" spans="1:12" x14ac:dyDescent="0.3">
      <c r="A603" s="16">
        <v>602</v>
      </c>
      <c r="B603" s="4">
        <v>70061</v>
      </c>
      <c r="C603" s="4" t="s">
        <v>617</v>
      </c>
      <c r="D603" s="4" t="s">
        <v>11</v>
      </c>
      <c r="E603" s="4" t="s">
        <v>309</v>
      </c>
      <c r="F603" s="4" t="s">
        <v>25</v>
      </c>
      <c r="G603" s="5">
        <v>44228</v>
      </c>
      <c r="H603" s="4" t="s">
        <v>46</v>
      </c>
      <c r="I603" t="s">
        <v>755</v>
      </c>
      <c r="J603" s="6">
        <v>7303</v>
      </c>
      <c r="K603" s="6">
        <v>13405</v>
      </c>
      <c r="L603" s="4">
        <v>12</v>
      </c>
    </row>
    <row r="606" spans="1:12" x14ac:dyDescent="0.3">
      <c r="K606" s="22"/>
    </row>
    <row r="609" spans="11:11" x14ac:dyDescent="0.3">
      <c r="K609" s="22"/>
    </row>
  </sheetData>
  <phoneticPr fontId="6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14A23-7CB2-4330-9E64-75876E0277F8}">
  <dimension ref="B2:M606"/>
  <sheetViews>
    <sheetView showGridLines="0" topLeftCell="A22" zoomScaleNormal="100" workbookViewId="0">
      <selection activeCell="N7" sqref="N7"/>
    </sheetView>
  </sheetViews>
  <sheetFormatPr defaultRowHeight="14.4" x14ac:dyDescent="0.3"/>
  <cols>
    <col min="3" max="3" width="10.5546875" style="7" customWidth="1"/>
    <col min="4" max="4" width="24.33203125" bestFit="1" customWidth="1"/>
    <col min="5" max="5" width="24.33203125" customWidth="1"/>
    <col min="6" max="6" width="19.109375" customWidth="1"/>
    <col min="7" max="7" width="32.44140625" customWidth="1"/>
    <col min="8" max="9" width="26.88671875" customWidth="1"/>
    <col min="10" max="10" width="14.6640625" customWidth="1"/>
    <col min="11" max="11" width="14" customWidth="1"/>
    <col min="12" max="12" width="17" bestFit="1" customWidth="1"/>
    <col min="13" max="13" width="16.109375" customWidth="1"/>
  </cols>
  <sheetData>
    <row r="2" spans="2:13" ht="13.5" customHeight="1" x14ac:dyDescent="0.3"/>
    <row r="4" spans="2:13" s="8" customFormat="1" ht="15" thickBot="1" x14ac:dyDescent="0.35">
      <c r="B4" s="10" t="s">
        <v>753</v>
      </c>
      <c r="C4" s="10" t="s">
        <v>751</v>
      </c>
      <c r="D4" s="10" t="s">
        <v>0</v>
      </c>
      <c r="E4" s="10" t="s">
        <v>754</v>
      </c>
      <c r="F4" s="10" t="s">
        <v>752</v>
      </c>
      <c r="G4" s="10" t="s">
        <v>8</v>
      </c>
      <c r="H4" s="10" t="s">
        <v>9</v>
      </c>
      <c r="I4" s="10" t="s">
        <v>757</v>
      </c>
      <c r="K4" s="27" t="s">
        <v>759</v>
      </c>
      <c r="L4" s="27" t="s">
        <v>760</v>
      </c>
      <c r="M4" s="27" t="s">
        <v>761</v>
      </c>
    </row>
    <row r="5" spans="2:13" x14ac:dyDescent="0.3">
      <c r="B5" s="11">
        <v>45809</v>
      </c>
      <c r="C5" s="18">
        <v>70173</v>
      </c>
      <c r="D5" s="12" t="s">
        <v>10</v>
      </c>
      <c r="E5" s="12" t="s">
        <v>755</v>
      </c>
      <c r="F5" s="13">
        <v>12</v>
      </c>
      <c r="G5" s="24">
        <f>IF(L5*M5&gt;0,L5*M5,0)</f>
        <v>0</v>
      </c>
      <c r="H5" s="23">
        <f>VLOOKUP(C5,data[[EMP_ID]:[Working Base Hour]],10,FALSE)/30</f>
        <v>543.5</v>
      </c>
      <c r="I5" s="24">
        <f>G5+H5</f>
        <v>543.5</v>
      </c>
      <c r="K5" s="25">
        <f>VLOOKUP(C5,data[[EMP_ID]:[Working Base Hour]],11,FALSE)</f>
        <v>12</v>
      </c>
      <c r="L5" s="25">
        <f>F5-K5</f>
        <v>0</v>
      </c>
      <c r="M5" s="26">
        <f>VLOOKUP(C5,data[[EMP_ID]:[Working Base Hour]],9,FALSE)/'Hour rate calculation'!K5/30</f>
        <v>27.175000000000001</v>
      </c>
    </row>
    <row r="6" spans="2:13" x14ac:dyDescent="0.3">
      <c r="B6" s="11">
        <v>45809</v>
      </c>
      <c r="C6" s="19">
        <v>70259</v>
      </c>
      <c r="D6" s="14" t="s">
        <v>30</v>
      </c>
      <c r="E6" s="14" t="s">
        <v>756</v>
      </c>
      <c r="F6" s="15">
        <v>16</v>
      </c>
      <c r="G6" s="24">
        <f t="shared" ref="G6:G28" si="0">IF(L6*M6&gt;0,L6*M6,0)</f>
        <v>208.55555555555557</v>
      </c>
      <c r="H6" s="23">
        <f>VLOOKUP(C6,data[[EMP_ID]:[Working Base Hour]],10,FALSE)/30</f>
        <v>1042.7333333333333</v>
      </c>
      <c r="I6" s="24">
        <f t="shared" ref="I6:I28" si="1">G6+H6</f>
        <v>1251.288888888889</v>
      </c>
      <c r="K6" s="25">
        <f>VLOOKUP(C6,data[[EMP_ID]:[Working Base Hour]],11,FALSE)</f>
        <v>12</v>
      </c>
      <c r="L6" s="25">
        <f t="shared" ref="L6:L28" si="2">F6-K6</f>
        <v>4</v>
      </c>
      <c r="M6" s="26">
        <f>VLOOKUP(C6,data[[EMP_ID]:[Working Base Hour]],9,FALSE)/'Hour rate calculation'!K6/30</f>
        <v>52.138888888888893</v>
      </c>
    </row>
    <row r="7" spans="2:13" x14ac:dyDescent="0.3">
      <c r="B7" s="11">
        <v>45809</v>
      </c>
      <c r="C7" s="19">
        <v>70260</v>
      </c>
      <c r="D7" s="14" t="s">
        <v>32</v>
      </c>
      <c r="E7" s="14" t="s">
        <v>756</v>
      </c>
      <c r="F7" s="15">
        <v>12</v>
      </c>
      <c r="G7" s="24">
        <f t="shared" si="0"/>
        <v>206.16666666666666</v>
      </c>
      <c r="H7" s="23">
        <f>VLOOKUP(C7,data[[EMP_ID]:[Working Base Hour]],10,FALSE)/30</f>
        <v>687.26666666666665</v>
      </c>
      <c r="I7" s="24">
        <f t="shared" si="1"/>
        <v>893.43333333333328</v>
      </c>
      <c r="K7" s="25">
        <f>VLOOKUP(C7,data[[EMP_ID]:[Working Base Hour]],11,FALSE)</f>
        <v>8</v>
      </c>
      <c r="L7" s="25">
        <f t="shared" si="2"/>
        <v>4</v>
      </c>
      <c r="M7" s="26">
        <f>VLOOKUP(C7,data[[EMP_ID]:[Working Base Hour]],9,FALSE)/'Hour rate calculation'!K7/30</f>
        <v>51.541666666666664</v>
      </c>
    </row>
    <row r="8" spans="2:13" x14ac:dyDescent="0.3">
      <c r="B8" s="11">
        <v>45809</v>
      </c>
      <c r="C8" s="19">
        <v>70209</v>
      </c>
      <c r="D8" s="14" t="s">
        <v>34</v>
      </c>
      <c r="E8" s="14" t="s">
        <v>756</v>
      </c>
      <c r="F8" s="15">
        <v>12</v>
      </c>
      <c r="G8" s="24">
        <f t="shared" si="0"/>
        <v>0</v>
      </c>
      <c r="H8" s="23">
        <f>VLOOKUP(C8,data[[EMP_ID]:[Working Base Hour]],10,FALSE)/30</f>
        <v>1090</v>
      </c>
      <c r="I8" s="24">
        <f t="shared" si="1"/>
        <v>1090</v>
      </c>
      <c r="K8" s="25">
        <f>VLOOKUP(C8,data[[EMP_ID]:[Working Base Hour]],11,FALSE)</f>
        <v>12</v>
      </c>
      <c r="L8" s="25">
        <f t="shared" si="2"/>
        <v>0</v>
      </c>
      <c r="M8" s="26">
        <f>VLOOKUP(C8,data[[EMP_ID]:[Working Base Hour]],9,FALSE)/'Hour rate calculation'!K8/30</f>
        <v>54.5</v>
      </c>
    </row>
    <row r="9" spans="2:13" x14ac:dyDescent="0.3">
      <c r="B9" s="11">
        <v>45809</v>
      </c>
      <c r="C9" s="19">
        <v>40001</v>
      </c>
      <c r="D9" s="14" t="s">
        <v>36</v>
      </c>
      <c r="E9" s="14" t="s">
        <v>755</v>
      </c>
      <c r="F9" s="15">
        <v>13</v>
      </c>
      <c r="G9" s="24">
        <f t="shared" si="0"/>
        <v>340.625</v>
      </c>
      <c r="H9" s="23">
        <f>VLOOKUP(C9,data[[EMP_ID]:[Working Base Hour]],10,FALSE)/30</f>
        <v>908.36666666666667</v>
      </c>
      <c r="I9" s="24">
        <f t="shared" si="1"/>
        <v>1248.9916666666668</v>
      </c>
      <c r="K9" s="25">
        <f>VLOOKUP(C9,data[[EMP_ID]:[Working Base Hour]],11,FALSE)</f>
        <v>8</v>
      </c>
      <c r="L9" s="25">
        <f t="shared" si="2"/>
        <v>5</v>
      </c>
      <c r="M9" s="26">
        <f>VLOOKUP(C9,data[[EMP_ID]:[Working Base Hour]],9,FALSE)/'Hour rate calculation'!K9/30</f>
        <v>68.125</v>
      </c>
    </row>
    <row r="10" spans="2:13" x14ac:dyDescent="0.3">
      <c r="B10" s="11">
        <v>45809</v>
      </c>
      <c r="C10" s="19">
        <v>40002</v>
      </c>
      <c r="D10" s="14" t="s">
        <v>38</v>
      </c>
      <c r="E10" s="14" t="s">
        <v>755</v>
      </c>
      <c r="F10" s="15">
        <v>15</v>
      </c>
      <c r="G10" s="24">
        <f t="shared" si="0"/>
        <v>457.80000000000007</v>
      </c>
      <c r="H10" s="23">
        <f>VLOOKUP(C10,data[[EMP_ID]:[Working Base Hour]],10,FALSE)/30</f>
        <v>872</v>
      </c>
      <c r="I10" s="24">
        <f t="shared" si="1"/>
        <v>1329.8000000000002</v>
      </c>
      <c r="K10" s="25">
        <f>VLOOKUP(C10,data[[EMP_ID]:[Working Base Hour]],11,FALSE)</f>
        <v>8</v>
      </c>
      <c r="L10" s="25">
        <f t="shared" si="2"/>
        <v>7</v>
      </c>
      <c r="M10" s="26">
        <f>VLOOKUP(C10,data[[EMP_ID]:[Working Base Hour]],9,FALSE)/'Hour rate calculation'!K10/30</f>
        <v>65.400000000000006</v>
      </c>
    </row>
    <row r="11" spans="2:13" x14ac:dyDescent="0.3">
      <c r="B11" s="11">
        <v>45809</v>
      </c>
      <c r="C11" s="19">
        <v>70273</v>
      </c>
      <c r="D11" s="14" t="s">
        <v>39</v>
      </c>
      <c r="E11" s="14" t="s">
        <v>756</v>
      </c>
      <c r="F11" s="15">
        <v>13</v>
      </c>
      <c r="G11" s="24">
        <f t="shared" si="0"/>
        <v>203.3125</v>
      </c>
      <c r="H11" s="23">
        <f>VLOOKUP(C11,data[[EMP_ID]:[Working Base Hour]],10,FALSE)/30</f>
        <v>542.16666666666663</v>
      </c>
      <c r="I11" s="24">
        <f t="shared" si="1"/>
        <v>745.47916666666663</v>
      </c>
      <c r="K11" s="25">
        <f>VLOOKUP(C11,data[[EMP_ID]:[Working Base Hour]],11,FALSE)</f>
        <v>8</v>
      </c>
      <c r="L11" s="25">
        <f t="shared" si="2"/>
        <v>5</v>
      </c>
      <c r="M11" s="26">
        <f>VLOOKUP(C11,data[[EMP_ID]:[Working Base Hour]],9,FALSE)/'Hour rate calculation'!K11/30</f>
        <v>40.662500000000001</v>
      </c>
    </row>
    <row r="12" spans="2:13" x14ac:dyDescent="0.3">
      <c r="B12" s="11">
        <v>45809</v>
      </c>
      <c r="C12" s="19">
        <v>70274</v>
      </c>
      <c r="D12" s="14" t="s">
        <v>41</v>
      </c>
      <c r="E12" s="14" t="s">
        <v>755</v>
      </c>
      <c r="F12" s="15">
        <v>9</v>
      </c>
      <c r="G12" s="24">
        <f t="shared" si="0"/>
        <v>0</v>
      </c>
      <c r="H12" s="23">
        <f>VLOOKUP(C12,data[[EMP_ID]:[Working Base Hour]],10,FALSE)/30</f>
        <v>542.16666666666663</v>
      </c>
      <c r="I12" s="24">
        <f t="shared" si="1"/>
        <v>542.16666666666663</v>
      </c>
      <c r="K12" s="25">
        <f>VLOOKUP(C12,data[[EMP_ID]:[Working Base Hour]],11,FALSE)</f>
        <v>12</v>
      </c>
      <c r="L12" s="25">
        <f t="shared" si="2"/>
        <v>-3</v>
      </c>
      <c r="M12" s="26">
        <f>VLOOKUP(C12,data[[EMP_ID]:[Working Base Hour]],9,FALSE)/'Hour rate calculation'!K12/30</f>
        <v>27.108333333333334</v>
      </c>
    </row>
    <row r="13" spans="2:13" x14ac:dyDescent="0.3">
      <c r="B13" s="11">
        <v>45809</v>
      </c>
      <c r="C13" s="19">
        <v>70275</v>
      </c>
      <c r="D13" s="14" t="s">
        <v>42</v>
      </c>
      <c r="E13" s="14" t="s">
        <v>755</v>
      </c>
      <c r="F13" s="15">
        <v>11</v>
      </c>
      <c r="G13" s="24">
        <f t="shared" si="0"/>
        <v>0</v>
      </c>
      <c r="H13" s="23">
        <f>VLOOKUP(C13,data[[EMP_ID]:[Working Base Hour]],10,FALSE)/30</f>
        <v>617.76666666666665</v>
      </c>
      <c r="I13" s="24">
        <f t="shared" si="1"/>
        <v>617.76666666666665</v>
      </c>
      <c r="K13" s="25">
        <f>VLOOKUP(C13,data[[EMP_ID]:[Working Base Hour]],11,FALSE)</f>
        <v>12</v>
      </c>
      <c r="L13" s="25">
        <f t="shared" si="2"/>
        <v>-1</v>
      </c>
      <c r="M13" s="26">
        <f>VLOOKUP(C13,data[[EMP_ID]:[Working Base Hour]],9,FALSE)/'Hour rate calculation'!K13/30</f>
        <v>30.888888888888889</v>
      </c>
    </row>
    <row r="14" spans="2:13" x14ac:dyDescent="0.3">
      <c r="B14" s="11">
        <v>45809</v>
      </c>
      <c r="C14" s="19">
        <v>70268</v>
      </c>
      <c r="D14" s="14" t="s">
        <v>43</v>
      </c>
      <c r="E14" s="14" t="s">
        <v>756</v>
      </c>
      <c r="F14" s="15">
        <v>12</v>
      </c>
      <c r="G14" s="24">
        <f t="shared" si="0"/>
        <v>174.06666666666666</v>
      </c>
      <c r="H14" s="23">
        <f>VLOOKUP(C14,data[[EMP_ID]:[Working Base Hour]],10,FALSE)/30</f>
        <v>580.20000000000005</v>
      </c>
      <c r="I14" s="24">
        <f t="shared" si="1"/>
        <v>754.26666666666665</v>
      </c>
      <c r="K14" s="25">
        <f>VLOOKUP(C14,data[[EMP_ID]:[Working Base Hour]],11,FALSE)</f>
        <v>8</v>
      </c>
      <c r="L14" s="25">
        <f t="shared" si="2"/>
        <v>4</v>
      </c>
      <c r="M14" s="26">
        <f>VLOOKUP(C14,data[[EMP_ID]:[Working Base Hour]],9,FALSE)/'Hour rate calculation'!K14/30</f>
        <v>43.516666666666666</v>
      </c>
    </row>
    <row r="15" spans="2:13" x14ac:dyDescent="0.3">
      <c r="B15" s="11">
        <v>45810</v>
      </c>
      <c r="C15" s="18">
        <v>70173</v>
      </c>
      <c r="D15" s="12" t="s">
        <v>10</v>
      </c>
      <c r="E15" s="12" t="s">
        <v>755</v>
      </c>
      <c r="F15" s="13">
        <v>12</v>
      </c>
      <c r="G15" s="24">
        <f t="shared" si="0"/>
        <v>0</v>
      </c>
      <c r="H15" s="23">
        <f>VLOOKUP(C15,data[[EMP_ID]:[Working Base Hour]],10,FALSE)/30</f>
        <v>543.5</v>
      </c>
      <c r="I15" s="24">
        <f t="shared" si="1"/>
        <v>543.5</v>
      </c>
      <c r="K15" s="25">
        <f>VLOOKUP(C15,data[[EMP_ID]:[Working Base Hour]],11,FALSE)</f>
        <v>12</v>
      </c>
      <c r="L15" s="25">
        <f t="shared" si="2"/>
        <v>0</v>
      </c>
      <c r="M15" s="26">
        <f>VLOOKUP(C15,data[[EMP_ID]:[Working Base Hour]],9,FALSE)/'Hour rate calculation'!K15/30</f>
        <v>27.175000000000001</v>
      </c>
    </row>
    <row r="16" spans="2:13" x14ac:dyDescent="0.3">
      <c r="B16" s="11">
        <v>45810</v>
      </c>
      <c r="C16" s="19">
        <v>70259</v>
      </c>
      <c r="D16" s="14" t="s">
        <v>30</v>
      </c>
      <c r="E16" s="14" t="s">
        <v>756</v>
      </c>
      <c r="F16" s="15">
        <v>13</v>
      </c>
      <c r="G16" s="24">
        <f t="shared" si="0"/>
        <v>52.138888888888893</v>
      </c>
      <c r="H16" s="23">
        <f>VLOOKUP(C16,data[[EMP_ID]:[Working Base Hour]],10,FALSE)/30</f>
        <v>1042.7333333333333</v>
      </c>
      <c r="I16" s="24">
        <f t="shared" si="1"/>
        <v>1094.8722222222223</v>
      </c>
      <c r="K16" s="25">
        <f>VLOOKUP(C16,data[[EMP_ID]:[Working Base Hour]],11,FALSE)</f>
        <v>12</v>
      </c>
      <c r="L16" s="25">
        <f t="shared" si="2"/>
        <v>1</v>
      </c>
      <c r="M16" s="26">
        <f>VLOOKUP(C16,data[[EMP_ID]:[Working Base Hour]],9,FALSE)/'Hour rate calculation'!K16/30</f>
        <v>52.138888888888893</v>
      </c>
    </row>
    <row r="17" spans="2:13" x14ac:dyDescent="0.3">
      <c r="B17" s="11">
        <v>45810</v>
      </c>
      <c r="C17" s="19">
        <v>70260</v>
      </c>
      <c r="D17" s="14" t="s">
        <v>32</v>
      </c>
      <c r="E17" s="14" t="s">
        <v>756</v>
      </c>
      <c r="F17" s="15">
        <v>10</v>
      </c>
      <c r="G17" s="24">
        <f t="shared" si="0"/>
        <v>103.08333333333333</v>
      </c>
      <c r="H17" s="23">
        <f>VLOOKUP(C17,data[[EMP_ID]:[Working Base Hour]],10,FALSE)/30</f>
        <v>687.26666666666665</v>
      </c>
      <c r="I17" s="24">
        <f t="shared" si="1"/>
        <v>790.35</v>
      </c>
      <c r="K17" s="25">
        <f>VLOOKUP(C17,data[[EMP_ID]:[Working Base Hour]],11,FALSE)</f>
        <v>8</v>
      </c>
      <c r="L17" s="25">
        <f t="shared" si="2"/>
        <v>2</v>
      </c>
      <c r="M17" s="26">
        <f>VLOOKUP(C17,data[[EMP_ID]:[Working Base Hour]],9,FALSE)/'Hour rate calculation'!K17/30</f>
        <v>51.541666666666664</v>
      </c>
    </row>
    <row r="18" spans="2:13" x14ac:dyDescent="0.3">
      <c r="B18" s="11">
        <v>45810</v>
      </c>
      <c r="C18" s="19">
        <v>70209</v>
      </c>
      <c r="D18" s="14" t="s">
        <v>34</v>
      </c>
      <c r="E18" s="14" t="s">
        <v>756</v>
      </c>
      <c r="F18" s="15">
        <v>9</v>
      </c>
      <c r="G18" s="24">
        <f t="shared" si="0"/>
        <v>0</v>
      </c>
      <c r="H18" s="23">
        <f>VLOOKUP(C18,data[[EMP_ID]:[Working Base Hour]],10,FALSE)/30</f>
        <v>1090</v>
      </c>
      <c r="I18" s="24">
        <f t="shared" si="1"/>
        <v>1090</v>
      </c>
      <c r="K18" s="25">
        <f>VLOOKUP(C18,data[[EMP_ID]:[Working Base Hour]],11,FALSE)</f>
        <v>12</v>
      </c>
      <c r="L18" s="25">
        <f t="shared" si="2"/>
        <v>-3</v>
      </c>
      <c r="M18" s="26">
        <f>VLOOKUP(C18,data[[EMP_ID]:[Working Base Hour]],9,FALSE)/'Hour rate calculation'!K18/30</f>
        <v>54.5</v>
      </c>
    </row>
    <row r="19" spans="2:13" x14ac:dyDescent="0.3">
      <c r="B19" s="11">
        <v>45810</v>
      </c>
      <c r="C19" s="19">
        <v>40001</v>
      </c>
      <c r="D19" s="14" t="s">
        <v>36</v>
      </c>
      <c r="E19" s="14" t="s">
        <v>755</v>
      </c>
      <c r="F19" s="15">
        <v>9</v>
      </c>
      <c r="G19" s="24">
        <f t="shared" si="0"/>
        <v>68.125</v>
      </c>
      <c r="H19" s="23">
        <f>VLOOKUP(C19,data[[EMP_ID]:[Working Base Hour]],10,FALSE)/30</f>
        <v>908.36666666666667</v>
      </c>
      <c r="I19" s="24">
        <f t="shared" si="1"/>
        <v>976.49166666666667</v>
      </c>
      <c r="K19" s="25">
        <f>VLOOKUP(C19,data[[EMP_ID]:[Working Base Hour]],11,FALSE)</f>
        <v>8</v>
      </c>
      <c r="L19" s="25">
        <f t="shared" si="2"/>
        <v>1</v>
      </c>
      <c r="M19" s="26">
        <f>VLOOKUP(C19,data[[EMP_ID]:[Working Base Hour]],9,FALSE)/'Hour rate calculation'!K19/30</f>
        <v>68.125</v>
      </c>
    </row>
    <row r="20" spans="2:13" x14ac:dyDescent="0.3">
      <c r="B20" s="11">
        <v>45810</v>
      </c>
      <c r="C20" s="19">
        <v>40002</v>
      </c>
      <c r="D20" s="14" t="s">
        <v>38</v>
      </c>
      <c r="E20" s="14" t="s">
        <v>755</v>
      </c>
      <c r="F20" s="15">
        <v>9</v>
      </c>
      <c r="G20" s="24">
        <f t="shared" si="0"/>
        <v>65.400000000000006</v>
      </c>
      <c r="H20" s="23">
        <f>VLOOKUP(C20,data[[EMP_ID]:[Working Base Hour]],10,FALSE)/30</f>
        <v>872</v>
      </c>
      <c r="I20" s="24">
        <f t="shared" si="1"/>
        <v>937.4</v>
      </c>
      <c r="K20" s="25">
        <f>VLOOKUP(C20,data[[EMP_ID]:[Working Base Hour]],11,FALSE)</f>
        <v>8</v>
      </c>
      <c r="L20" s="25">
        <f t="shared" si="2"/>
        <v>1</v>
      </c>
      <c r="M20" s="26">
        <f>VLOOKUP(C20,data[[EMP_ID]:[Working Base Hour]],9,FALSE)/'Hour rate calculation'!K20/30</f>
        <v>65.400000000000006</v>
      </c>
    </row>
    <row r="21" spans="2:13" x14ac:dyDescent="0.3">
      <c r="B21" s="11">
        <v>45810</v>
      </c>
      <c r="C21" s="19">
        <v>70273</v>
      </c>
      <c r="D21" s="14" t="s">
        <v>39</v>
      </c>
      <c r="E21" s="14" t="s">
        <v>756</v>
      </c>
      <c r="F21" s="15">
        <v>10</v>
      </c>
      <c r="G21" s="24">
        <f t="shared" si="0"/>
        <v>81.325000000000003</v>
      </c>
      <c r="H21" s="23">
        <f>VLOOKUP(C21,data[[EMP_ID]:[Working Base Hour]],10,FALSE)/30</f>
        <v>542.16666666666663</v>
      </c>
      <c r="I21" s="24">
        <f t="shared" si="1"/>
        <v>623.49166666666667</v>
      </c>
      <c r="K21" s="25">
        <f>VLOOKUP(C21,data[[EMP_ID]:[Working Base Hour]],11,FALSE)</f>
        <v>8</v>
      </c>
      <c r="L21" s="25">
        <f t="shared" si="2"/>
        <v>2</v>
      </c>
      <c r="M21" s="26">
        <f>VLOOKUP(C21,data[[EMP_ID]:[Working Base Hour]],9,FALSE)/'Hour rate calculation'!K21/30</f>
        <v>40.662500000000001</v>
      </c>
    </row>
    <row r="22" spans="2:13" x14ac:dyDescent="0.3">
      <c r="B22" s="11">
        <v>45810</v>
      </c>
      <c r="C22" s="19">
        <v>70274</v>
      </c>
      <c r="D22" s="14" t="s">
        <v>41</v>
      </c>
      <c r="E22" s="14" t="s">
        <v>755</v>
      </c>
      <c r="F22" s="15">
        <v>13</v>
      </c>
      <c r="G22" s="24">
        <f t="shared" si="0"/>
        <v>27.108333333333334</v>
      </c>
      <c r="H22" s="23">
        <f>VLOOKUP(C22,data[[EMP_ID]:[Working Base Hour]],10,FALSE)/30</f>
        <v>542.16666666666663</v>
      </c>
      <c r="I22" s="24">
        <f t="shared" si="1"/>
        <v>569.27499999999998</v>
      </c>
      <c r="K22" s="25">
        <f>VLOOKUP(C22,data[[EMP_ID]:[Working Base Hour]],11,FALSE)</f>
        <v>12</v>
      </c>
      <c r="L22" s="25">
        <f t="shared" si="2"/>
        <v>1</v>
      </c>
      <c r="M22" s="26">
        <f>VLOOKUP(C22,data[[EMP_ID]:[Working Base Hour]],9,FALSE)/'Hour rate calculation'!K22/30</f>
        <v>27.108333333333334</v>
      </c>
    </row>
    <row r="23" spans="2:13" x14ac:dyDescent="0.3">
      <c r="B23" s="11">
        <v>45811</v>
      </c>
      <c r="C23" s="19">
        <v>70275</v>
      </c>
      <c r="D23" s="14" t="s">
        <v>42</v>
      </c>
      <c r="E23" s="14" t="s">
        <v>755</v>
      </c>
      <c r="F23" s="15">
        <v>9</v>
      </c>
      <c r="G23" s="24">
        <f t="shared" si="0"/>
        <v>0</v>
      </c>
      <c r="H23" s="23">
        <f>VLOOKUP(C23,data[[EMP_ID]:[Working Base Hour]],10,FALSE)/30</f>
        <v>617.76666666666665</v>
      </c>
      <c r="I23" s="24">
        <f t="shared" si="1"/>
        <v>617.76666666666665</v>
      </c>
      <c r="K23" s="25">
        <f>VLOOKUP(C23,data[[EMP_ID]:[Working Base Hour]],11,FALSE)</f>
        <v>12</v>
      </c>
      <c r="L23" s="25">
        <f t="shared" si="2"/>
        <v>-3</v>
      </c>
      <c r="M23" s="26">
        <f>VLOOKUP(C23,data[[EMP_ID]:[Working Base Hour]],9,FALSE)/'Hour rate calculation'!K23/30</f>
        <v>30.888888888888889</v>
      </c>
    </row>
    <row r="24" spans="2:13" x14ac:dyDescent="0.3">
      <c r="B24" s="11">
        <v>45812</v>
      </c>
      <c r="C24" s="19">
        <v>70268</v>
      </c>
      <c r="D24" s="14" t="s">
        <v>43</v>
      </c>
      <c r="E24" s="14" t="s">
        <v>756</v>
      </c>
      <c r="F24" s="15">
        <v>13</v>
      </c>
      <c r="G24" s="24">
        <f t="shared" si="0"/>
        <v>217.58333333333331</v>
      </c>
      <c r="H24" s="23">
        <f>VLOOKUP(C24,data[[EMP_ID]:[Working Base Hour]],10,FALSE)/30</f>
        <v>580.20000000000005</v>
      </c>
      <c r="I24" s="24">
        <f t="shared" si="1"/>
        <v>797.7833333333333</v>
      </c>
      <c r="K24" s="25">
        <f>VLOOKUP(C24,data[[EMP_ID]:[Working Base Hour]],11,FALSE)</f>
        <v>8</v>
      </c>
      <c r="L24" s="25">
        <f t="shared" si="2"/>
        <v>5</v>
      </c>
      <c r="M24" s="26">
        <f>VLOOKUP(C24,data[[EMP_ID]:[Working Base Hour]],9,FALSE)/'Hour rate calculation'!K24/30</f>
        <v>43.516666666666666</v>
      </c>
    </row>
    <row r="25" spans="2:13" x14ac:dyDescent="0.3">
      <c r="B25" s="11">
        <v>45813</v>
      </c>
      <c r="C25" s="19">
        <v>31001</v>
      </c>
      <c r="D25" s="14" t="s">
        <v>101</v>
      </c>
      <c r="E25" s="14" t="s">
        <v>755</v>
      </c>
      <c r="F25" s="15">
        <v>10</v>
      </c>
      <c r="G25" s="24">
        <f t="shared" si="0"/>
        <v>0</v>
      </c>
      <c r="H25" s="23">
        <f>VLOOKUP(C25,data[[EMP_ID]:[Working Base Hour]],10,FALSE)/30</f>
        <v>1090</v>
      </c>
      <c r="I25" s="24">
        <f t="shared" si="1"/>
        <v>1090</v>
      </c>
      <c r="K25" s="25">
        <f>VLOOKUP(C25,data[[EMP_ID]:[Working Base Hour]],11,FALSE)</f>
        <v>12</v>
      </c>
      <c r="L25" s="25">
        <f t="shared" si="2"/>
        <v>-2</v>
      </c>
      <c r="M25" s="26">
        <f>VLOOKUP(C25,data[[EMP_ID]:[Working Base Hour]],9,FALSE)/'Hour rate calculation'!K25/30</f>
        <v>54.5</v>
      </c>
    </row>
    <row r="26" spans="2:13" x14ac:dyDescent="0.3">
      <c r="B26" s="11">
        <v>45814</v>
      </c>
      <c r="C26" s="19">
        <v>40048</v>
      </c>
      <c r="D26" s="14" t="s">
        <v>104</v>
      </c>
      <c r="E26" s="14" t="s">
        <v>755</v>
      </c>
      <c r="F26" s="15">
        <v>13</v>
      </c>
      <c r="G26" s="24">
        <f t="shared" si="0"/>
        <v>265.6875</v>
      </c>
      <c r="H26" s="23">
        <f>VLOOKUP(C26,data[[EMP_ID]:[Working Base Hour]],10,FALSE)/30</f>
        <v>708.5333333333333</v>
      </c>
      <c r="I26" s="24">
        <f t="shared" si="1"/>
        <v>974.2208333333333</v>
      </c>
      <c r="K26" s="25">
        <f>VLOOKUP(C26,data[[EMP_ID]:[Working Base Hour]],11,FALSE)</f>
        <v>8</v>
      </c>
      <c r="L26" s="25">
        <f t="shared" si="2"/>
        <v>5</v>
      </c>
      <c r="M26" s="26">
        <f>VLOOKUP(C26,data[[EMP_ID]:[Working Base Hour]],9,FALSE)/'Hour rate calculation'!K26/30</f>
        <v>53.137500000000003</v>
      </c>
    </row>
    <row r="27" spans="2:13" x14ac:dyDescent="0.3">
      <c r="B27" s="11">
        <v>45815</v>
      </c>
      <c r="C27" s="19">
        <v>40029</v>
      </c>
      <c r="D27" s="14" t="s">
        <v>106</v>
      </c>
      <c r="E27" s="14" t="s">
        <v>756</v>
      </c>
      <c r="F27" s="15">
        <v>9</v>
      </c>
      <c r="G27" s="24">
        <f t="shared" si="0"/>
        <v>68.125</v>
      </c>
      <c r="H27" s="23">
        <f>VLOOKUP(C27,data[[EMP_ID]:[Working Base Hour]],10,FALSE)/30</f>
        <v>908.36666666666667</v>
      </c>
      <c r="I27" s="24">
        <f t="shared" si="1"/>
        <v>976.49166666666667</v>
      </c>
      <c r="K27" s="25">
        <f>VLOOKUP(C27,data[[EMP_ID]:[Working Base Hour]],11,FALSE)</f>
        <v>8</v>
      </c>
      <c r="L27" s="25">
        <f t="shared" si="2"/>
        <v>1</v>
      </c>
      <c r="M27" s="26">
        <f>VLOOKUP(C27,data[[EMP_ID]:[Working Base Hour]],9,FALSE)/'Hour rate calculation'!K27/30</f>
        <v>68.125</v>
      </c>
    </row>
    <row r="28" spans="2:13" x14ac:dyDescent="0.3">
      <c r="B28" s="11">
        <v>45816</v>
      </c>
      <c r="C28" s="18">
        <v>70173</v>
      </c>
      <c r="D28" s="12" t="s">
        <v>10</v>
      </c>
      <c r="E28" s="12" t="s">
        <v>755</v>
      </c>
      <c r="F28" s="13">
        <v>12</v>
      </c>
      <c r="G28" s="24">
        <f t="shared" si="0"/>
        <v>0</v>
      </c>
      <c r="H28" s="23">
        <f>VLOOKUP(C28,data[[EMP_ID]:[Working Base Hour]],10,FALSE)/30</f>
        <v>543.5</v>
      </c>
      <c r="I28" s="24">
        <f t="shared" si="1"/>
        <v>543.5</v>
      </c>
      <c r="K28" s="25">
        <f>VLOOKUP(C28,data[[EMP_ID]:[Working Base Hour]],11,FALSE)</f>
        <v>12</v>
      </c>
      <c r="L28" s="25">
        <f t="shared" si="2"/>
        <v>0</v>
      </c>
      <c r="M28" s="26">
        <f>VLOOKUP(C28,data[[EMP_ID]:[Working Base Hour]],9,FALSE)/'Hour rate calculation'!K28/30</f>
        <v>27.175000000000001</v>
      </c>
    </row>
    <row r="29" spans="2:13" x14ac:dyDescent="0.3">
      <c r="F29" s="8"/>
      <c r="K29" s="21"/>
    </row>
    <row r="30" spans="2:13" x14ac:dyDescent="0.3">
      <c r="E30" s="20" t="s">
        <v>758</v>
      </c>
      <c r="K30" s="21"/>
    </row>
    <row r="31" spans="2:13" x14ac:dyDescent="0.3">
      <c r="K31" s="21"/>
    </row>
    <row r="32" spans="2:13" x14ac:dyDescent="0.3">
      <c r="C32" s="10" t="s">
        <v>751</v>
      </c>
      <c r="D32" s="10" t="s">
        <v>0</v>
      </c>
      <c r="E32" s="10" t="s">
        <v>754</v>
      </c>
      <c r="F32" s="10" t="s">
        <v>752</v>
      </c>
      <c r="G32" s="10" t="s">
        <v>8</v>
      </c>
      <c r="H32" s="10" t="s">
        <v>9</v>
      </c>
      <c r="I32" s="10" t="s">
        <v>757</v>
      </c>
      <c r="K32" s="21"/>
    </row>
    <row r="33" spans="3:11" x14ac:dyDescent="0.3">
      <c r="C33" s="18">
        <v>70173</v>
      </c>
      <c r="D33" s="12" t="s">
        <v>10</v>
      </c>
      <c r="E33" s="12" t="s">
        <v>755</v>
      </c>
      <c r="F33" s="13">
        <v>12</v>
      </c>
      <c r="G33" s="17">
        <v>0</v>
      </c>
      <c r="H33" s="17">
        <v>543</v>
      </c>
      <c r="I33" s="17">
        <v>543</v>
      </c>
      <c r="K33" s="21"/>
    </row>
    <row r="34" spans="3:11" x14ac:dyDescent="0.3">
      <c r="C34" s="19">
        <v>70259</v>
      </c>
      <c r="D34" s="14" t="s">
        <v>30</v>
      </c>
      <c r="E34" s="14" t="s">
        <v>756</v>
      </c>
      <c r="F34" s="15">
        <v>16</v>
      </c>
      <c r="G34" s="14">
        <v>208</v>
      </c>
      <c r="H34" s="14">
        <v>1042</v>
      </c>
      <c r="I34" s="14">
        <v>1251</v>
      </c>
      <c r="K34" s="21"/>
    </row>
    <row r="35" spans="3:11" x14ac:dyDescent="0.3">
      <c r="C35" s="19">
        <v>70260</v>
      </c>
      <c r="D35" s="14" t="s">
        <v>32</v>
      </c>
      <c r="E35" s="14" t="s">
        <v>756</v>
      </c>
      <c r="F35" s="15">
        <v>12</v>
      </c>
      <c r="G35" s="14">
        <v>206</v>
      </c>
      <c r="H35" s="14">
        <v>687</v>
      </c>
      <c r="I35" s="14">
        <v>893</v>
      </c>
      <c r="K35" s="21"/>
    </row>
    <row r="36" spans="3:11" x14ac:dyDescent="0.3">
      <c r="C36" s="19">
        <v>70209</v>
      </c>
      <c r="D36" s="14" t="s">
        <v>34</v>
      </c>
      <c r="E36" s="14" t="s">
        <v>756</v>
      </c>
      <c r="F36" s="15">
        <v>12</v>
      </c>
      <c r="G36" s="14">
        <v>0</v>
      </c>
      <c r="H36" s="14">
        <v>1090</v>
      </c>
      <c r="I36" s="14">
        <v>1090</v>
      </c>
      <c r="K36" s="21"/>
    </row>
    <row r="37" spans="3:11" x14ac:dyDescent="0.3">
      <c r="C37" s="19">
        <v>40001</v>
      </c>
      <c r="D37" s="14" t="s">
        <v>36</v>
      </c>
      <c r="E37" s="14" t="s">
        <v>755</v>
      </c>
      <c r="F37" s="15">
        <v>13</v>
      </c>
      <c r="G37" s="14">
        <v>340</v>
      </c>
      <c r="H37" s="14">
        <v>908</v>
      </c>
      <c r="I37" s="14">
        <v>1248</v>
      </c>
      <c r="K37" s="21"/>
    </row>
    <row r="38" spans="3:11" x14ac:dyDescent="0.3">
      <c r="C38" s="19">
        <v>40002</v>
      </c>
      <c r="D38" s="14" t="s">
        <v>38</v>
      </c>
      <c r="E38" s="14" t="s">
        <v>755</v>
      </c>
      <c r="F38" s="15">
        <v>15</v>
      </c>
      <c r="G38" s="14">
        <v>457</v>
      </c>
      <c r="H38" s="14">
        <v>872</v>
      </c>
      <c r="I38" s="14">
        <v>1329</v>
      </c>
      <c r="K38" s="21"/>
    </row>
    <row r="39" spans="3:11" x14ac:dyDescent="0.3">
      <c r="C39" s="19">
        <v>70273</v>
      </c>
      <c r="D39" s="14" t="s">
        <v>39</v>
      </c>
      <c r="E39" s="14" t="s">
        <v>756</v>
      </c>
      <c r="F39" s="15">
        <v>13</v>
      </c>
      <c r="G39" s="14">
        <v>203</v>
      </c>
      <c r="H39" s="14">
        <v>542</v>
      </c>
      <c r="I39" s="14">
        <v>745</v>
      </c>
      <c r="K39" s="21"/>
    </row>
    <row r="40" spans="3:11" x14ac:dyDescent="0.3">
      <c r="C40" s="19">
        <v>70274</v>
      </c>
      <c r="D40" s="14" t="s">
        <v>41</v>
      </c>
      <c r="E40" s="14" t="s">
        <v>755</v>
      </c>
      <c r="F40" s="15">
        <v>9</v>
      </c>
      <c r="G40" s="14">
        <v>0</v>
      </c>
      <c r="H40" s="14">
        <v>0</v>
      </c>
      <c r="I40" s="14">
        <v>0</v>
      </c>
      <c r="K40" s="21"/>
    </row>
    <row r="41" spans="3:11" x14ac:dyDescent="0.3">
      <c r="C41" s="19">
        <v>70275</v>
      </c>
      <c r="D41" s="14" t="s">
        <v>42</v>
      </c>
      <c r="E41" s="14" t="s">
        <v>755</v>
      </c>
      <c r="F41" s="15">
        <v>11</v>
      </c>
      <c r="G41" s="14">
        <v>0</v>
      </c>
      <c r="H41" s="14">
        <v>0</v>
      </c>
      <c r="I41" s="14">
        <v>0</v>
      </c>
      <c r="K41" s="21"/>
    </row>
    <row r="42" spans="3:11" x14ac:dyDescent="0.3">
      <c r="C42" s="19">
        <v>70268</v>
      </c>
      <c r="D42" s="14" t="s">
        <v>43</v>
      </c>
      <c r="E42" s="14" t="s">
        <v>756</v>
      </c>
      <c r="F42" s="15">
        <v>12</v>
      </c>
      <c r="G42" s="14">
        <v>174</v>
      </c>
      <c r="H42" s="14">
        <v>580</v>
      </c>
      <c r="I42" s="14">
        <v>754</v>
      </c>
      <c r="K42" s="21"/>
    </row>
    <row r="43" spans="3:11" x14ac:dyDescent="0.3">
      <c r="C43" s="18">
        <v>70173</v>
      </c>
      <c r="D43" s="12" t="s">
        <v>10</v>
      </c>
      <c r="E43" s="12" t="s">
        <v>755</v>
      </c>
      <c r="F43" s="13">
        <v>12</v>
      </c>
      <c r="G43" s="17">
        <v>0</v>
      </c>
      <c r="H43" s="17">
        <v>543</v>
      </c>
      <c r="I43" s="17">
        <v>543</v>
      </c>
      <c r="K43" s="21"/>
    </row>
    <row r="44" spans="3:11" x14ac:dyDescent="0.3">
      <c r="C44" s="19">
        <v>70259</v>
      </c>
      <c r="D44" s="14" t="s">
        <v>30</v>
      </c>
      <c r="E44" s="14" t="s">
        <v>756</v>
      </c>
      <c r="F44" s="15">
        <v>13</v>
      </c>
      <c r="G44" s="14">
        <v>52</v>
      </c>
      <c r="H44" s="14">
        <v>1042</v>
      </c>
      <c r="I44" s="14">
        <v>1094</v>
      </c>
      <c r="K44" s="21"/>
    </row>
    <row r="45" spans="3:11" x14ac:dyDescent="0.3">
      <c r="C45" s="19">
        <v>70260</v>
      </c>
      <c r="D45" s="14" t="s">
        <v>32</v>
      </c>
      <c r="E45" s="14" t="s">
        <v>756</v>
      </c>
      <c r="F45" s="15">
        <v>10</v>
      </c>
      <c r="G45" s="14">
        <v>103</v>
      </c>
      <c r="H45" s="14">
        <v>687</v>
      </c>
      <c r="I45" s="14">
        <v>790</v>
      </c>
      <c r="K45" s="21"/>
    </row>
    <row r="46" spans="3:11" x14ac:dyDescent="0.3">
      <c r="C46" s="19">
        <v>70209</v>
      </c>
      <c r="D46" s="14" t="s">
        <v>34</v>
      </c>
      <c r="E46" s="14" t="s">
        <v>756</v>
      </c>
      <c r="F46" s="15">
        <v>9</v>
      </c>
      <c r="G46" s="14">
        <v>0</v>
      </c>
      <c r="H46" s="14">
        <v>0</v>
      </c>
      <c r="I46" s="14">
        <v>0</v>
      </c>
      <c r="K46" s="21"/>
    </row>
    <row r="47" spans="3:11" x14ac:dyDescent="0.3">
      <c r="C47" s="19">
        <v>40001</v>
      </c>
      <c r="D47" s="14" t="s">
        <v>36</v>
      </c>
      <c r="E47" s="14" t="s">
        <v>755</v>
      </c>
      <c r="F47" s="15">
        <v>9</v>
      </c>
      <c r="G47" s="14">
        <v>68</v>
      </c>
      <c r="H47" s="14">
        <v>908</v>
      </c>
      <c r="I47" s="14">
        <v>976</v>
      </c>
      <c r="K47" s="21"/>
    </row>
    <row r="48" spans="3:11" x14ac:dyDescent="0.3">
      <c r="C48" s="19">
        <v>40002</v>
      </c>
      <c r="D48" s="14" t="s">
        <v>38</v>
      </c>
      <c r="E48" s="14" t="s">
        <v>755</v>
      </c>
      <c r="F48" s="15">
        <v>9</v>
      </c>
      <c r="G48" s="14">
        <v>65</v>
      </c>
      <c r="H48" s="14">
        <v>872</v>
      </c>
      <c r="I48" s="14">
        <v>937</v>
      </c>
      <c r="K48" s="21"/>
    </row>
    <row r="49" spans="3:11" x14ac:dyDescent="0.3">
      <c r="C49" s="19">
        <v>70273</v>
      </c>
      <c r="D49" s="14" t="s">
        <v>39</v>
      </c>
      <c r="E49" s="14" t="s">
        <v>756</v>
      </c>
      <c r="F49" s="15">
        <v>10</v>
      </c>
      <c r="G49" s="14">
        <v>81</v>
      </c>
      <c r="H49" s="14">
        <v>542</v>
      </c>
      <c r="I49" s="14">
        <v>623</v>
      </c>
      <c r="K49" s="21"/>
    </row>
    <row r="50" spans="3:11" x14ac:dyDescent="0.3">
      <c r="C50" s="19">
        <v>70274</v>
      </c>
      <c r="D50" s="14" t="s">
        <v>41</v>
      </c>
      <c r="E50" s="14" t="s">
        <v>755</v>
      </c>
      <c r="F50" s="15">
        <v>13</v>
      </c>
      <c r="G50" s="14">
        <v>27</v>
      </c>
      <c r="H50" s="14">
        <v>542</v>
      </c>
      <c r="I50" s="14">
        <v>569</v>
      </c>
      <c r="K50" s="21"/>
    </row>
    <row r="51" spans="3:11" x14ac:dyDescent="0.3">
      <c r="C51" s="19">
        <v>70275</v>
      </c>
      <c r="D51" s="14" t="s">
        <v>42</v>
      </c>
      <c r="E51" s="14" t="s">
        <v>755</v>
      </c>
      <c r="F51" s="15">
        <v>9</v>
      </c>
      <c r="G51" s="14">
        <v>0</v>
      </c>
      <c r="H51" s="14">
        <v>0</v>
      </c>
      <c r="I51" s="14">
        <v>0</v>
      </c>
      <c r="K51" s="21"/>
    </row>
    <row r="52" spans="3:11" x14ac:dyDescent="0.3">
      <c r="C52" s="19">
        <v>70268</v>
      </c>
      <c r="D52" s="14" t="s">
        <v>43</v>
      </c>
      <c r="E52" s="14" t="s">
        <v>756</v>
      </c>
      <c r="F52" s="15">
        <v>13</v>
      </c>
      <c r="G52" s="14">
        <v>217</v>
      </c>
      <c r="H52" s="14">
        <v>580</v>
      </c>
      <c r="I52" s="14">
        <v>797</v>
      </c>
      <c r="K52" s="21"/>
    </row>
    <row r="53" spans="3:11" x14ac:dyDescent="0.3">
      <c r="C53" s="19">
        <v>31001</v>
      </c>
      <c r="D53" s="14" t="s">
        <v>101</v>
      </c>
      <c r="E53" s="14" t="s">
        <v>755</v>
      </c>
      <c r="F53" s="15">
        <v>10</v>
      </c>
      <c r="G53" s="14">
        <v>0</v>
      </c>
      <c r="H53" s="14">
        <v>0</v>
      </c>
      <c r="I53" s="14">
        <v>0</v>
      </c>
      <c r="K53" s="21"/>
    </row>
    <row r="54" spans="3:11" x14ac:dyDescent="0.3">
      <c r="C54" s="19">
        <v>40048</v>
      </c>
      <c r="D54" s="14" t="s">
        <v>104</v>
      </c>
      <c r="E54" s="14" t="s">
        <v>755</v>
      </c>
      <c r="F54" s="15">
        <v>13</v>
      </c>
      <c r="G54" s="14">
        <v>265</v>
      </c>
      <c r="H54" s="14">
        <v>708</v>
      </c>
      <c r="I54" s="14">
        <v>974</v>
      </c>
      <c r="K54" s="21"/>
    </row>
    <row r="55" spans="3:11" x14ac:dyDescent="0.3">
      <c r="C55" s="19">
        <v>40029</v>
      </c>
      <c r="D55" s="14" t="s">
        <v>106</v>
      </c>
      <c r="E55" s="14" t="s">
        <v>756</v>
      </c>
      <c r="F55" s="15">
        <v>9</v>
      </c>
      <c r="G55" s="14">
        <v>68</v>
      </c>
      <c r="H55" s="14">
        <v>908</v>
      </c>
      <c r="I55" s="14">
        <v>976</v>
      </c>
      <c r="K55" s="21"/>
    </row>
    <row r="56" spans="3:11" x14ac:dyDescent="0.3">
      <c r="C56" s="18">
        <v>70173</v>
      </c>
      <c r="D56" s="12" t="s">
        <v>10</v>
      </c>
      <c r="E56" s="12" t="s">
        <v>755</v>
      </c>
      <c r="F56" s="13">
        <v>12</v>
      </c>
      <c r="G56" s="17">
        <v>0</v>
      </c>
      <c r="H56" s="17">
        <v>543</v>
      </c>
      <c r="I56" s="17">
        <v>543</v>
      </c>
      <c r="K56" s="21"/>
    </row>
    <row r="57" spans="3:11" x14ac:dyDescent="0.3">
      <c r="K57" s="21"/>
    </row>
    <row r="58" spans="3:11" x14ac:dyDescent="0.3">
      <c r="K58" s="21"/>
    </row>
    <row r="59" spans="3:11" x14ac:dyDescent="0.3">
      <c r="K59" s="21"/>
    </row>
    <row r="60" spans="3:11" x14ac:dyDescent="0.3">
      <c r="K60" s="21"/>
    </row>
    <row r="61" spans="3:11" x14ac:dyDescent="0.3">
      <c r="K61" s="21"/>
    </row>
    <row r="62" spans="3:11" x14ac:dyDescent="0.3">
      <c r="K62" s="21"/>
    </row>
    <row r="63" spans="3:11" x14ac:dyDescent="0.3">
      <c r="K63" s="21"/>
    </row>
    <row r="64" spans="3:11" x14ac:dyDescent="0.3">
      <c r="K64" s="21"/>
    </row>
    <row r="65" spans="11:11" x14ac:dyDescent="0.3">
      <c r="K65" s="21"/>
    </row>
    <row r="66" spans="11:11" x14ac:dyDescent="0.3">
      <c r="K66" s="21"/>
    </row>
    <row r="67" spans="11:11" x14ac:dyDescent="0.3">
      <c r="K67" s="21"/>
    </row>
    <row r="68" spans="11:11" x14ac:dyDescent="0.3">
      <c r="K68" s="21"/>
    </row>
    <row r="69" spans="11:11" x14ac:dyDescent="0.3">
      <c r="K69" s="21"/>
    </row>
    <row r="70" spans="11:11" x14ac:dyDescent="0.3">
      <c r="K70" s="21"/>
    </row>
    <row r="71" spans="11:11" x14ac:dyDescent="0.3">
      <c r="K71" s="21"/>
    </row>
    <row r="72" spans="11:11" x14ac:dyDescent="0.3">
      <c r="K72" s="21"/>
    </row>
    <row r="73" spans="11:11" x14ac:dyDescent="0.3">
      <c r="K73" s="21"/>
    </row>
    <row r="74" spans="11:11" x14ac:dyDescent="0.3">
      <c r="K74" s="21"/>
    </row>
    <row r="75" spans="11:11" x14ac:dyDescent="0.3">
      <c r="K75" s="21"/>
    </row>
    <row r="76" spans="11:11" x14ac:dyDescent="0.3">
      <c r="K76" s="21"/>
    </row>
    <row r="77" spans="11:11" x14ac:dyDescent="0.3">
      <c r="K77" s="21"/>
    </row>
    <row r="78" spans="11:11" x14ac:dyDescent="0.3">
      <c r="K78" s="21"/>
    </row>
    <row r="79" spans="11:11" x14ac:dyDescent="0.3">
      <c r="K79" s="21"/>
    </row>
    <row r="80" spans="11:11" x14ac:dyDescent="0.3">
      <c r="K80" s="21"/>
    </row>
    <row r="81" spans="11:11" x14ac:dyDescent="0.3">
      <c r="K81" s="21"/>
    </row>
    <row r="82" spans="11:11" x14ac:dyDescent="0.3">
      <c r="K82" s="21"/>
    </row>
    <row r="83" spans="11:11" x14ac:dyDescent="0.3">
      <c r="K83" s="21"/>
    </row>
    <row r="84" spans="11:11" x14ac:dyDescent="0.3">
      <c r="K84" s="21"/>
    </row>
    <row r="85" spans="11:11" x14ac:dyDescent="0.3">
      <c r="K85" s="21"/>
    </row>
    <row r="86" spans="11:11" x14ac:dyDescent="0.3">
      <c r="K86" s="21"/>
    </row>
    <row r="87" spans="11:11" x14ac:dyDescent="0.3">
      <c r="K87" s="21"/>
    </row>
    <row r="88" spans="11:11" x14ac:dyDescent="0.3">
      <c r="K88" s="21"/>
    </row>
    <row r="89" spans="11:11" x14ac:dyDescent="0.3">
      <c r="K89" s="21"/>
    </row>
    <row r="90" spans="11:11" x14ac:dyDescent="0.3">
      <c r="K90" s="21"/>
    </row>
    <row r="91" spans="11:11" x14ac:dyDescent="0.3">
      <c r="K91" s="21"/>
    </row>
    <row r="92" spans="11:11" x14ac:dyDescent="0.3">
      <c r="K92" s="21"/>
    </row>
    <row r="93" spans="11:11" x14ac:dyDescent="0.3">
      <c r="K93" s="21"/>
    </row>
    <row r="94" spans="11:11" x14ac:dyDescent="0.3">
      <c r="K94" s="21"/>
    </row>
    <row r="95" spans="11:11" x14ac:dyDescent="0.3">
      <c r="K95" s="21"/>
    </row>
    <row r="96" spans="11:11" x14ac:dyDescent="0.3">
      <c r="K96" s="21"/>
    </row>
    <row r="97" spans="11:11" x14ac:dyDescent="0.3">
      <c r="K97" s="21"/>
    </row>
    <row r="98" spans="11:11" x14ac:dyDescent="0.3">
      <c r="K98" s="21"/>
    </row>
    <row r="99" spans="11:11" x14ac:dyDescent="0.3">
      <c r="K99" s="21"/>
    </row>
    <row r="100" spans="11:11" x14ac:dyDescent="0.3">
      <c r="K100" s="21"/>
    </row>
    <row r="101" spans="11:11" x14ac:dyDescent="0.3">
      <c r="K101" s="21"/>
    </row>
    <row r="102" spans="11:11" x14ac:dyDescent="0.3">
      <c r="K102" s="21"/>
    </row>
    <row r="103" spans="11:11" x14ac:dyDescent="0.3">
      <c r="K103" s="21"/>
    </row>
    <row r="104" spans="11:11" x14ac:dyDescent="0.3">
      <c r="K104" s="21"/>
    </row>
    <row r="105" spans="11:11" x14ac:dyDescent="0.3">
      <c r="K105" s="21"/>
    </row>
    <row r="106" spans="11:11" x14ac:dyDescent="0.3">
      <c r="K106" s="21"/>
    </row>
    <row r="107" spans="11:11" x14ac:dyDescent="0.3">
      <c r="K107" s="21"/>
    </row>
    <row r="108" spans="11:11" x14ac:dyDescent="0.3">
      <c r="K108" s="21"/>
    </row>
    <row r="109" spans="11:11" x14ac:dyDescent="0.3">
      <c r="K109" s="21"/>
    </row>
    <row r="110" spans="11:11" x14ac:dyDescent="0.3">
      <c r="K110" s="21"/>
    </row>
    <row r="111" spans="11:11" x14ac:dyDescent="0.3">
      <c r="K111" s="21"/>
    </row>
    <row r="112" spans="11:11" x14ac:dyDescent="0.3">
      <c r="K112" s="21"/>
    </row>
    <row r="113" spans="11:11" x14ac:dyDescent="0.3">
      <c r="K113" s="21"/>
    </row>
    <row r="114" spans="11:11" x14ac:dyDescent="0.3">
      <c r="K114" s="21"/>
    </row>
    <row r="115" spans="11:11" x14ac:dyDescent="0.3">
      <c r="K115" s="21"/>
    </row>
    <row r="116" spans="11:11" x14ac:dyDescent="0.3">
      <c r="K116" s="21"/>
    </row>
    <row r="117" spans="11:11" x14ac:dyDescent="0.3">
      <c r="K117" s="21"/>
    </row>
    <row r="118" spans="11:11" x14ac:dyDescent="0.3">
      <c r="K118" s="21"/>
    </row>
    <row r="119" spans="11:11" x14ac:dyDescent="0.3">
      <c r="K119" s="21"/>
    </row>
    <row r="120" spans="11:11" x14ac:dyDescent="0.3">
      <c r="K120" s="21"/>
    </row>
    <row r="121" spans="11:11" x14ac:dyDescent="0.3">
      <c r="K121" s="21"/>
    </row>
    <row r="122" spans="11:11" x14ac:dyDescent="0.3">
      <c r="K122" s="21"/>
    </row>
    <row r="123" spans="11:11" x14ac:dyDescent="0.3">
      <c r="K123" s="21"/>
    </row>
    <row r="124" spans="11:11" x14ac:dyDescent="0.3">
      <c r="K124" s="21"/>
    </row>
    <row r="125" spans="11:11" x14ac:dyDescent="0.3">
      <c r="K125" s="21"/>
    </row>
    <row r="126" spans="11:11" x14ac:dyDescent="0.3">
      <c r="K126" s="21"/>
    </row>
    <row r="127" spans="11:11" x14ac:dyDescent="0.3">
      <c r="K127" s="21"/>
    </row>
    <row r="128" spans="11:11" x14ac:dyDescent="0.3">
      <c r="K128" s="21"/>
    </row>
    <row r="129" spans="11:11" x14ac:dyDescent="0.3">
      <c r="K129" s="21"/>
    </row>
    <row r="130" spans="11:11" x14ac:dyDescent="0.3">
      <c r="K130" s="21"/>
    </row>
    <row r="131" spans="11:11" x14ac:dyDescent="0.3">
      <c r="K131" s="21"/>
    </row>
    <row r="132" spans="11:11" x14ac:dyDescent="0.3">
      <c r="K132" s="21"/>
    </row>
    <row r="133" spans="11:11" x14ac:dyDescent="0.3">
      <c r="K133" s="21"/>
    </row>
    <row r="134" spans="11:11" x14ac:dyDescent="0.3">
      <c r="K134" s="21"/>
    </row>
    <row r="135" spans="11:11" x14ac:dyDescent="0.3">
      <c r="K135" s="21"/>
    </row>
    <row r="136" spans="11:11" x14ac:dyDescent="0.3">
      <c r="K136" s="21"/>
    </row>
    <row r="137" spans="11:11" x14ac:dyDescent="0.3">
      <c r="K137" s="21"/>
    </row>
    <row r="138" spans="11:11" x14ac:dyDescent="0.3">
      <c r="K138" s="21"/>
    </row>
    <row r="139" spans="11:11" x14ac:dyDescent="0.3">
      <c r="K139" s="21"/>
    </row>
    <row r="140" spans="11:11" x14ac:dyDescent="0.3">
      <c r="K140" s="21"/>
    </row>
    <row r="141" spans="11:11" x14ac:dyDescent="0.3">
      <c r="K141" s="21"/>
    </row>
    <row r="142" spans="11:11" x14ac:dyDescent="0.3">
      <c r="K142" s="21"/>
    </row>
    <row r="143" spans="11:11" x14ac:dyDescent="0.3">
      <c r="K143" s="21"/>
    </row>
    <row r="144" spans="11:11" x14ac:dyDescent="0.3">
      <c r="K144" s="21"/>
    </row>
    <row r="145" spans="11:11" x14ac:dyDescent="0.3">
      <c r="K145" s="21"/>
    </row>
    <row r="146" spans="11:11" x14ac:dyDescent="0.3">
      <c r="K146" s="21"/>
    </row>
    <row r="147" spans="11:11" x14ac:dyDescent="0.3">
      <c r="K147" s="21"/>
    </row>
    <row r="148" spans="11:11" x14ac:dyDescent="0.3">
      <c r="K148" s="21"/>
    </row>
    <row r="149" spans="11:11" x14ac:dyDescent="0.3">
      <c r="K149" s="21"/>
    </row>
    <row r="150" spans="11:11" x14ac:dyDescent="0.3">
      <c r="K150" s="21"/>
    </row>
    <row r="151" spans="11:11" x14ac:dyDescent="0.3">
      <c r="K151" s="21"/>
    </row>
    <row r="152" spans="11:11" x14ac:dyDescent="0.3">
      <c r="K152" s="21"/>
    </row>
    <row r="153" spans="11:11" x14ac:dyDescent="0.3">
      <c r="K153" s="21"/>
    </row>
    <row r="154" spans="11:11" x14ac:dyDescent="0.3">
      <c r="K154" s="21"/>
    </row>
    <row r="155" spans="11:11" x14ac:dyDescent="0.3">
      <c r="K155" s="21"/>
    </row>
    <row r="156" spans="11:11" x14ac:dyDescent="0.3">
      <c r="K156" s="21"/>
    </row>
    <row r="157" spans="11:11" x14ac:dyDescent="0.3">
      <c r="K157" s="21"/>
    </row>
    <row r="158" spans="11:11" x14ac:dyDescent="0.3">
      <c r="K158" s="21"/>
    </row>
    <row r="159" spans="11:11" x14ac:dyDescent="0.3">
      <c r="K159" s="21"/>
    </row>
    <row r="160" spans="11:11" x14ac:dyDescent="0.3">
      <c r="K160" s="21"/>
    </row>
    <row r="161" spans="11:11" x14ac:dyDescent="0.3">
      <c r="K161" s="21"/>
    </row>
    <row r="162" spans="11:11" x14ac:dyDescent="0.3">
      <c r="K162" s="21"/>
    </row>
    <row r="163" spans="11:11" x14ac:dyDescent="0.3">
      <c r="K163" s="21"/>
    </row>
    <row r="164" spans="11:11" x14ac:dyDescent="0.3">
      <c r="K164" s="21"/>
    </row>
    <row r="165" spans="11:11" x14ac:dyDescent="0.3">
      <c r="K165" s="21"/>
    </row>
    <row r="166" spans="11:11" x14ac:dyDescent="0.3">
      <c r="K166" s="21"/>
    </row>
    <row r="167" spans="11:11" x14ac:dyDescent="0.3">
      <c r="K167" s="21"/>
    </row>
    <row r="168" spans="11:11" x14ac:dyDescent="0.3">
      <c r="K168" s="21"/>
    </row>
    <row r="169" spans="11:11" x14ac:dyDescent="0.3">
      <c r="K169" s="21"/>
    </row>
    <row r="170" spans="11:11" x14ac:dyDescent="0.3">
      <c r="K170" s="21"/>
    </row>
    <row r="171" spans="11:11" x14ac:dyDescent="0.3">
      <c r="K171" s="21"/>
    </row>
    <row r="172" spans="11:11" x14ac:dyDescent="0.3">
      <c r="K172" s="21"/>
    </row>
    <row r="173" spans="11:11" x14ac:dyDescent="0.3">
      <c r="K173" s="21"/>
    </row>
    <row r="174" spans="11:11" x14ac:dyDescent="0.3">
      <c r="K174" s="21"/>
    </row>
    <row r="175" spans="11:11" x14ac:dyDescent="0.3">
      <c r="K175" s="21"/>
    </row>
    <row r="176" spans="11:11" x14ac:dyDescent="0.3">
      <c r="K176" s="21"/>
    </row>
    <row r="177" spans="11:11" x14ac:dyDescent="0.3">
      <c r="K177" s="21"/>
    </row>
    <row r="178" spans="11:11" x14ac:dyDescent="0.3">
      <c r="K178" s="21"/>
    </row>
    <row r="179" spans="11:11" x14ac:dyDescent="0.3">
      <c r="K179" s="21"/>
    </row>
    <row r="180" spans="11:11" x14ac:dyDescent="0.3">
      <c r="K180" s="21"/>
    </row>
    <row r="181" spans="11:11" x14ac:dyDescent="0.3">
      <c r="K181" s="21"/>
    </row>
    <row r="182" spans="11:11" x14ac:dyDescent="0.3">
      <c r="K182" s="21"/>
    </row>
    <row r="183" spans="11:11" x14ac:dyDescent="0.3">
      <c r="K183" s="21"/>
    </row>
    <row r="184" spans="11:11" x14ac:dyDescent="0.3">
      <c r="K184" s="21"/>
    </row>
    <row r="185" spans="11:11" x14ac:dyDescent="0.3">
      <c r="K185" s="21"/>
    </row>
    <row r="186" spans="11:11" x14ac:dyDescent="0.3">
      <c r="K186" s="21"/>
    </row>
    <row r="187" spans="11:11" x14ac:dyDescent="0.3">
      <c r="K187" s="21"/>
    </row>
    <row r="188" spans="11:11" x14ac:dyDescent="0.3">
      <c r="K188" s="21"/>
    </row>
    <row r="189" spans="11:11" x14ac:dyDescent="0.3">
      <c r="K189" s="21"/>
    </row>
    <row r="190" spans="11:11" x14ac:dyDescent="0.3">
      <c r="K190" s="21"/>
    </row>
    <row r="191" spans="11:11" x14ac:dyDescent="0.3">
      <c r="K191" s="21"/>
    </row>
    <row r="192" spans="11:11" x14ac:dyDescent="0.3">
      <c r="K192" s="21"/>
    </row>
    <row r="193" spans="11:11" x14ac:dyDescent="0.3">
      <c r="K193" s="21"/>
    </row>
    <row r="194" spans="11:11" x14ac:dyDescent="0.3">
      <c r="K194" s="21"/>
    </row>
    <row r="195" spans="11:11" x14ac:dyDescent="0.3">
      <c r="K195" s="21"/>
    </row>
    <row r="196" spans="11:11" x14ac:dyDescent="0.3">
      <c r="K196" s="21"/>
    </row>
    <row r="197" spans="11:11" x14ac:dyDescent="0.3">
      <c r="K197" s="21"/>
    </row>
    <row r="198" spans="11:11" x14ac:dyDescent="0.3">
      <c r="K198" s="21"/>
    </row>
    <row r="199" spans="11:11" x14ac:dyDescent="0.3">
      <c r="K199" s="21"/>
    </row>
    <row r="200" spans="11:11" x14ac:dyDescent="0.3">
      <c r="K200" s="21"/>
    </row>
    <row r="201" spans="11:11" x14ac:dyDescent="0.3">
      <c r="K201" s="21"/>
    </row>
    <row r="202" spans="11:11" x14ac:dyDescent="0.3">
      <c r="K202" s="21"/>
    </row>
    <row r="203" spans="11:11" x14ac:dyDescent="0.3">
      <c r="K203" s="21"/>
    </row>
    <row r="204" spans="11:11" x14ac:dyDescent="0.3">
      <c r="K204" s="21"/>
    </row>
    <row r="205" spans="11:11" x14ac:dyDescent="0.3">
      <c r="K205" s="21"/>
    </row>
    <row r="206" spans="11:11" x14ac:dyDescent="0.3">
      <c r="K206" s="21"/>
    </row>
    <row r="207" spans="11:11" x14ac:dyDescent="0.3">
      <c r="K207" s="21"/>
    </row>
    <row r="208" spans="11:11" x14ac:dyDescent="0.3">
      <c r="K208" s="21"/>
    </row>
    <row r="209" spans="11:11" x14ac:dyDescent="0.3">
      <c r="K209" s="21"/>
    </row>
    <row r="210" spans="11:11" x14ac:dyDescent="0.3">
      <c r="K210" s="21"/>
    </row>
    <row r="211" spans="11:11" x14ac:dyDescent="0.3">
      <c r="K211" s="21"/>
    </row>
    <row r="212" spans="11:11" x14ac:dyDescent="0.3">
      <c r="K212" s="21"/>
    </row>
    <row r="213" spans="11:11" x14ac:dyDescent="0.3">
      <c r="K213" s="21"/>
    </row>
    <row r="214" spans="11:11" x14ac:dyDescent="0.3">
      <c r="K214" s="21"/>
    </row>
    <row r="215" spans="11:11" x14ac:dyDescent="0.3">
      <c r="K215" s="21"/>
    </row>
    <row r="216" spans="11:11" x14ac:dyDescent="0.3">
      <c r="K216" s="21"/>
    </row>
    <row r="217" spans="11:11" x14ac:dyDescent="0.3">
      <c r="K217" s="21"/>
    </row>
    <row r="218" spans="11:11" x14ac:dyDescent="0.3">
      <c r="K218" s="21"/>
    </row>
    <row r="219" spans="11:11" x14ac:dyDescent="0.3">
      <c r="K219" s="21"/>
    </row>
    <row r="220" spans="11:11" x14ac:dyDescent="0.3">
      <c r="K220" s="21"/>
    </row>
    <row r="221" spans="11:11" x14ac:dyDescent="0.3">
      <c r="K221" s="21"/>
    </row>
    <row r="222" spans="11:11" x14ac:dyDescent="0.3">
      <c r="K222" s="21"/>
    </row>
    <row r="223" spans="11:11" x14ac:dyDescent="0.3">
      <c r="K223" s="21"/>
    </row>
    <row r="224" spans="11:11" x14ac:dyDescent="0.3">
      <c r="K224" s="21"/>
    </row>
    <row r="225" spans="11:11" x14ac:dyDescent="0.3">
      <c r="K225" s="21"/>
    </row>
    <row r="226" spans="11:11" x14ac:dyDescent="0.3">
      <c r="K226" s="21"/>
    </row>
    <row r="227" spans="11:11" x14ac:dyDescent="0.3">
      <c r="K227" s="21"/>
    </row>
    <row r="228" spans="11:11" x14ac:dyDescent="0.3">
      <c r="K228" s="21"/>
    </row>
    <row r="229" spans="11:11" x14ac:dyDescent="0.3">
      <c r="K229" s="21"/>
    </row>
    <row r="230" spans="11:11" x14ac:dyDescent="0.3">
      <c r="K230" s="21"/>
    </row>
    <row r="231" spans="11:11" x14ac:dyDescent="0.3">
      <c r="K231" s="21"/>
    </row>
    <row r="232" spans="11:11" x14ac:dyDescent="0.3">
      <c r="K232" s="21"/>
    </row>
    <row r="233" spans="11:11" x14ac:dyDescent="0.3">
      <c r="K233" s="21"/>
    </row>
    <row r="234" spans="11:11" x14ac:dyDescent="0.3">
      <c r="K234" s="21"/>
    </row>
    <row r="235" spans="11:11" x14ac:dyDescent="0.3">
      <c r="K235" s="21"/>
    </row>
    <row r="236" spans="11:11" x14ac:dyDescent="0.3">
      <c r="K236" s="21"/>
    </row>
    <row r="237" spans="11:11" x14ac:dyDescent="0.3">
      <c r="K237" s="21"/>
    </row>
    <row r="238" spans="11:11" x14ac:dyDescent="0.3">
      <c r="K238" s="21"/>
    </row>
    <row r="239" spans="11:11" x14ac:dyDescent="0.3">
      <c r="K239" s="21"/>
    </row>
    <row r="240" spans="11:11" x14ac:dyDescent="0.3">
      <c r="K240" s="21"/>
    </row>
    <row r="241" spans="11:11" x14ac:dyDescent="0.3">
      <c r="K241" s="21"/>
    </row>
    <row r="242" spans="11:11" x14ac:dyDescent="0.3">
      <c r="K242" s="21"/>
    </row>
    <row r="243" spans="11:11" x14ac:dyDescent="0.3">
      <c r="K243" s="21"/>
    </row>
    <row r="244" spans="11:11" x14ac:dyDescent="0.3">
      <c r="K244" s="21"/>
    </row>
    <row r="245" spans="11:11" x14ac:dyDescent="0.3">
      <c r="K245" s="21"/>
    </row>
    <row r="246" spans="11:11" x14ac:dyDescent="0.3">
      <c r="K246" s="21"/>
    </row>
    <row r="247" spans="11:11" x14ac:dyDescent="0.3">
      <c r="K247" s="21"/>
    </row>
    <row r="248" spans="11:11" x14ac:dyDescent="0.3">
      <c r="K248" s="21"/>
    </row>
    <row r="249" spans="11:11" x14ac:dyDescent="0.3">
      <c r="K249" s="21"/>
    </row>
    <row r="250" spans="11:11" x14ac:dyDescent="0.3">
      <c r="K250" s="21"/>
    </row>
    <row r="251" spans="11:11" x14ac:dyDescent="0.3">
      <c r="K251" s="21"/>
    </row>
    <row r="252" spans="11:11" x14ac:dyDescent="0.3">
      <c r="K252" s="21"/>
    </row>
    <row r="253" spans="11:11" x14ac:dyDescent="0.3">
      <c r="K253" s="21"/>
    </row>
    <row r="254" spans="11:11" x14ac:dyDescent="0.3">
      <c r="K254" s="21"/>
    </row>
    <row r="255" spans="11:11" x14ac:dyDescent="0.3">
      <c r="K255" s="21"/>
    </row>
    <row r="256" spans="11:11" x14ac:dyDescent="0.3">
      <c r="K256" s="21"/>
    </row>
    <row r="257" spans="11:11" x14ac:dyDescent="0.3">
      <c r="K257" s="21"/>
    </row>
    <row r="258" spans="11:11" x14ac:dyDescent="0.3">
      <c r="K258" s="21"/>
    </row>
    <row r="259" spans="11:11" x14ac:dyDescent="0.3">
      <c r="K259" s="21"/>
    </row>
    <row r="260" spans="11:11" x14ac:dyDescent="0.3">
      <c r="K260" s="21"/>
    </row>
    <row r="261" spans="11:11" x14ac:dyDescent="0.3">
      <c r="K261" s="21"/>
    </row>
    <row r="262" spans="11:11" x14ac:dyDescent="0.3">
      <c r="K262" s="21"/>
    </row>
    <row r="263" spans="11:11" x14ac:dyDescent="0.3">
      <c r="K263" s="21"/>
    </row>
    <row r="264" spans="11:11" x14ac:dyDescent="0.3">
      <c r="K264" s="21"/>
    </row>
    <row r="265" spans="11:11" x14ac:dyDescent="0.3">
      <c r="K265" s="21"/>
    </row>
    <row r="266" spans="11:11" x14ac:dyDescent="0.3">
      <c r="K266" s="21"/>
    </row>
    <row r="267" spans="11:11" x14ac:dyDescent="0.3">
      <c r="K267" s="21"/>
    </row>
    <row r="268" spans="11:11" x14ac:dyDescent="0.3">
      <c r="K268" s="21"/>
    </row>
    <row r="269" spans="11:11" x14ac:dyDescent="0.3">
      <c r="K269" s="21"/>
    </row>
    <row r="270" spans="11:11" x14ac:dyDescent="0.3">
      <c r="K270" s="21"/>
    </row>
    <row r="271" spans="11:11" x14ac:dyDescent="0.3">
      <c r="K271" s="21"/>
    </row>
    <row r="272" spans="11:11" x14ac:dyDescent="0.3">
      <c r="K272" s="21"/>
    </row>
    <row r="273" spans="11:11" x14ac:dyDescent="0.3">
      <c r="K273" s="21"/>
    </row>
    <row r="274" spans="11:11" x14ac:dyDescent="0.3">
      <c r="K274" s="21"/>
    </row>
    <row r="275" spans="11:11" x14ac:dyDescent="0.3">
      <c r="K275" s="21"/>
    </row>
    <row r="276" spans="11:11" x14ac:dyDescent="0.3">
      <c r="K276" s="21"/>
    </row>
    <row r="277" spans="11:11" x14ac:dyDescent="0.3">
      <c r="K277" s="21"/>
    </row>
    <row r="278" spans="11:11" x14ac:dyDescent="0.3">
      <c r="K278" s="21"/>
    </row>
    <row r="279" spans="11:11" x14ac:dyDescent="0.3">
      <c r="K279" s="21"/>
    </row>
    <row r="280" spans="11:11" x14ac:dyDescent="0.3">
      <c r="K280" s="21"/>
    </row>
    <row r="281" spans="11:11" x14ac:dyDescent="0.3">
      <c r="K281" s="21"/>
    </row>
    <row r="282" spans="11:11" x14ac:dyDescent="0.3">
      <c r="K282" s="21"/>
    </row>
    <row r="283" spans="11:11" x14ac:dyDescent="0.3">
      <c r="K283" s="21"/>
    </row>
    <row r="284" spans="11:11" x14ac:dyDescent="0.3">
      <c r="K284" s="21"/>
    </row>
    <row r="285" spans="11:11" x14ac:dyDescent="0.3">
      <c r="K285" s="21"/>
    </row>
    <row r="286" spans="11:11" x14ac:dyDescent="0.3">
      <c r="K286" s="21"/>
    </row>
    <row r="287" spans="11:11" x14ac:dyDescent="0.3">
      <c r="K287" s="21"/>
    </row>
    <row r="288" spans="11:11" x14ac:dyDescent="0.3">
      <c r="K288" s="21"/>
    </row>
    <row r="289" spans="11:11" x14ac:dyDescent="0.3">
      <c r="K289" s="21"/>
    </row>
    <row r="290" spans="11:11" x14ac:dyDescent="0.3">
      <c r="K290" s="21"/>
    </row>
    <row r="291" spans="11:11" x14ac:dyDescent="0.3">
      <c r="K291" s="21"/>
    </row>
    <row r="292" spans="11:11" x14ac:dyDescent="0.3">
      <c r="K292" s="21"/>
    </row>
    <row r="293" spans="11:11" x14ac:dyDescent="0.3">
      <c r="K293" s="21"/>
    </row>
    <row r="294" spans="11:11" x14ac:dyDescent="0.3">
      <c r="K294" s="21"/>
    </row>
    <row r="295" spans="11:11" x14ac:dyDescent="0.3">
      <c r="K295" s="21"/>
    </row>
    <row r="296" spans="11:11" x14ac:dyDescent="0.3">
      <c r="K296" s="21"/>
    </row>
    <row r="297" spans="11:11" x14ac:dyDescent="0.3">
      <c r="K297" s="21"/>
    </row>
    <row r="298" spans="11:11" x14ac:dyDescent="0.3">
      <c r="K298" s="21"/>
    </row>
    <row r="299" spans="11:11" x14ac:dyDescent="0.3">
      <c r="K299" s="21"/>
    </row>
    <row r="300" spans="11:11" x14ac:dyDescent="0.3">
      <c r="K300" s="21"/>
    </row>
    <row r="301" spans="11:11" x14ac:dyDescent="0.3">
      <c r="K301" s="21"/>
    </row>
    <row r="302" spans="11:11" x14ac:dyDescent="0.3">
      <c r="K302" s="21"/>
    </row>
    <row r="303" spans="11:11" x14ac:dyDescent="0.3">
      <c r="K303" s="21"/>
    </row>
    <row r="304" spans="11:11" x14ac:dyDescent="0.3">
      <c r="K304" s="21"/>
    </row>
    <row r="305" spans="11:11" x14ac:dyDescent="0.3">
      <c r="K305" s="21"/>
    </row>
    <row r="306" spans="11:11" x14ac:dyDescent="0.3">
      <c r="K306" s="21"/>
    </row>
    <row r="307" spans="11:11" x14ac:dyDescent="0.3">
      <c r="K307" s="21"/>
    </row>
    <row r="308" spans="11:11" x14ac:dyDescent="0.3">
      <c r="K308" s="21"/>
    </row>
    <row r="309" spans="11:11" x14ac:dyDescent="0.3">
      <c r="K309" s="21"/>
    </row>
    <row r="310" spans="11:11" x14ac:dyDescent="0.3">
      <c r="K310" s="21"/>
    </row>
    <row r="311" spans="11:11" x14ac:dyDescent="0.3">
      <c r="K311" s="21"/>
    </row>
    <row r="312" spans="11:11" x14ac:dyDescent="0.3">
      <c r="K312" s="21"/>
    </row>
    <row r="313" spans="11:11" x14ac:dyDescent="0.3">
      <c r="K313" s="21"/>
    </row>
    <row r="314" spans="11:11" x14ac:dyDescent="0.3">
      <c r="K314" s="21"/>
    </row>
    <row r="315" spans="11:11" x14ac:dyDescent="0.3">
      <c r="K315" s="21"/>
    </row>
    <row r="316" spans="11:11" x14ac:dyDescent="0.3">
      <c r="K316" s="21"/>
    </row>
    <row r="317" spans="11:11" x14ac:dyDescent="0.3">
      <c r="K317" s="21"/>
    </row>
    <row r="318" spans="11:11" x14ac:dyDescent="0.3">
      <c r="K318" s="21"/>
    </row>
    <row r="319" spans="11:11" x14ac:dyDescent="0.3">
      <c r="K319" s="21"/>
    </row>
    <row r="320" spans="11:11" x14ac:dyDescent="0.3">
      <c r="K320" s="21"/>
    </row>
    <row r="321" spans="11:11" x14ac:dyDescent="0.3">
      <c r="K321" s="21"/>
    </row>
    <row r="322" spans="11:11" x14ac:dyDescent="0.3">
      <c r="K322" s="21"/>
    </row>
    <row r="323" spans="11:11" x14ac:dyDescent="0.3">
      <c r="K323" s="21"/>
    </row>
    <row r="324" spans="11:11" x14ac:dyDescent="0.3">
      <c r="K324" s="21"/>
    </row>
    <row r="325" spans="11:11" x14ac:dyDescent="0.3">
      <c r="K325" s="21"/>
    </row>
    <row r="326" spans="11:11" x14ac:dyDescent="0.3">
      <c r="K326" s="21"/>
    </row>
    <row r="327" spans="11:11" x14ac:dyDescent="0.3">
      <c r="K327" s="21"/>
    </row>
    <row r="328" spans="11:11" x14ac:dyDescent="0.3">
      <c r="K328" s="21"/>
    </row>
    <row r="329" spans="11:11" x14ac:dyDescent="0.3">
      <c r="K329" s="21"/>
    </row>
    <row r="330" spans="11:11" x14ac:dyDescent="0.3">
      <c r="K330" s="21"/>
    </row>
    <row r="331" spans="11:11" x14ac:dyDescent="0.3">
      <c r="K331" s="21"/>
    </row>
    <row r="332" spans="11:11" x14ac:dyDescent="0.3">
      <c r="K332" s="21"/>
    </row>
    <row r="333" spans="11:11" x14ac:dyDescent="0.3">
      <c r="K333" s="21"/>
    </row>
    <row r="334" spans="11:11" x14ac:dyDescent="0.3">
      <c r="K334" s="21"/>
    </row>
    <row r="335" spans="11:11" x14ac:dyDescent="0.3">
      <c r="K335" s="21"/>
    </row>
    <row r="336" spans="11:11" x14ac:dyDescent="0.3">
      <c r="K336" s="21"/>
    </row>
    <row r="337" spans="11:11" x14ac:dyDescent="0.3">
      <c r="K337" s="21"/>
    </row>
    <row r="338" spans="11:11" x14ac:dyDescent="0.3">
      <c r="K338" s="21"/>
    </row>
    <row r="339" spans="11:11" x14ac:dyDescent="0.3">
      <c r="K339" s="21"/>
    </row>
    <row r="340" spans="11:11" x14ac:dyDescent="0.3">
      <c r="K340" s="21"/>
    </row>
    <row r="341" spans="11:11" x14ac:dyDescent="0.3">
      <c r="K341" s="21"/>
    </row>
    <row r="342" spans="11:11" x14ac:dyDescent="0.3">
      <c r="K342" s="21"/>
    </row>
    <row r="343" spans="11:11" x14ac:dyDescent="0.3">
      <c r="K343" s="21"/>
    </row>
    <row r="344" spans="11:11" x14ac:dyDescent="0.3">
      <c r="K344" s="21"/>
    </row>
    <row r="345" spans="11:11" x14ac:dyDescent="0.3">
      <c r="K345" s="21"/>
    </row>
    <row r="346" spans="11:11" x14ac:dyDescent="0.3">
      <c r="K346" s="21"/>
    </row>
    <row r="347" spans="11:11" x14ac:dyDescent="0.3">
      <c r="K347" s="21"/>
    </row>
    <row r="348" spans="11:11" x14ac:dyDescent="0.3">
      <c r="K348" s="21"/>
    </row>
    <row r="349" spans="11:11" x14ac:dyDescent="0.3">
      <c r="K349" s="21"/>
    </row>
    <row r="350" spans="11:11" x14ac:dyDescent="0.3">
      <c r="K350" s="21"/>
    </row>
    <row r="351" spans="11:11" x14ac:dyDescent="0.3">
      <c r="K351" s="21"/>
    </row>
    <row r="352" spans="11:11" x14ac:dyDescent="0.3">
      <c r="K352" s="21"/>
    </row>
    <row r="353" spans="11:11" x14ac:dyDescent="0.3">
      <c r="K353" s="21"/>
    </row>
    <row r="354" spans="11:11" x14ac:dyDescent="0.3">
      <c r="K354" s="21"/>
    </row>
    <row r="355" spans="11:11" x14ac:dyDescent="0.3">
      <c r="K355" s="21"/>
    </row>
    <row r="356" spans="11:11" x14ac:dyDescent="0.3">
      <c r="K356" s="21"/>
    </row>
    <row r="357" spans="11:11" x14ac:dyDescent="0.3">
      <c r="K357" s="21"/>
    </row>
    <row r="358" spans="11:11" x14ac:dyDescent="0.3">
      <c r="K358" s="21"/>
    </row>
    <row r="359" spans="11:11" x14ac:dyDescent="0.3">
      <c r="K359" s="21"/>
    </row>
    <row r="360" spans="11:11" x14ac:dyDescent="0.3">
      <c r="K360" s="21"/>
    </row>
    <row r="361" spans="11:11" x14ac:dyDescent="0.3">
      <c r="K361" s="21"/>
    </row>
    <row r="362" spans="11:11" x14ac:dyDescent="0.3">
      <c r="K362" s="21"/>
    </row>
    <row r="363" spans="11:11" x14ac:dyDescent="0.3">
      <c r="K363" s="21"/>
    </row>
    <row r="364" spans="11:11" x14ac:dyDescent="0.3">
      <c r="K364" s="21"/>
    </row>
    <row r="365" spans="11:11" x14ac:dyDescent="0.3">
      <c r="K365" s="21"/>
    </row>
    <row r="366" spans="11:11" x14ac:dyDescent="0.3">
      <c r="K366" s="21"/>
    </row>
    <row r="367" spans="11:11" x14ac:dyDescent="0.3">
      <c r="K367" s="21"/>
    </row>
    <row r="368" spans="11:11" x14ac:dyDescent="0.3">
      <c r="K368" s="21"/>
    </row>
    <row r="369" spans="11:11" x14ac:dyDescent="0.3">
      <c r="K369" s="21"/>
    </row>
    <row r="370" spans="11:11" x14ac:dyDescent="0.3">
      <c r="K370" s="21"/>
    </row>
    <row r="371" spans="11:11" x14ac:dyDescent="0.3">
      <c r="K371" s="21"/>
    </row>
    <row r="372" spans="11:11" x14ac:dyDescent="0.3">
      <c r="K372" s="21"/>
    </row>
    <row r="373" spans="11:11" x14ac:dyDescent="0.3">
      <c r="K373" s="21"/>
    </row>
    <row r="374" spans="11:11" x14ac:dyDescent="0.3">
      <c r="K374" s="21"/>
    </row>
    <row r="375" spans="11:11" x14ac:dyDescent="0.3">
      <c r="K375" s="21"/>
    </row>
    <row r="376" spans="11:11" x14ac:dyDescent="0.3">
      <c r="K376" s="21"/>
    </row>
    <row r="377" spans="11:11" x14ac:dyDescent="0.3">
      <c r="K377" s="21"/>
    </row>
    <row r="378" spans="11:11" x14ac:dyDescent="0.3">
      <c r="K378" s="21"/>
    </row>
    <row r="379" spans="11:11" x14ac:dyDescent="0.3">
      <c r="K379" s="21"/>
    </row>
    <row r="380" spans="11:11" x14ac:dyDescent="0.3">
      <c r="K380" s="21"/>
    </row>
    <row r="381" spans="11:11" x14ac:dyDescent="0.3">
      <c r="K381" s="21"/>
    </row>
    <row r="382" spans="11:11" x14ac:dyDescent="0.3">
      <c r="K382" s="21"/>
    </row>
    <row r="383" spans="11:11" x14ac:dyDescent="0.3">
      <c r="K383" s="21"/>
    </row>
    <row r="384" spans="11:11" x14ac:dyDescent="0.3">
      <c r="K384" s="21"/>
    </row>
    <row r="385" spans="11:11" x14ac:dyDescent="0.3">
      <c r="K385" s="21"/>
    </row>
    <row r="386" spans="11:11" x14ac:dyDescent="0.3">
      <c r="K386" s="21"/>
    </row>
    <row r="387" spans="11:11" x14ac:dyDescent="0.3">
      <c r="K387" s="21"/>
    </row>
    <row r="388" spans="11:11" x14ac:dyDescent="0.3">
      <c r="K388" s="21"/>
    </row>
    <row r="389" spans="11:11" x14ac:dyDescent="0.3">
      <c r="K389" s="21"/>
    </row>
    <row r="390" spans="11:11" x14ac:dyDescent="0.3">
      <c r="K390" s="21"/>
    </row>
    <row r="391" spans="11:11" x14ac:dyDescent="0.3">
      <c r="K391" s="21"/>
    </row>
    <row r="392" spans="11:11" x14ac:dyDescent="0.3">
      <c r="K392" s="21"/>
    </row>
    <row r="393" spans="11:11" x14ac:dyDescent="0.3">
      <c r="K393" s="21"/>
    </row>
    <row r="394" spans="11:11" x14ac:dyDescent="0.3">
      <c r="K394" s="21"/>
    </row>
    <row r="395" spans="11:11" x14ac:dyDescent="0.3">
      <c r="K395" s="21"/>
    </row>
    <row r="396" spans="11:11" x14ac:dyDescent="0.3">
      <c r="K396" s="21"/>
    </row>
    <row r="397" spans="11:11" x14ac:dyDescent="0.3">
      <c r="K397" s="21"/>
    </row>
    <row r="398" spans="11:11" x14ac:dyDescent="0.3">
      <c r="K398" s="21"/>
    </row>
    <row r="399" spans="11:11" x14ac:dyDescent="0.3">
      <c r="K399" s="21"/>
    </row>
    <row r="400" spans="11:11" x14ac:dyDescent="0.3">
      <c r="K400" s="21"/>
    </row>
    <row r="401" spans="11:11" x14ac:dyDescent="0.3">
      <c r="K401" s="21"/>
    </row>
    <row r="402" spans="11:11" x14ac:dyDescent="0.3">
      <c r="K402" s="21"/>
    </row>
    <row r="403" spans="11:11" x14ac:dyDescent="0.3">
      <c r="K403" s="21"/>
    </row>
    <row r="404" spans="11:11" x14ac:dyDescent="0.3">
      <c r="K404" s="21"/>
    </row>
    <row r="405" spans="11:11" x14ac:dyDescent="0.3">
      <c r="K405" s="21"/>
    </row>
    <row r="406" spans="11:11" x14ac:dyDescent="0.3">
      <c r="K406" s="21"/>
    </row>
    <row r="407" spans="11:11" x14ac:dyDescent="0.3">
      <c r="K407" s="21"/>
    </row>
    <row r="408" spans="11:11" x14ac:dyDescent="0.3">
      <c r="K408" s="21"/>
    </row>
    <row r="409" spans="11:11" x14ac:dyDescent="0.3">
      <c r="K409" s="21"/>
    </row>
    <row r="410" spans="11:11" x14ac:dyDescent="0.3">
      <c r="K410" s="21"/>
    </row>
    <row r="411" spans="11:11" x14ac:dyDescent="0.3">
      <c r="K411" s="21"/>
    </row>
    <row r="412" spans="11:11" x14ac:dyDescent="0.3">
      <c r="K412" s="21"/>
    </row>
    <row r="413" spans="11:11" x14ac:dyDescent="0.3">
      <c r="K413" s="21"/>
    </row>
    <row r="414" spans="11:11" x14ac:dyDescent="0.3">
      <c r="K414" s="21"/>
    </row>
    <row r="415" spans="11:11" x14ac:dyDescent="0.3">
      <c r="K415" s="21"/>
    </row>
    <row r="416" spans="11:11" x14ac:dyDescent="0.3">
      <c r="K416" s="21"/>
    </row>
    <row r="417" spans="11:11" x14ac:dyDescent="0.3">
      <c r="K417" s="21"/>
    </row>
    <row r="418" spans="11:11" x14ac:dyDescent="0.3">
      <c r="K418" s="21"/>
    </row>
    <row r="419" spans="11:11" x14ac:dyDescent="0.3">
      <c r="K419" s="21"/>
    </row>
    <row r="420" spans="11:11" x14ac:dyDescent="0.3">
      <c r="K420" s="21"/>
    </row>
    <row r="421" spans="11:11" x14ac:dyDescent="0.3">
      <c r="K421" s="21"/>
    </row>
    <row r="422" spans="11:11" x14ac:dyDescent="0.3">
      <c r="K422" s="21"/>
    </row>
    <row r="423" spans="11:11" x14ac:dyDescent="0.3">
      <c r="K423" s="21"/>
    </row>
    <row r="424" spans="11:11" x14ac:dyDescent="0.3">
      <c r="K424" s="21"/>
    </row>
    <row r="425" spans="11:11" x14ac:dyDescent="0.3">
      <c r="K425" s="21"/>
    </row>
    <row r="426" spans="11:11" x14ac:dyDescent="0.3">
      <c r="K426" s="21"/>
    </row>
    <row r="427" spans="11:11" x14ac:dyDescent="0.3">
      <c r="K427" s="21"/>
    </row>
    <row r="428" spans="11:11" x14ac:dyDescent="0.3">
      <c r="K428" s="21"/>
    </row>
    <row r="429" spans="11:11" x14ac:dyDescent="0.3">
      <c r="K429" s="21"/>
    </row>
    <row r="430" spans="11:11" x14ac:dyDescent="0.3">
      <c r="K430" s="21"/>
    </row>
    <row r="431" spans="11:11" x14ac:dyDescent="0.3">
      <c r="K431" s="21"/>
    </row>
    <row r="432" spans="11:11" x14ac:dyDescent="0.3">
      <c r="K432" s="21"/>
    </row>
    <row r="433" spans="11:11" x14ac:dyDescent="0.3">
      <c r="K433" s="21"/>
    </row>
    <row r="434" spans="11:11" x14ac:dyDescent="0.3">
      <c r="K434" s="21"/>
    </row>
    <row r="435" spans="11:11" x14ac:dyDescent="0.3">
      <c r="K435" s="21"/>
    </row>
    <row r="436" spans="11:11" x14ac:dyDescent="0.3">
      <c r="K436" s="21"/>
    </row>
    <row r="437" spans="11:11" x14ac:dyDescent="0.3">
      <c r="K437" s="21"/>
    </row>
    <row r="438" spans="11:11" x14ac:dyDescent="0.3">
      <c r="K438" s="21"/>
    </row>
    <row r="439" spans="11:11" x14ac:dyDescent="0.3">
      <c r="K439" s="21"/>
    </row>
    <row r="440" spans="11:11" x14ac:dyDescent="0.3">
      <c r="K440" s="21"/>
    </row>
    <row r="441" spans="11:11" x14ac:dyDescent="0.3">
      <c r="K441" s="21"/>
    </row>
    <row r="442" spans="11:11" x14ac:dyDescent="0.3">
      <c r="K442" s="21"/>
    </row>
    <row r="443" spans="11:11" x14ac:dyDescent="0.3">
      <c r="K443" s="21"/>
    </row>
    <row r="444" spans="11:11" x14ac:dyDescent="0.3">
      <c r="K444" s="21"/>
    </row>
    <row r="445" spans="11:11" x14ac:dyDescent="0.3">
      <c r="K445" s="21"/>
    </row>
    <row r="446" spans="11:11" x14ac:dyDescent="0.3">
      <c r="K446" s="21"/>
    </row>
    <row r="447" spans="11:11" x14ac:dyDescent="0.3">
      <c r="K447" s="21"/>
    </row>
    <row r="448" spans="11:11" x14ac:dyDescent="0.3">
      <c r="K448" s="21"/>
    </row>
    <row r="449" spans="11:11" x14ac:dyDescent="0.3">
      <c r="K449" s="21"/>
    </row>
    <row r="450" spans="11:11" x14ac:dyDescent="0.3">
      <c r="K450" s="21"/>
    </row>
    <row r="451" spans="11:11" x14ac:dyDescent="0.3">
      <c r="K451" s="21"/>
    </row>
    <row r="452" spans="11:11" x14ac:dyDescent="0.3">
      <c r="K452" s="21"/>
    </row>
    <row r="453" spans="11:11" x14ac:dyDescent="0.3">
      <c r="K453" s="21"/>
    </row>
    <row r="454" spans="11:11" x14ac:dyDescent="0.3">
      <c r="K454" s="21"/>
    </row>
    <row r="455" spans="11:11" x14ac:dyDescent="0.3">
      <c r="K455" s="21"/>
    </row>
    <row r="456" spans="11:11" x14ac:dyDescent="0.3">
      <c r="K456" s="21"/>
    </row>
    <row r="457" spans="11:11" x14ac:dyDescent="0.3">
      <c r="K457" s="21"/>
    </row>
    <row r="458" spans="11:11" x14ac:dyDescent="0.3">
      <c r="K458" s="21"/>
    </row>
    <row r="459" spans="11:11" x14ac:dyDescent="0.3">
      <c r="K459" s="21"/>
    </row>
    <row r="460" spans="11:11" x14ac:dyDescent="0.3">
      <c r="K460" s="21"/>
    </row>
    <row r="461" spans="11:11" x14ac:dyDescent="0.3">
      <c r="K461" s="21"/>
    </row>
    <row r="462" spans="11:11" x14ac:dyDescent="0.3">
      <c r="K462" s="21"/>
    </row>
    <row r="463" spans="11:11" x14ac:dyDescent="0.3">
      <c r="K463" s="21"/>
    </row>
    <row r="464" spans="11:11" x14ac:dyDescent="0.3">
      <c r="K464" s="21"/>
    </row>
    <row r="465" spans="11:11" x14ac:dyDescent="0.3">
      <c r="K465" s="21"/>
    </row>
    <row r="466" spans="11:11" x14ac:dyDescent="0.3">
      <c r="K466" s="21"/>
    </row>
    <row r="467" spans="11:11" x14ac:dyDescent="0.3">
      <c r="K467" s="21"/>
    </row>
    <row r="468" spans="11:11" x14ac:dyDescent="0.3">
      <c r="K468" s="21"/>
    </row>
    <row r="469" spans="11:11" x14ac:dyDescent="0.3">
      <c r="K469" s="21"/>
    </row>
    <row r="470" spans="11:11" x14ac:dyDescent="0.3">
      <c r="K470" s="21"/>
    </row>
    <row r="471" spans="11:11" x14ac:dyDescent="0.3">
      <c r="K471" s="21"/>
    </row>
    <row r="472" spans="11:11" x14ac:dyDescent="0.3">
      <c r="K472" s="21"/>
    </row>
    <row r="473" spans="11:11" x14ac:dyDescent="0.3">
      <c r="K473" s="21"/>
    </row>
    <row r="474" spans="11:11" x14ac:dyDescent="0.3">
      <c r="K474" s="21"/>
    </row>
    <row r="475" spans="11:11" x14ac:dyDescent="0.3">
      <c r="K475" s="21"/>
    </row>
    <row r="476" spans="11:11" x14ac:dyDescent="0.3">
      <c r="K476" s="21"/>
    </row>
    <row r="477" spans="11:11" x14ac:dyDescent="0.3">
      <c r="K477" s="21"/>
    </row>
    <row r="478" spans="11:11" x14ac:dyDescent="0.3">
      <c r="K478" s="21"/>
    </row>
    <row r="479" spans="11:11" x14ac:dyDescent="0.3">
      <c r="K479" s="21"/>
    </row>
    <row r="480" spans="11:11" x14ac:dyDescent="0.3">
      <c r="K480" s="21"/>
    </row>
    <row r="481" spans="11:11" x14ac:dyDescent="0.3">
      <c r="K481" s="21"/>
    </row>
    <row r="482" spans="11:11" x14ac:dyDescent="0.3">
      <c r="K482" s="21"/>
    </row>
    <row r="483" spans="11:11" x14ac:dyDescent="0.3">
      <c r="K483" s="21"/>
    </row>
    <row r="484" spans="11:11" x14ac:dyDescent="0.3">
      <c r="K484" s="21"/>
    </row>
    <row r="485" spans="11:11" x14ac:dyDescent="0.3">
      <c r="K485" s="21"/>
    </row>
    <row r="486" spans="11:11" x14ac:dyDescent="0.3">
      <c r="K486" s="21"/>
    </row>
    <row r="487" spans="11:11" x14ac:dyDescent="0.3">
      <c r="K487" s="21"/>
    </row>
    <row r="488" spans="11:11" x14ac:dyDescent="0.3">
      <c r="K488" s="21"/>
    </row>
    <row r="489" spans="11:11" x14ac:dyDescent="0.3">
      <c r="K489" s="21"/>
    </row>
    <row r="490" spans="11:11" x14ac:dyDescent="0.3">
      <c r="K490" s="21"/>
    </row>
    <row r="491" spans="11:11" x14ac:dyDescent="0.3">
      <c r="K491" s="21"/>
    </row>
    <row r="492" spans="11:11" x14ac:dyDescent="0.3">
      <c r="K492" s="21"/>
    </row>
    <row r="493" spans="11:11" x14ac:dyDescent="0.3">
      <c r="K493" s="21"/>
    </row>
    <row r="494" spans="11:11" x14ac:dyDescent="0.3">
      <c r="K494" s="21"/>
    </row>
    <row r="495" spans="11:11" x14ac:dyDescent="0.3">
      <c r="K495" s="21"/>
    </row>
    <row r="496" spans="11:11" x14ac:dyDescent="0.3">
      <c r="K496" s="21"/>
    </row>
    <row r="497" spans="11:11" x14ac:dyDescent="0.3">
      <c r="K497" s="21"/>
    </row>
    <row r="498" spans="11:11" x14ac:dyDescent="0.3">
      <c r="K498" s="21"/>
    </row>
    <row r="499" spans="11:11" x14ac:dyDescent="0.3">
      <c r="K499" s="21"/>
    </row>
    <row r="500" spans="11:11" x14ac:dyDescent="0.3">
      <c r="K500" s="21"/>
    </row>
    <row r="501" spans="11:11" x14ac:dyDescent="0.3">
      <c r="K501" s="21"/>
    </row>
    <row r="502" spans="11:11" x14ac:dyDescent="0.3">
      <c r="K502" s="21"/>
    </row>
    <row r="503" spans="11:11" x14ac:dyDescent="0.3">
      <c r="K503" s="21"/>
    </row>
    <row r="504" spans="11:11" x14ac:dyDescent="0.3">
      <c r="K504" s="21"/>
    </row>
    <row r="505" spans="11:11" x14ac:dyDescent="0.3">
      <c r="K505" s="21"/>
    </row>
    <row r="506" spans="11:11" x14ac:dyDescent="0.3">
      <c r="K506" s="21"/>
    </row>
    <row r="507" spans="11:11" x14ac:dyDescent="0.3">
      <c r="K507" s="21"/>
    </row>
    <row r="508" spans="11:11" x14ac:dyDescent="0.3">
      <c r="K508" s="21"/>
    </row>
    <row r="509" spans="11:11" x14ac:dyDescent="0.3">
      <c r="K509" s="21"/>
    </row>
    <row r="510" spans="11:11" x14ac:dyDescent="0.3">
      <c r="K510" s="21"/>
    </row>
    <row r="511" spans="11:11" x14ac:dyDescent="0.3">
      <c r="K511" s="21"/>
    </row>
    <row r="512" spans="11:11" x14ac:dyDescent="0.3">
      <c r="K512" s="21"/>
    </row>
    <row r="513" spans="11:11" x14ac:dyDescent="0.3">
      <c r="K513" s="21"/>
    </row>
    <row r="514" spans="11:11" x14ac:dyDescent="0.3">
      <c r="K514" s="21"/>
    </row>
    <row r="515" spans="11:11" x14ac:dyDescent="0.3">
      <c r="K515" s="21"/>
    </row>
    <row r="516" spans="11:11" x14ac:dyDescent="0.3">
      <c r="K516" s="21"/>
    </row>
    <row r="517" spans="11:11" x14ac:dyDescent="0.3">
      <c r="K517" s="21"/>
    </row>
    <row r="518" spans="11:11" x14ac:dyDescent="0.3">
      <c r="K518" s="21"/>
    </row>
    <row r="519" spans="11:11" x14ac:dyDescent="0.3">
      <c r="K519" s="21"/>
    </row>
    <row r="520" spans="11:11" x14ac:dyDescent="0.3">
      <c r="K520" s="21"/>
    </row>
    <row r="521" spans="11:11" x14ac:dyDescent="0.3">
      <c r="K521" s="21"/>
    </row>
    <row r="522" spans="11:11" x14ac:dyDescent="0.3">
      <c r="K522" s="21"/>
    </row>
    <row r="523" spans="11:11" x14ac:dyDescent="0.3">
      <c r="K523" s="21"/>
    </row>
    <row r="524" spans="11:11" x14ac:dyDescent="0.3">
      <c r="K524" s="21"/>
    </row>
    <row r="525" spans="11:11" x14ac:dyDescent="0.3">
      <c r="K525" s="21"/>
    </row>
    <row r="526" spans="11:11" x14ac:dyDescent="0.3">
      <c r="K526" s="21"/>
    </row>
    <row r="527" spans="11:11" x14ac:dyDescent="0.3">
      <c r="K527" s="21"/>
    </row>
    <row r="528" spans="11:11" x14ac:dyDescent="0.3">
      <c r="K528" s="21"/>
    </row>
    <row r="529" spans="11:11" x14ac:dyDescent="0.3">
      <c r="K529" s="21"/>
    </row>
    <row r="530" spans="11:11" x14ac:dyDescent="0.3">
      <c r="K530" s="21"/>
    </row>
    <row r="531" spans="11:11" x14ac:dyDescent="0.3">
      <c r="K531" s="21"/>
    </row>
    <row r="532" spans="11:11" x14ac:dyDescent="0.3">
      <c r="K532" s="21"/>
    </row>
    <row r="533" spans="11:11" x14ac:dyDescent="0.3">
      <c r="K533" s="21"/>
    </row>
    <row r="534" spans="11:11" x14ac:dyDescent="0.3">
      <c r="K534" s="21"/>
    </row>
    <row r="535" spans="11:11" x14ac:dyDescent="0.3">
      <c r="K535" s="21"/>
    </row>
    <row r="536" spans="11:11" x14ac:dyDescent="0.3">
      <c r="K536" s="21"/>
    </row>
    <row r="537" spans="11:11" x14ac:dyDescent="0.3">
      <c r="K537" s="21"/>
    </row>
    <row r="538" spans="11:11" x14ac:dyDescent="0.3">
      <c r="K538" s="21"/>
    </row>
    <row r="539" spans="11:11" x14ac:dyDescent="0.3">
      <c r="K539" s="21"/>
    </row>
    <row r="540" spans="11:11" x14ac:dyDescent="0.3">
      <c r="K540" s="21"/>
    </row>
    <row r="541" spans="11:11" x14ac:dyDescent="0.3">
      <c r="K541" s="21"/>
    </row>
    <row r="542" spans="11:11" x14ac:dyDescent="0.3">
      <c r="K542" s="21"/>
    </row>
    <row r="543" spans="11:11" x14ac:dyDescent="0.3">
      <c r="K543" s="21"/>
    </row>
    <row r="544" spans="11:11" x14ac:dyDescent="0.3">
      <c r="K544" s="21"/>
    </row>
    <row r="545" spans="11:11" x14ac:dyDescent="0.3">
      <c r="K545" s="21"/>
    </row>
    <row r="546" spans="11:11" x14ac:dyDescent="0.3">
      <c r="K546" s="21"/>
    </row>
    <row r="547" spans="11:11" x14ac:dyDescent="0.3">
      <c r="K547" s="21"/>
    </row>
    <row r="548" spans="11:11" x14ac:dyDescent="0.3">
      <c r="K548" s="21"/>
    </row>
    <row r="549" spans="11:11" x14ac:dyDescent="0.3">
      <c r="K549" s="21"/>
    </row>
    <row r="550" spans="11:11" x14ac:dyDescent="0.3">
      <c r="K550" s="21"/>
    </row>
    <row r="551" spans="11:11" x14ac:dyDescent="0.3">
      <c r="K551" s="21"/>
    </row>
    <row r="552" spans="11:11" x14ac:dyDescent="0.3">
      <c r="K552" s="21"/>
    </row>
    <row r="553" spans="11:11" x14ac:dyDescent="0.3">
      <c r="K553" s="21"/>
    </row>
    <row r="554" spans="11:11" x14ac:dyDescent="0.3">
      <c r="K554" s="21"/>
    </row>
    <row r="555" spans="11:11" x14ac:dyDescent="0.3">
      <c r="K555" s="21"/>
    </row>
    <row r="556" spans="11:11" x14ac:dyDescent="0.3">
      <c r="K556" s="21"/>
    </row>
    <row r="557" spans="11:11" x14ac:dyDescent="0.3">
      <c r="K557" s="21"/>
    </row>
    <row r="558" spans="11:11" x14ac:dyDescent="0.3">
      <c r="K558" s="21"/>
    </row>
    <row r="559" spans="11:11" x14ac:dyDescent="0.3">
      <c r="K559" s="21"/>
    </row>
    <row r="560" spans="11:11" x14ac:dyDescent="0.3">
      <c r="K560" s="21"/>
    </row>
    <row r="561" spans="11:11" x14ac:dyDescent="0.3">
      <c r="K561" s="21"/>
    </row>
    <row r="562" spans="11:11" x14ac:dyDescent="0.3">
      <c r="K562" s="21"/>
    </row>
    <row r="563" spans="11:11" x14ac:dyDescent="0.3">
      <c r="K563" s="21"/>
    </row>
    <row r="564" spans="11:11" x14ac:dyDescent="0.3">
      <c r="K564" s="21"/>
    </row>
    <row r="565" spans="11:11" x14ac:dyDescent="0.3">
      <c r="K565" s="21"/>
    </row>
    <row r="566" spans="11:11" x14ac:dyDescent="0.3">
      <c r="K566" s="21"/>
    </row>
    <row r="567" spans="11:11" x14ac:dyDescent="0.3">
      <c r="K567" s="21"/>
    </row>
    <row r="568" spans="11:11" x14ac:dyDescent="0.3">
      <c r="K568" s="21"/>
    </row>
    <row r="569" spans="11:11" x14ac:dyDescent="0.3">
      <c r="K569" s="21"/>
    </row>
    <row r="570" spans="11:11" x14ac:dyDescent="0.3">
      <c r="K570" s="21"/>
    </row>
    <row r="571" spans="11:11" x14ac:dyDescent="0.3">
      <c r="K571" s="21"/>
    </row>
    <row r="572" spans="11:11" x14ac:dyDescent="0.3">
      <c r="K572" s="21"/>
    </row>
    <row r="573" spans="11:11" x14ac:dyDescent="0.3">
      <c r="K573" s="21"/>
    </row>
    <row r="574" spans="11:11" x14ac:dyDescent="0.3">
      <c r="K574" s="21"/>
    </row>
    <row r="575" spans="11:11" x14ac:dyDescent="0.3">
      <c r="K575" s="21"/>
    </row>
    <row r="576" spans="11:11" x14ac:dyDescent="0.3">
      <c r="K576" s="21"/>
    </row>
    <row r="577" spans="11:11" x14ac:dyDescent="0.3">
      <c r="K577" s="21"/>
    </row>
    <row r="578" spans="11:11" x14ac:dyDescent="0.3">
      <c r="K578" s="21"/>
    </row>
    <row r="579" spans="11:11" x14ac:dyDescent="0.3">
      <c r="K579" s="21"/>
    </row>
    <row r="580" spans="11:11" x14ac:dyDescent="0.3">
      <c r="K580" s="21"/>
    </row>
    <row r="581" spans="11:11" x14ac:dyDescent="0.3">
      <c r="K581" s="21"/>
    </row>
    <row r="582" spans="11:11" x14ac:dyDescent="0.3">
      <c r="K582" s="21"/>
    </row>
    <row r="583" spans="11:11" x14ac:dyDescent="0.3">
      <c r="K583" s="21"/>
    </row>
    <row r="584" spans="11:11" x14ac:dyDescent="0.3">
      <c r="K584" s="21"/>
    </row>
    <row r="585" spans="11:11" x14ac:dyDescent="0.3">
      <c r="K585" s="21"/>
    </row>
    <row r="586" spans="11:11" x14ac:dyDescent="0.3">
      <c r="K586" s="21"/>
    </row>
    <row r="587" spans="11:11" x14ac:dyDescent="0.3">
      <c r="K587" s="21"/>
    </row>
    <row r="588" spans="11:11" x14ac:dyDescent="0.3">
      <c r="K588" s="21"/>
    </row>
    <row r="589" spans="11:11" x14ac:dyDescent="0.3">
      <c r="K589" s="21"/>
    </row>
    <row r="590" spans="11:11" x14ac:dyDescent="0.3">
      <c r="K590" s="21"/>
    </row>
    <row r="591" spans="11:11" x14ac:dyDescent="0.3">
      <c r="K591" s="21"/>
    </row>
    <row r="592" spans="11:11" x14ac:dyDescent="0.3">
      <c r="K592" s="21"/>
    </row>
    <row r="593" spans="11:11" x14ac:dyDescent="0.3">
      <c r="K593" s="21"/>
    </row>
    <row r="594" spans="11:11" x14ac:dyDescent="0.3">
      <c r="K594" s="21"/>
    </row>
    <row r="595" spans="11:11" x14ac:dyDescent="0.3">
      <c r="K595" s="21"/>
    </row>
    <row r="596" spans="11:11" x14ac:dyDescent="0.3">
      <c r="K596" s="21"/>
    </row>
    <row r="597" spans="11:11" x14ac:dyDescent="0.3">
      <c r="K597" s="21"/>
    </row>
    <row r="598" spans="11:11" x14ac:dyDescent="0.3">
      <c r="K598" s="21"/>
    </row>
    <row r="599" spans="11:11" x14ac:dyDescent="0.3">
      <c r="K599" s="21"/>
    </row>
    <row r="600" spans="11:11" x14ac:dyDescent="0.3">
      <c r="K600" s="21"/>
    </row>
    <row r="601" spans="11:11" x14ac:dyDescent="0.3">
      <c r="K601" s="21"/>
    </row>
    <row r="602" spans="11:11" x14ac:dyDescent="0.3">
      <c r="K602" s="21"/>
    </row>
    <row r="603" spans="11:11" x14ac:dyDescent="0.3">
      <c r="K603" s="21"/>
    </row>
    <row r="604" spans="11:11" x14ac:dyDescent="0.3">
      <c r="K604" s="21"/>
    </row>
    <row r="605" spans="11:11" x14ac:dyDescent="0.3">
      <c r="K605" s="21"/>
    </row>
    <row r="606" spans="11:11" x14ac:dyDescent="0.3">
      <c r="K606" s="2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Allowance</vt:lpstr>
      <vt:lpstr>Hour rate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Prosenjit Bappi</dc:creator>
  <cp:lastModifiedBy>tahid kazi</cp:lastModifiedBy>
  <dcterms:created xsi:type="dcterms:W3CDTF">2025-05-31T14:52:36Z</dcterms:created>
  <dcterms:modified xsi:type="dcterms:W3CDTF">2026-09-20T18:20:40Z</dcterms:modified>
</cp:coreProperties>
</file>