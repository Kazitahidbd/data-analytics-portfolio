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431088F556E2B2F/Documents/Excel project 1/"/>
    </mc:Choice>
  </mc:AlternateContent>
  <xr:revisionPtr revIDLastSave="234" documentId="8_{7DEE9B71-2E8D-44CF-B2D2-BBBA8F787157}" xr6:coauthVersionLast="47" xr6:coauthVersionMax="47" xr10:uidLastSave="{4C181470-1F05-4840-97D1-DAEE4A054571}"/>
  <bookViews>
    <workbookView xWindow="-108" yWindow="-108" windowWidth="23256" windowHeight="12456" xr2:uid="{449CB4B0-81BB-477C-8BA5-84EF758DA266}"/>
  </bookViews>
  <sheets>
    <sheet name="warehouse stock" sheetId="1" r:id="rId1"/>
    <sheet name="Stock by Warehous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2" l="1" a="1"/>
  <c r="H22" i="2" s="1"/>
  <c r="N2" i="1" a="1"/>
  <c r="N2" i="1" s="1"/>
  <c r="D18" i="2" a="1"/>
  <c r="F22" i="2" s="1" a="1"/>
  <c r="F22" i="2" s="1"/>
  <c r="D5" i="2" a="1"/>
  <c r="D5" i="2" s="1"/>
  <c r="G5" i="2" s="1"/>
  <c r="P4" i="1" a="1"/>
  <c r="S12" i="1" s="1" a="1"/>
  <c r="S12" i="1" s="1"/>
  <c r="D18" i="2" l="1"/>
  <c r="G18" i="2" s="1"/>
  <c r="H20" i="2" a="1"/>
  <c r="H20" i="2" s="1"/>
  <c r="H21" i="2" a="1"/>
  <c r="H21" i="2" s="1"/>
  <c r="H19" i="2" a="1"/>
  <c r="H19" i="2" s="1"/>
  <c r="G22" i="2"/>
  <c r="G21" i="2"/>
  <c r="G20" i="2"/>
  <c r="G19" i="2"/>
  <c r="G8" i="2"/>
  <c r="S13" i="1" a="1"/>
  <c r="S13" i="1" s="1"/>
  <c r="G6" i="2"/>
  <c r="S16" i="1" a="1"/>
  <c r="S16" i="1" s="1"/>
  <c r="R19" i="1" a="1"/>
  <c r="R19" i="1" s="1"/>
  <c r="F5" i="2"/>
  <c r="H5" i="2" s="1"/>
  <c r="G9" i="2"/>
  <c r="R13" i="1" a="1"/>
  <c r="R13" i="1" s="1"/>
  <c r="G7" i="2"/>
  <c r="R15" i="1" a="1"/>
  <c r="R15" i="1" s="1"/>
  <c r="S17" i="1" a="1"/>
  <c r="S17" i="1" s="1"/>
  <c r="S15" i="1" a="1"/>
  <c r="S15" i="1" s="1"/>
  <c r="E20" i="2" a="1"/>
  <c r="E20" i="2" s="1"/>
  <c r="E18" i="2" a="1"/>
  <c r="E18" i="2" s="1"/>
  <c r="S5" i="1" a="1"/>
  <c r="S5" i="1" s="1"/>
  <c r="F9" i="2"/>
  <c r="E22" i="2" a="1"/>
  <c r="E22" i="2" s="1"/>
  <c r="R6" i="1" a="1"/>
  <c r="R6" i="1" s="1"/>
  <c r="F8" i="2"/>
  <c r="F21" i="2" a="1"/>
  <c r="F21" i="2" s="1"/>
  <c r="E21" i="2" a="1"/>
  <c r="E21" i="2" s="1"/>
  <c r="E19" i="2" a="1"/>
  <c r="E19" i="2" s="1"/>
  <c r="R8" i="1" a="1"/>
  <c r="R8" i="1" s="1"/>
  <c r="F7" i="2"/>
  <c r="F20" i="2" a="1"/>
  <c r="F20" i="2" s="1"/>
  <c r="S10" i="1" a="1"/>
  <c r="S10" i="1" s="1"/>
  <c r="F6" i="2"/>
  <c r="F19" i="2" a="1"/>
  <c r="F19" i="2" s="1"/>
  <c r="S8" i="1" a="1"/>
  <c r="S8" i="1" s="1"/>
  <c r="R18" i="1" a="1"/>
  <c r="R18" i="1" s="1"/>
  <c r="P4" i="1"/>
  <c r="R4" i="1" s="1" a="1"/>
  <c r="R4" i="1" s="1"/>
  <c r="R11" i="1" a="1"/>
  <c r="R11" i="1" s="1"/>
  <c r="S6" i="1" a="1"/>
  <c r="S6" i="1" s="1"/>
  <c r="R16" i="1" a="1"/>
  <c r="R16" i="1" s="1"/>
  <c r="S18" i="1" a="1"/>
  <c r="S18" i="1" s="1"/>
  <c r="R9" i="1" a="1"/>
  <c r="R9" i="1" s="1"/>
  <c r="S11" i="1" a="1"/>
  <c r="S11" i="1" s="1"/>
  <c r="S9" i="1" a="1"/>
  <c r="S9" i="1" s="1"/>
  <c r="R12" i="1" a="1"/>
  <c r="R12" i="1" s="1"/>
  <c r="T12" i="1" s="1"/>
  <c r="S14" i="1" a="1"/>
  <c r="S14" i="1" s="1"/>
  <c r="R14" i="1" a="1"/>
  <c r="R14" i="1" s="1"/>
  <c r="R5" i="1" a="1"/>
  <c r="R5" i="1" s="1"/>
  <c r="R17" i="1" a="1"/>
  <c r="R17" i="1" s="1"/>
  <c r="S19" i="1" a="1"/>
  <c r="S19" i="1" s="1"/>
  <c r="R7" i="1" a="1"/>
  <c r="R7" i="1" s="1"/>
  <c r="S7" i="1" a="1"/>
  <c r="S7" i="1" s="1"/>
  <c r="R10" i="1" a="1"/>
  <c r="R10" i="1" s="1"/>
  <c r="T16" i="1" l="1"/>
  <c r="T10" i="1"/>
  <c r="T5" i="1"/>
  <c r="H6" i="2"/>
  <c r="F18" i="2" a="1"/>
  <c r="F18" i="2" s="1"/>
  <c r="H18" i="2" a="1"/>
  <c r="H18" i="2" s="1"/>
  <c r="H8" i="2"/>
  <c r="T13" i="1"/>
  <c r="H7" i="2"/>
  <c r="T15" i="1"/>
  <c r="T6" i="1"/>
  <c r="H9" i="2"/>
  <c r="T19" i="1"/>
  <c r="T17" i="1"/>
  <c r="T8" i="1"/>
  <c r="T9" i="1"/>
  <c r="T14" i="1"/>
  <c r="T11" i="1"/>
  <c r="S4" i="1" a="1"/>
  <c r="S4" i="1" s="1"/>
  <c r="T18" i="1"/>
  <c r="T7" i="1"/>
  <c r="T4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<sst xmlns="http://schemas.openxmlformats.org/spreadsheetml/2006/main" count="1290" uniqueCount="155">
  <si>
    <t>Specification 1</t>
  </si>
  <si>
    <t>Specification 2</t>
  </si>
  <si>
    <t>Specification 3</t>
  </si>
  <si>
    <t>Site</t>
  </si>
  <si>
    <t>Warehouse</t>
  </si>
  <si>
    <t>Physical date</t>
  </si>
  <si>
    <t>Financial date</t>
  </si>
  <si>
    <t>Reference</t>
  </si>
  <si>
    <t>Number</t>
  </si>
  <si>
    <t>Receipt</t>
  </si>
  <si>
    <t>Issue</t>
  </si>
  <si>
    <t>Quantity</t>
  </si>
  <si>
    <t>2 oz/SQM</t>
  </si>
  <si>
    <t>85"</t>
  </si>
  <si>
    <t>AR</t>
  </si>
  <si>
    <t>BB</t>
  </si>
  <si>
    <t>03-BB-WH03</t>
  </si>
  <si>
    <t>Sales order</t>
  </si>
  <si>
    <t>03-BB-WH02</t>
  </si>
  <si>
    <t>Transaction</t>
  </si>
  <si>
    <t>Purchased</t>
  </si>
  <si>
    <t>Sold</t>
  </si>
  <si>
    <t>03-BB-WH07</t>
  </si>
  <si>
    <t>03-BB-WH06</t>
  </si>
  <si>
    <t>03-BB-WH08</t>
  </si>
  <si>
    <t>SO25_000003</t>
  </si>
  <si>
    <t>IJ_030015</t>
  </si>
  <si>
    <t>SO25_000001</t>
  </si>
  <si>
    <t>SO25_000008</t>
  </si>
  <si>
    <t>IJ_030019</t>
  </si>
  <si>
    <t>SO25_000012</t>
  </si>
  <si>
    <t>IJ_030026</t>
  </si>
  <si>
    <t>SO25_000013</t>
  </si>
  <si>
    <t>IJ_030046</t>
  </si>
  <si>
    <t>IJ_030052</t>
  </si>
  <si>
    <t>SO25_000031</t>
  </si>
  <si>
    <t>SO25_000033</t>
  </si>
  <si>
    <t>IJ_030084</t>
  </si>
  <si>
    <t>SO25_000035</t>
  </si>
  <si>
    <t>SO25_000049</t>
  </si>
  <si>
    <t>IJ_030106</t>
  </si>
  <si>
    <t>IJ_030110</t>
  </si>
  <si>
    <t>SO25_000046</t>
  </si>
  <si>
    <t>IJ_030114</t>
  </si>
  <si>
    <t>SO25_000047</t>
  </si>
  <si>
    <t>IJ_030119</t>
  </si>
  <si>
    <t>IJ_030123</t>
  </si>
  <si>
    <t>SO25_000050</t>
  </si>
  <si>
    <t>SO25_000053</t>
  </si>
  <si>
    <t>IJ_030124</t>
  </si>
  <si>
    <t>IJ_030129</t>
  </si>
  <si>
    <t>SO25_000060</t>
  </si>
  <si>
    <t>IJ_030133</t>
  </si>
  <si>
    <t>SO25_000062</t>
  </si>
  <si>
    <t>IJ_030136</t>
  </si>
  <si>
    <t>IJ_030142</t>
  </si>
  <si>
    <t>SO25_000068</t>
  </si>
  <si>
    <t>SO25_000076</t>
  </si>
  <si>
    <t>SO25_000070</t>
  </si>
  <si>
    <t>IJ_030144</t>
  </si>
  <si>
    <t>SO25_000077</t>
  </si>
  <si>
    <t>SO25_000078</t>
  </si>
  <si>
    <t>IJ_030069</t>
  </si>
  <si>
    <t>IJ_030168</t>
  </si>
  <si>
    <t>SO25_000088</t>
  </si>
  <si>
    <t>IJ_030179</t>
  </si>
  <si>
    <t>IJ_030174</t>
  </si>
  <si>
    <t>IJ_030180</t>
  </si>
  <si>
    <t>IJ_030181</t>
  </si>
  <si>
    <t>SO25_000094</t>
  </si>
  <si>
    <t>SO25_000096</t>
  </si>
  <si>
    <t>IJ_030189</t>
  </si>
  <si>
    <t>IJ_030195</t>
  </si>
  <si>
    <t>SO25_000102</t>
  </si>
  <si>
    <t>IJ_030200</t>
  </si>
  <si>
    <t>IJ_030209</t>
  </si>
  <si>
    <t>IJ_030212</t>
  </si>
  <si>
    <t>IJ_030220</t>
  </si>
  <si>
    <t>IJ_030244</t>
  </si>
  <si>
    <t>IJ_030255</t>
  </si>
  <si>
    <t>SO25_000131</t>
  </si>
  <si>
    <t>IJ_030261</t>
  </si>
  <si>
    <t>IJ_030265</t>
  </si>
  <si>
    <t>SO25_000133</t>
  </si>
  <si>
    <t>SO25_000152</t>
  </si>
  <si>
    <t>SO25_000134</t>
  </si>
  <si>
    <t>IJ_030273</t>
  </si>
  <si>
    <t>IJ_030276</t>
  </si>
  <si>
    <t>IJ_030286</t>
  </si>
  <si>
    <t>IJ_030290</t>
  </si>
  <si>
    <t>IJ_030293</t>
  </si>
  <si>
    <t>IJ_030299</t>
  </si>
  <si>
    <t>SO25_000158</t>
  </si>
  <si>
    <t>IJ_030302</t>
  </si>
  <si>
    <t>IJ_030304</t>
  </si>
  <si>
    <t>SO25_000163</t>
  </si>
  <si>
    <t>IJ_030315</t>
  </si>
  <si>
    <t>IJ_030320</t>
  </si>
  <si>
    <t>SO25_000165</t>
  </si>
  <si>
    <t>SO25_000170</t>
  </si>
  <si>
    <t>IJ_030324</t>
  </si>
  <si>
    <t>IJ_030325</t>
  </si>
  <si>
    <t>SO25_000172</t>
  </si>
  <si>
    <t>IJ_030342</t>
  </si>
  <si>
    <t>SO25_000179</t>
  </si>
  <si>
    <t>SO25_000177</t>
  </si>
  <si>
    <t>IJ_030351</t>
  </si>
  <si>
    <t>SO25_000184</t>
  </si>
  <si>
    <t>SO25_000185</t>
  </si>
  <si>
    <t>IJ_030374</t>
  </si>
  <si>
    <t>SO25_000188</t>
  </si>
  <si>
    <t>SO25_000190</t>
  </si>
  <si>
    <t>IJ_030383</t>
  </si>
  <si>
    <t>IJ_030398</t>
  </si>
  <si>
    <t>SO25_000192</t>
  </si>
  <si>
    <t>IJ_030405</t>
  </si>
  <si>
    <t>SO25_000199</t>
  </si>
  <si>
    <t>SO25_000204</t>
  </si>
  <si>
    <t>SO25_000209</t>
  </si>
  <si>
    <t>SO25_000210</t>
  </si>
  <si>
    <t>SO25_000216</t>
  </si>
  <si>
    <t>IJ_030430</t>
  </si>
  <si>
    <t>IJ_030454</t>
  </si>
  <si>
    <t>SO25_000228</t>
  </si>
  <si>
    <t>IJ_030487</t>
  </si>
  <si>
    <t>IJ_030500</t>
  </si>
  <si>
    <t>SO25_000242</t>
  </si>
  <si>
    <t>IJ_030528</t>
  </si>
  <si>
    <t>IJ_030556</t>
  </si>
  <si>
    <t>IJ_030560</t>
  </si>
  <si>
    <t>SO25_000265</t>
  </si>
  <si>
    <t>SO25_000269</t>
  </si>
  <si>
    <t>SO25_000280</t>
  </si>
  <si>
    <t>IJ_030575</t>
  </si>
  <si>
    <t>IJ_030578</t>
  </si>
  <si>
    <t>SO25_000298</t>
  </si>
  <si>
    <t>IJ_030608</t>
  </si>
  <si>
    <t>SO25_000322</t>
  </si>
  <si>
    <t>Total</t>
  </si>
  <si>
    <t>opening warehouse stock 100000 unit</t>
  </si>
  <si>
    <t>Month</t>
  </si>
  <si>
    <t>Warhouse</t>
  </si>
  <si>
    <t>Present Stock</t>
  </si>
  <si>
    <t>Initial Stock</t>
  </si>
  <si>
    <t>Total Purchases</t>
  </si>
  <si>
    <t>Total Sales</t>
  </si>
  <si>
    <t>Current Stock</t>
  </si>
  <si>
    <t>Current Stock Level per Warehouse</t>
  </si>
  <si>
    <t>Purchases</t>
  </si>
  <si>
    <t>Sales</t>
  </si>
  <si>
    <t>Transactions</t>
  </si>
  <si>
    <t>Stock at Month End</t>
  </si>
  <si>
    <t>Monthly Warehouse Stock</t>
  </si>
  <si>
    <t>Jan</t>
  </si>
  <si>
    <t xml:space="preserve"> Financial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</si>
</sst>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/mm/yyyy"/>
    <numFmt numFmtId="165" formatCode="0.00_);\(0.00\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mbria"/>
      <family val="1"/>
    </font>
    <font>
      <b/>
      <sz val="11"/>
      <color theme="3"/>
      <name val="Calibri"/>
      <family val="2"/>
      <scheme val="minor"/>
    </font>
    <font>
      <b/>
      <sz val="12"/>
      <color theme="0"/>
      <name val="Amasis MT Pro Light"/>
      <family val="1"/>
    </font>
    <font>
      <b/>
      <sz val="14"/>
      <color theme="0"/>
      <name val="Amasis MT Pro Light"/>
      <family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D9E1F2"/>
      </bottom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0" fontId="3" fillId="0" borderId="3" applyNumberFormat="0" applyFill="0" applyAlignment="0" applyProtection="0"/>
  </cellStyleXfs>
  <cellXfs count="20">
    <xf numFmtId="0" fontId="0" fillId="0" borderId="0" xfId="0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14" fontId="0" fillId="0" borderId="0" xfId="0" applyNumberFormat="1" applyAlignment="1">
      <alignment horizontal="left"/>
    </xf>
    <xf numFmtId="0" fontId="1" fillId="0" borderId="0" xfId="0" applyFont="1"/>
    <xf numFmtId="164" fontId="0" fillId="0" borderId="0" xfId="0" applyNumberFormat="1" applyAlignment="1">
      <alignment horizontal="left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4" fillId="3" borderId="0" xfId="0" applyFont="1" applyFill="1"/>
    <xf numFmtId="0" fontId="4" fillId="4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1" fillId="7" borderId="1" xfId="0" applyFont="1" applyFill="1" applyBorder="1" applyAlignment="1">
      <alignment horizontal="center" vertical="center"/>
    </xf>
    <xf numFmtId="0" fontId="3" fillId="0" borderId="3" xfId="1"/>
    <xf numFmtId="0" fontId="5" fillId="5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</cellXfs>
  <cellStyles count="2">
    <cellStyle name="Heading 3" xfId="1" builtinId="18"/>
    <cellStyle name="Normal" xfId="0" builtinId="0"/>
  </cellStyles>
  <dxfs count="14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dd/mm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dd/mm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69A7EBC0-6F83-4774-81DE-B6016FE3404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311647</xdr:colOff>
      <xdr:row>0</xdr:row>
      <xdr:rowOff>0</xdr:rowOff>
    </xdr:from>
    <xdr:to>
      <xdr:col>30</xdr:col>
      <xdr:colOff>240517</xdr:colOff>
      <xdr:row>25</xdr:row>
      <xdr:rowOff>138322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0291F3-8A76-EEA0-480B-40A14F875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13647" y="0"/>
          <a:ext cx="5668718" cy="490844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B39F20-5D84-4D48-818C-5140B7EAE208}" name="MyGrid" displayName="MyGrid" ref="A1:L158" totalsRowShown="0" headerRowDxfId="13" dataDxfId="12">
  <autoFilter ref="A1:L158" xr:uid="{75B39F20-5D84-4D48-818C-5140B7EAE208}"/>
  <tableColumns count="12">
    <tableColumn id="1" xr3:uid="{4845DBA4-AC8D-429A-9E3D-CDDCFF03E18C}" name="Specification 1" dataDxfId="11"/>
    <tableColumn id="2" xr3:uid="{86EFBE1C-B6D1-479A-B917-9F2FF772F782}" name="Specification 2" dataDxfId="10"/>
    <tableColumn id="3" xr3:uid="{FBB1DF24-DCE0-4B18-B1F3-CDF95A7828C8}" name="Specification 3" dataDxfId="9"/>
    <tableColumn id="4" xr3:uid="{ED6D159B-BE3D-420B-A85A-7B3F8B387E76}" name="Site" dataDxfId="8"/>
    <tableColumn id="5" xr3:uid="{D983D1C4-6ED5-436A-9D43-C216DB87D262}" name="Warehouse" dataDxfId="7"/>
    <tableColumn id="6" xr3:uid="{D413F481-B911-454A-B243-56CEA9FB7D58}" name="Physical date" dataDxfId="6"/>
    <tableColumn id="7" xr3:uid="{094E2D96-33A1-417A-B46D-7EF9ED0CF4D2}" name="Financial date" dataDxfId="5"/>
    <tableColumn id="8" xr3:uid="{C2B47DC2-E0D9-47E0-AECE-27EF3E249A55}" name="Reference" dataDxfId="4"/>
    <tableColumn id="9" xr3:uid="{6F7457ED-55D5-4E8F-A952-3B44134E4B15}" name="Number" dataDxfId="3"/>
    <tableColumn id="10" xr3:uid="{9201FF8F-9CB4-4A9F-9EDC-04766251C5DD}" name="Receipt" dataDxfId="2"/>
    <tableColumn id="11" xr3:uid="{72163304-8AAC-4893-80DC-F60132CD7248}" name="Issue" dataDxfId="1"/>
    <tableColumn id="12" xr3:uid="{20EEC30D-4DC9-417F-908E-3FD43657CA51}" name="Quantity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796B8-6CA7-4312-A7D1-B915E126D248}">
  <dimension ref="A1:U159"/>
  <sheetViews>
    <sheetView tabSelected="1" zoomScaleNormal="100" workbookViewId="0">
      <selection activeCell="O15" sqref="O15"/>
    </sheetView>
  </sheetViews>
  <sheetFormatPr defaultColWidth="9.109375" defaultRowHeight="14.4" x14ac:dyDescent="0.3"/>
  <cols>
    <col min="1" max="3" width="15.5546875" style="1" bestFit="1" customWidth="1"/>
    <col min="4" max="4" width="6.5546875" style="1" customWidth="1"/>
    <col min="5" max="5" width="13.109375" style="1" bestFit="1" customWidth="1"/>
    <col min="6" max="6" width="14.33203125" style="2" bestFit="1" customWidth="1"/>
    <col min="7" max="7" width="15.109375" style="2" bestFit="1" customWidth="1"/>
    <col min="8" max="8" width="12" style="1" bestFit="1" customWidth="1"/>
    <col min="9" max="9" width="21.109375" style="1" customWidth="1"/>
    <col min="10" max="10" width="9.5546875" style="1" bestFit="1" customWidth="1"/>
    <col min="11" max="11" width="7.5546875" style="1" bestFit="1" customWidth="1"/>
    <col min="12" max="12" width="10.109375" style="3" bestFit="1" customWidth="1"/>
    <col min="14" max="14" width="15.21875" customWidth="1"/>
    <col min="16" max="16" width="9.5546875" bestFit="1" customWidth="1"/>
    <col min="17" max="17" width="11.44140625" bestFit="1" customWidth="1"/>
    <col min="18" max="18" width="9.5546875" bestFit="1" customWidth="1"/>
    <col min="19" max="19" width="9.6640625" bestFit="1" customWidth="1"/>
    <col min="20" max="20" width="12.44140625" bestFit="1" customWidth="1"/>
    <col min="21" max="22" width="12.5546875" customWidth="1"/>
  </cols>
  <sheetData>
    <row r="1" spans="1:21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N1" s="17" t="s">
        <v>154</v>
      </c>
    </row>
    <row r="2" spans="1:21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4">
        <v>45657</v>
      </c>
      <c r="G2" s="4">
        <v>45657</v>
      </c>
      <c r="H2" s="1" t="s">
        <v>17</v>
      </c>
      <c r="I2" s="1" t="s">
        <v>25</v>
      </c>
      <c r="K2" s="1" t="s">
        <v>21</v>
      </c>
      <c r="L2" s="3">
        <v>-6360</v>
      </c>
      <c r="N2" t="str" cm="1">
        <f t="array" ref="N2:N158">TEXT(MyGrid[Financial date],"mmm")</f>
        <v>Dec</v>
      </c>
      <c r="Q2" s="5" t="s">
        <v>139</v>
      </c>
    </row>
    <row r="3" spans="1:21" x14ac:dyDescent="0.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4">
        <v>45657</v>
      </c>
      <c r="G3" s="4">
        <v>45657</v>
      </c>
      <c r="H3" s="1" t="s">
        <v>19</v>
      </c>
      <c r="I3" s="1" t="s">
        <v>26</v>
      </c>
      <c r="J3" s="1" t="s">
        <v>20</v>
      </c>
      <c r="L3" s="3">
        <v>1760</v>
      </c>
      <c r="N3" t="str">
        <v>Dec</v>
      </c>
      <c r="P3" s="16" t="s">
        <v>140</v>
      </c>
      <c r="Q3" s="16" t="s">
        <v>141</v>
      </c>
      <c r="R3" s="16" t="s">
        <v>20</v>
      </c>
      <c r="S3" s="16" t="s">
        <v>21</v>
      </c>
      <c r="T3" s="16" t="s">
        <v>142</v>
      </c>
      <c r="U3" s="5"/>
    </row>
    <row r="4" spans="1:21" x14ac:dyDescent="0.3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4">
        <v>45657</v>
      </c>
      <c r="G4" s="4">
        <v>45657</v>
      </c>
      <c r="H4" s="1" t="s">
        <v>19</v>
      </c>
      <c r="I4" s="1" t="s">
        <v>26</v>
      </c>
      <c r="J4" s="1" t="s">
        <v>20</v>
      </c>
      <c r="L4" s="3">
        <v>800</v>
      </c>
      <c r="N4" t="str">
        <v>Dec</v>
      </c>
      <c r="P4" s="7" t="str" cm="1">
        <f t="array" ref="P4:Q19">_xlfn.UNIQUE(_xlfn.HSTACK(TEXT(MyGrid[Financial date],"MMM"),MyGrid[Warehouse]))</f>
        <v>Dec</v>
      </c>
      <c r="Q4" s="7" t="str">
        <v>03-BB-WH03</v>
      </c>
      <c r="R4" s="7" cm="1">
        <f t="array" ref="R4">SUMPRODUCT((TEXT(MyGrid[Financial date],"MMM")=$P4)*(MyGrid[Warehouse]=Q4)*(MyGrid[Receipt]="Purchased")*MyGrid[Quantity])</f>
        <v>2560</v>
      </c>
      <c r="S4" s="8" cm="1">
        <f t="array" ref="S4">SUMPRODUCT((TEXT(MyGrid[Financial date],"MMM")=$P4)*(MyGrid[Warehouse]=$Q4)*(MyGrid[Issue]="Sold")*MyGrid[Quantity])</f>
        <v>-6360</v>
      </c>
      <c r="T4" s="8">
        <f t="shared" ref="T4:T19" si="0">100000+(R4+S4)</f>
        <v>96200</v>
      </c>
    </row>
    <row r="5" spans="1:21" x14ac:dyDescent="0.3">
      <c r="A5" s="1" t="s">
        <v>12</v>
      </c>
      <c r="B5" s="1" t="s">
        <v>13</v>
      </c>
      <c r="C5" s="1" t="s">
        <v>14</v>
      </c>
      <c r="D5" s="1" t="s">
        <v>15</v>
      </c>
      <c r="E5" s="1" t="s">
        <v>22</v>
      </c>
      <c r="F5" s="6">
        <v>45657</v>
      </c>
      <c r="G5" s="6">
        <v>45656</v>
      </c>
      <c r="H5" s="1" t="s">
        <v>17</v>
      </c>
      <c r="I5" s="1" t="s">
        <v>27</v>
      </c>
      <c r="K5" s="1" t="s">
        <v>21</v>
      </c>
      <c r="L5" s="3">
        <v>-12000</v>
      </c>
      <c r="N5" t="str">
        <v>Dec</v>
      </c>
      <c r="P5" s="7" t="str">
        <v>Dec</v>
      </c>
      <c r="Q5" s="7" t="str">
        <v>03-BB-WH07</v>
      </c>
      <c r="R5" s="7" cm="1">
        <f t="array" ref="R5">SUMPRODUCT((TEXT(MyGrid[Financial date],"MMM")=$P5)*(MyGrid[Warehouse]=Q5)*(MyGrid[Receipt]="Purchased")*MyGrid[Quantity])</f>
        <v>0</v>
      </c>
      <c r="S5" s="8" cm="1">
        <f t="array" ref="S5">SUMPRODUCT((TEXT(MyGrid[Financial date],"MMM")=$P5)*(MyGrid[Warehouse]=$Q5)*(MyGrid[Issue]="Sold")*MyGrid[Quantity])</f>
        <v>-12000</v>
      </c>
      <c r="T5" s="8">
        <f t="shared" si="0"/>
        <v>88000</v>
      </c>
    </row>
    <row r="6" spans="1:21" x14ac:dyDescent="0.3">
      <c r="A6" s="1" t="s">
        <v>12</v>
      </c>
      <c r="B6" s="1" t="s">
        <v>13</v>
      </c>
      <c r="C6" s="1" t="s">
        <v>14</v>
      </c>
      <c r="D6" s="1" t="s">
        <v>15</v>
      </c>
      <c r="E6" s="1" t="s">
        <v>22</v>
      </c>
      <c r="F6" s="6">
        <v>45658</v>
      </c>
      <c r="G6" s="6">
        <v>45658</v>
      </c>
      <c r="H6" s="1" t="s">
        <v>17</v>
      </c>
      <c r="I6" s="1" t="s">
        <v>28</v>
      </c>
      <c r="K6" s="1" t="s">
        <v>21</v>
      </c>
      <c r="L6" s="3">
        <v>-4000</v>
      </c>
      <c r="N6" t="str">
        <v>Jan</v>
      </c>
      <c r="P6" s="7" t="str">
        <v>Jan</v>
      </c>
      <c r="Q6" s="7" t="str">
        <v>03-BB-WH07</v>
      </c>
      <c r="R6" s="7" cm="1">
        <f t="array" ref="R6">SUMPRODUCT((TEXT(MyGrid[Financial date],"MMM")=$P6)*(MyGrid[Warehouse]=Q6)*(MyGrid[Receipt]="Purchased")*MyGrid[Quantity])</f>
        <v>4000</v>
      </c>
      <c r="S6" s="8" cm="1">
        <f t="array" ref="S6">SUMPRODUCT((TEXT(MyGrid[Financial date],"MMM")=$P6)*(MyGrid[Warehouse]=$Q6)*(MyGrid[Issue]="Sold")*MyGrid[Quantity])</f>
        <v>-74880</v>
      </c>
      <c r="T6" s="8">
        <f t="shared" si="0"/>
        <v>29120</v>
      </c>
    </row>
    <row r="7" spans="1:21" x14ac:dyDescent="0.3">
      <c r="A7" s="1" t="s">
        <v>12</v>
      </c>
      <c r="B7" s="1" t="s">
        <v>13</v>
      </c>
      <c r="C7" s="1" t="s">
        <v>14</v>
      </c>
      <c r="D7" s="1" t="s">
        <v>15</v>
      </c>
      <c r="E7" s="1" t="s">
        <v>22</v>
      </c>
      <c r="F7" s="6">
        <v>45658</v>
      </c>
      <c r="G7" s="6">
        <v>45658</v>
      </c>
      <c r="H7" s="1" t="s">
        <v>17</v>
      </c>
      <c r="I7" s="1" t="s">
        <v>28</v>
      </c>
      <c r="K7" s="1" t="s">
        <v>21</v>
      </c>
      <c r="L7" s="3">
        <v>-4000</v>
      </c>
      <c r="N7" t="str">
        <v>Jan</v>
      </c>
      <c r="P7" s="7" t="str">
        <v>Jan</v>
      </c>
      <c r="Q7" s="7" t="str">
        <v>03-BB-WH03</v>
      </c>
      <c r="R7" s="7" cm="1">
        <f t="array" ref="R7">SUMPRODUCT((TEXT(MyGrid[Financial date],"MMM")=$P7)*(MyGrid[Warehouse]=Q7)*(MyGrid[Receipt]="Purchased")*MyGrid[Quantity])</f>
        <v>88640</v>
      </c>
      <c r="S7" s="8" cm="1">
        <f t="array" ref="S7">SUMPRODUCT((TEXT(MyGrid[Financial date],"MMM")=$P7)*(MyGrid[Warehouse]=$Q7)*(MyGrid[Issue]="Sold")*MyGrid[Quantity])</f>
        <v>-7439</v>
      </c>
      <c r="T7" s="8">
        <f t="shared" si="0"/>
        <v>181201</v>
      </c>
    </row>
    <row r="8" spans="1:21" x14ac:dyDescent="0.3">
      <c r="A8" s="1" t="s">
        <v>12</v>
      </c>
      <c r="B8" s="1" t="s">
        <v>13</v>
      </c>
      <c r="C8" s="1" t="s">
        <v>14</v>
      </c>
      <c r="D8" s="1" t="s">
        <v>15</v>
      </c>
      <c r="E8" s="1" t="s">
        <v>16</v>
      </c>
      <c r="F8" s="6">
        <v>45658</v>
      </c>
      <c r="G8" s="6">
        <v>45658</v>
      </c>
      <c r="H8" s="1" t="s">
        <v>19</v>
      </c>
      <c r="I8" s="1" t="s">
        <v>29</v>
      </c>
      <c r="J8" s="1" t="s">
        <v>20</v>
      </c>
      <c r="L8" s="3">
        <v>7520</v>
      </c>
      <c r="N8" t="str">
        <v>Jan</v>
      </c>
      <c r="P8" s="7" t="str">
        <v>Jan</v>
      </c>
      <c r="Q8" s="7" t="str">
        <v>03-BB-WH02</v>
      </c>
      <c r="R8" s="7" cm="1">
        <f t="array" ref="R8">SUMPRODUCT((TEXT(MyGrid[Financial date],"MMM")=$P8)*(MyGrid[Warehouse]=Q8)*(MyGrid[Receipt]="Purchased")*MyGrid[Quantity])</f>
        <v>0</v>
      </c>
      <c r="S8" s="8" cm="1">
        <f t="array" ref="S8">SUMPRODUCT((TEXT(MyGrid[Financial date],"MMM")=$P8)*(MyGrid[Warehouse]=$Q8)*(MyGrid[Issue]="Sold")*MyGrid[Quantity])</f>
        <v>-4000</v>
      </c>
      <c r="T8" s="8">
        <f t="shared" si="0"/>
        <v>96000</v>
      </c>
    </row>
    <row r="9" spans="1:21" x14ac:dyDescent="0.3">
      <c r="A9" s="1" t="s">
        <v>12</v>
      </c>
      <c r="B9" s="1" t="s">
        <v>13</v>
      </c>
      <c r="C9" s="1" t="s">
        <v>14</v>
      </c>
      <c r="D9" s="1" t="s">
        <v>15</v>
      </c>
      <c r="E9" s="1" t="s">
        <v>18</v>
      </c>
      <c r="F9" s="6">
        <v>45659</v>
      </c>
      <c r="G9" s="6">
        <v>45659</v>
      </c>
      <c r="H9" s="1" t="s">
        <v>17</v>
      </c>
      <c r="I9" s="1" t="s">
        <v>30</v>
      </c>
      <c r="K9" s="1" t="s">
        <v>21</v>
      </c>
      <c r="L9" s="3">
        <v>-4000</v>
      </c>
      <c r="N9" t="str">
        <v>Jan</v>
      </c>
      <c r="P9" s="7" t="str">
        <v>Jan</v>
      </c>
      <c r="Q9" s="7" t="str">
        <v>03-BB-WH06</v>
      </c>
      <c r="R9" s="7" cm="1">
        <f t="array" ref="R9">SUMPRODUCT((TEXT(MyGrid[Financial date],"MMM")=$P9)*(MyGrid[Warehouse]=Q9)*(MyGrid[Receipt]="Purchased")*MyGrid[Quantity])</f>
        <v>0</v>
      </c>
      <c r="S9" s="8" cm="1">
        <f t="array" ref="S9">SUMPRODUCT((TEXT(MyGrid[Financial date],"MMM")=$P9)*(MyGrid[Warehouse]=$Q9)*(MyGrid[Issue]="Sold")*MyGrid[Quantity])</f>
        <v>-4000</v>
      </c>
      <c r="T9" s="8">
        <f t="shared" si="0"/>
        <v>96000</v>
      </c>
    </row>
    <row r="10" spans="1:21" x14ac:dyDescent="0.3">
      <c r="A10" s="1" t="s">
        <v>12</v>
      </c>
      <c r="B10" s="1" t="s">
        <v>13</v>
      </c>
      <c r="C10" s="1" t="s">
        <v>14</v>
      </c>
      <c r="D10" s="1" t="s">
        <v>15</v>
      </c>
      <c r="E10" s="1" t="s">
        <v>16</v>
      </c>
      <c r="F10" s="6">
        <v>45661</v>
      </c>
      <c r="G10" s="6">
        <v>45661</v>
      </c>
      <c r="H10" s="1" t="s">
        <v>19</v>
      </c>
      <c r="I10" s="1" t="s">
        <v>31</v>
      </c>
      <c r="J10" s="1" t="s">
        <v>20</v>
      </c>
      <c r="L10" s="3">
        <v>5040</v>
      </c>
      <c r="N10" t="str">
        <v>Jan</v>
      </c>
      <c r="P10" s="7" t="str">
        <v>Feb</v>
      </c>
      <c r="Q10" s="7" t="str">
        <v>03-BB-WH07</v>
      </c>
      <c r="R10" s="7" cm="1">
        <f t="array" ref="R10">SUMPRODUCT((TEXT(MyGrid[Financial date],"MMM")=$P10)*(MyGrid[Warehouse]=Q10)*(MyGrid[Receipt]="Purchased")*MyGrid[Quantity])</f>
        <v>5080</v>
      </c>
      <c r="S10" s="8" cm="1">
        <f t="array" ref="S10">SUMPRODUCT((TEXT(MyGrid[Financial date],"MMM")=$P10)*(MyGrid[Warehouse]=$Q10)*(MyGrid[Issue]="Sold")*MyGrid[Quantity])</f>
        <v>-52990</v>
      </c>
      <c r="T10" s="8">
        <f t="shared" si="0"/>
        <v>52090</v>
      </c>
    </row>
    <row r="11" spans="1:21" x14ac:dyDescent="0.3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  <c r="F11" s="6">
        <v>45661</v>
      </c>
      <c r="G11" s="6">
        <v>45661</v>
      </c>
      <c r="H11" s="1" t="s">
        <v>19</v>
      </c>
      <c r="I11" s="1" t="s">
        <v>31</v>
      </c>
      <c r="J11" s="1" t="s">
        <v>20</v>
      </c>
      <c r="L11" s="3">
        <v>2960</v>
      </c>
      <c r="N11" t="str">
        <v>Jan</v>
      </c>
      <c r="P11" s="7" t="str">
        <v>Feb</v>
      </c>
      <c r="Q11" s="7" t="str">
        <v>03-BB-WH03</v>
      </c>
      <c r="R11" s="7" cm="1">
        <f t="array" ref="R11">SUMPRODUCT((TEXT(MyGrid[Financial date],"MMM")=$P11)*(MyGrid[Warehouse]=Q11)*(MyGrid[Receipt]="Purchased")*MyGrid[Quantity])</f>
        <v>43100</v>
      </c>
      <c r="S11" s="8" cm="1">
        <f t="array" ref="S11">SUMPRODUCT((TEXT(MyGrid[Financial date],"MMM")=$P11)*(MyGrid[Warehouse]=$Q11)*(MyGrid[Issue]="Sold")*MyGrid[Quantity])</f>
        <v>0</v>
      </c>
      <c r="T11" s="8">
        <f t="shared" si="0"/>
        <v>143100</v>
      </c>
    </row>
    <row r="12" spans="1:21" x14ac:dyDescent="0.3">
      <c r="A12" s="1" t="s">
        <v>12</v>
      </c>
      <c r="B12" s="1" t="s">
        <v>13</v>
      </c>
      <c r="C12" s="1" t="s">
        <v>14</v>
      </c>
      <c r="D12" s="1" t="s">
        <v>15</v>
      </c>
      <c r="E12" s="1" t="s">
        <v>22</v>
      </c>
      <c r="F12" s="6">
        <v>45661</v>
      </c>
      <c r="G12" s="6">
        <v>45661</v>
      </c>
      <c r="H12" s="1" t="s">
        <v>17</v>
      </c>
      <c r="I12" s="1" t="s">
        <v>32</v>
      </c>
      <c r="K12" s="1" t="s">
        <v>21</v>
      </c>
      <c r="L12" s="3">
        <v>-4000</v>
      </c>
      <c r="N12" t="str">
        <v>Jan</v>
      </c>
      <c r="P12" s="7" t="str">
        <v>Mar</v>
      </c>
      <c r="Q12" s="7" t="str">
        <v>03-BB-WH03</v>
      </c>
      <c r="R12" s="7" cm="1">
        <f t="array" ref="R12">SUMPRODUCT((TEXT(MyGrid[Financial date],"MMM")=$P12)*(MyGrid[Warehouse]=Q12)*(MyGrid[Receipt]="Purchased")*MyGrid[Quantity])</f>
        <v>72700</v>
      </c>
      <c r="S12" s="8" cm="1">
        <f t="array" ref="S12">SUMPRODUCT((TEXT(MyGrid[Financial date],"MMM")=$P12)*(MyGrid[Warehouse]=$Q12)*(MyGrid[Issue]="Sold")*MyGrid[Quantity])</f>
        <v>-11840</v>
      </c>
      <c r="T12" s="8">
        <f t="shared" si="0"/>
        <v>160860</v>
      </c>
    </row>
    <row r="13" spans="1:21" x14ac:dyDescent="0.3">
      <c r="A13" s="1" t="s">
        <v>12</v>
      </c>
      <c r="B13" s="1" t="s">
        <v>13</v>
      </c>
      <c r="C13" s="1" t="s">
        <v>14</v>
      </c>
      <c r="D13" s="1" t="s">
        <v>15</v>
      </c>
      <c r="E13" s="1" t="s">
        <v>16</v>
      </c>
      <c r="F13" s="6">
        <v>45664</v>
      </c>
      <c r="G13" s="6">
        <v>45664</v>
      </c>
      <c r="H13" s="1" t="s">
        <v>19</v>
      </c>
      <c r="I13" s="1" t="s">
        <v>33</v>
      </c>
      <c r="J13" s="1" t="s">
        <v>20</v>
      </c>
      <c r="L13" s="3">
        <v>4000</v>
      </c>
      <c r="N13" t="str">
        <v>Jan</v>
      </c>
      <c r="P13" s="7" t="str">
        <v>Mar</v>
      </c>
      <c r="Q13" s="7" t="str">
        <v>03-BB-WH07</v>
      </c>
      <c r="R13" s="7" cm="1">
        <f t="array" ref="R13">SUMPRODUCT((TEXT(MyGrid[Financial date],"MMM")=$P13)*(MyGrid[Warehouse]=Q13)*(MyGrid[Receipt]="Purchased")*MyGrid[Quantity])</f>
        <v>0</v>
      </c>
      <c r="S13" s="8" cm="1">
        <f t="array" ref="S13">SUMPRODUCT((TEXT(MyGrid[Financial date],"MMM")=$P13)*(MyGrid[Warehouse]=$Q13)*(MyGrid[Issue]="Sold")*MyGrid[Quantity])</f>
        <v>-57040</v>
      </c>
      <c r="T13" s="8">
        <f t="shared" si="0"/>
        <v>42960</v>
      </c>
    </row>
    <row r="14" spans="1:21" x14ac:dyDescent="0.3">
      <c r="A14" s="1" t="s">
        <v>12</v>
      </c>
      <c r="B14" s="1" t="s">
        <v>13</v>
      </c>
      <c r="C14" s="1" t="s">
        <v>14</v>
      </c>
      <c r="D14" s="1" t="s">
        <v>15</v>
      </c>
      <c r="E14" s="1" t="s">
        <v>16</v>
      </c>
      <c r="F14" s="6">
        <v>45665</v>
      </c>
      <c r="G14" s="6">
        <v>45665</v>
      </c>
      <c r="H14" s="1" t="s">
        <v>19</v>
      </c>
      <c r="I14" s="1" t="s">
        <v>34</v>
      </c>
      <c r="J14" s="1" t="s">
        <v>20</v>
      </c>
      <c r="L14" s="3">
        <v>4640</v>
      </c>
      <c r="N14" t="str">
        <v>Jan</v>
      </c>
      <c r="P14" s="7" t="str">
        <v>Mar</v>
      </c>
      <c r="Q14" s="7" t="str">
        <v>03-BB-WH06</v>
      </c>
      <c r="R14" s="7" cm="1">
        <f t="array" ref="R14">SUMPRODUCT((TEXT(MyGrid[Financial date],"MMM")=$P14)*(MyGrid[Warehouse]=Q14)*(MyGrid[Receipt]="Purchased")*MyGrid[Quantity])</f>
        <v>2400</v>
      </c>
      <c r="S14" s="8" cm="1">
        <f t="array" ref="S14">SUMPRODUCT((TEXT(MyGrid[Financial date],"MMM")=$P14)*(MyGrid[Warehouse]=$Q14)*(MyGrid[Issue]="Sold")*MyGrid[Quantity])</f>
        <v>-2400</v>
      </c>
      <c r="T14" s="8">
        <f t="shared" si="0"/>
        <v>100000</v>
      </c>
    </row>
    <row r="15" spans="1:21" x14ac:dyDescent="0.3">
      <c r="A15" s="1" t="s">
        <v>12</v>
      </c>
      <c r="B15" s="1" t="s">
        <v>13</v>
      </c>
      <c r="C15" s="1" t="s">
        <v>14</v>
      </c>
      <c r="D15" s="1" t="s">
        <v>15</v>
      </c>
      <c r="E15" s="1" t="s">
        <v>22</v>
      </c>
      <c r="F15" s="6">
        <v>45670</v>
      </c>
      <c r="G15" s="6">
        <v>45670</v>
      </c>
      <c r="H15" s="1" t="s">
        <v>17</v>
      </c>
      <c r="I15" s="1" t="s">
        <v>35</v>
      </c>
      <c r="K15" s="1" t="s">
        <v>21</v>
      </c>
      <c r="L15" s="3">
        <v>-3760</v>
      </c>
      <c r="N15" t="str">
        <v>Jan</v>
      </c>
      <c r="P15" s="7" t="str">
        <v>Apr</v>
      </c>
      <c r="Q15" s="7" t="str">
        <v>03-BB-WH03</v>
      </c>
      <c r="R15" s="7" cm="1">
        <f t="array" ref="R15">SUMPRODUCT((TEXT(MyGrid[Financial date],"MMM")=$P15)*(MyGrid[Warehouse]=Q15)*(MyGrid[Receipt]="Purchased")*MyGrid[Quantity])</f>
        <v>28720</v>
      </c>
      <c r="S15" s="8" cm="1">
        <f t="array" ref="S15">SUMPRODUCT((TEXT(MyGrid[Financial date],"MMM")=$P15)*(MyGrid[Warehouse]=$Q15)*(MyGrid[Issue]="Sold")*MyGrid[Quantity])</f>
        <v>-8160</v>
      </c>
      <c r="T15" s="8">
        <f t="shared" si="0"/>
        <v>120560</v>
      </c>
    </row>
    <row r="16" spans="1:21" x14ac:dyDescent="0.3">
      <c r="A16" s="1" t="s">
        <v>12</v>
      </c>
      <c r="B16" s="1" t="s">
        <v>13</v>
      </c>
      <c r="C16" s="1" t="s">
        <v>14</v>
      </c>
      <c r="D16" s="1" t="s">
        <v>15</v>
      </c>
      <c r="E16" s="1" t="s">
        <v>22</v>
      </c>
      <c r="F16" s="6">
        <v>45670</v>
      </c>
      <c r="G16" s="6">
        <v>45670</v>
      </c>
      <c r="H16" s="1" t="s">
        <v>17</v>
      </c>
      <c r="I16" s="1" t="s">
        <v>35</v>
      </c>
      <c r="K16" s="1" t="s">
        <v>21</v>
      </c>
      <c r="L16" s="3">
        <v>-4000</v>
      </c>
      <c r="N16" t="str">
        <v>Jan</v>
      </c>
      <c r="P16" s="7" t="str">
        <v>Apr</v>
      </c>
      <c r="Q16" s="7" t="str">
        <v>03-BB-WH08</v>
      </c>
      <c r="R16" s="7" cm="1">
        <f t="array" ref="R16">SUMPRODUCT((TEXT(MyGrid[Financial date],"MMM")=$P16)*(MyGrid[Warehouse]=Q16)*(MyGrid[Receipt]="Purchased")*MyGrid[Quantity])</f>
        <v>0</v>
      </c>
      <c r="S16" s="8" cm="1">
        <f t="array" ref="S16">SUMPRODUCT((TEXT(MyGrid[Financial date],"MMM")=$P16)*(MyGrid[Warehouse]=$Q16)*(MyGrid[Issue]="Sold")*MyGrid[Quantity])</f>
        <v>-4000</v>
      </c>
      <c r="T16" s="8">
        <f t="shared" si="0"/>
        <v>96000</v>
      </c>
    </row>
    <row r="17" spans="1:20" x14ac:dyDescent="0.3">
      <c r="A17" s="1" t="s">
        <v>12</v>
      </c>
      <c r="B17" s="1" t="s">
        <v>13</v>
      </c>
      <c r="C17" s="1" t="s">
        <v>14</v>
      </c>
      <c r="D17" s="1" t="s">
        <v>15</v>
      </c>
      <c r="E17" s="1" t="s">
        <v>22</v>
      </c>
      <c r="F17" s="6">
        <v>45672</v>
      </c>
      <c r="G17" s="6">
        <v>45672</v>
      </c>
      <c r="H17" s="1" t="s">
        <v>17</v>
      </c>
      <c r="I17" s="1" t="s">
        <v>36</v>
      </c>
      <c r="K17" s="1" t="s">
        <v>21</v>
      </c>
      <c r="L17" s="3">
        <v>-4000</v>
      </c>
      <c r="N17" t="str">
        <v>Jan</v>
      </c>
      <c r="P17" s="7" t="str">
        <v>Apr</v>
      </c>
      <c r="Q17" s="7" t="str">
        <v>03-BB-WH07</v>
      </c>
      <c r="R17" s="7" cm="1">
        <f t="array" ref="R17">SUMPRODUCT((TEXT(MyGrid[Financial date],"MMM")=$P17)*(MyGrid[Warehouse]=Q17)*(MyGrid[Receipt]="Purchased")*MyGrid[Quantity])</f>
        <v>0</v>
      </c>
      <c r="S17" s="8" cm="1">
        <f t="array" ref="S17">SUMPRODUCT((TEXT(MyGrid[Financial date],"MMM")=$P17)*(MyGrid[Warehouse]=$Q17)*(MyGrid[Issue]="Sold")*MyGrid[Quantity])</f>
        <v>-25469</v>
      </c>
      <c r="T17" s="8">
        <f t="shared" si="0"/>
        <v>74531</v>
      </c>
    </row>
    <row r="18" spans="1:20" x14ac:dyDescent="0.3">
      <c r="A18" s="1" t="s">
        <v>12</v>
      </c>
      <c r="B18" s="1" t="s">
        <v>13</v>
      </c>
      <c r="C18" s="1" t="s">
        <v>14</v>
      </c>
      <c r="D18" s="1" t="s">
        <v>15</v>
      </c>
      <c r="E18" s="1" t="s">
        <v>16</v>
      </c>
      <c r="F18" s="6">
        <v>45672</v>
      </c>
      <c r="G18" s="6">
        <v>45672</v>
      </c>
      <c r="H18" s="1" t="s">
        <v>19</v>
      </c>
      <c r="I18" s="1" t="s">
        <v>37</v>
      </c>
      <c r="J18" s="1" t="s">
        <v>20</v>
      </c>
      <c r="L18" s="3">
        <v>1600</v>
      </c>
      <c r="N18" t="str">
        <v>Jan</v>
      </c>
      <c r="P18" s="7" t="str">
        <v>May</v>
      </c>
      <c r="Q18" s="7" t="str">
        <v>03-BB-WH03</v>
      </c>
      <c r="R18" s="7" cm="1">
        <f t="array" ref="R18">SUMPRODUCT((TEXT(MyGrid[Financial date],"MMM")=$P18)*(MyGrid[Warehouse]=Q18)*(MyGrid[Receipt]="Purchased")*MyGrid[Quantity])</f>
        <v>10800</v>
      </c>
      <c r="S18" s="8" cm="1">
        <f t="array" ref="S18">SUMPRODUCT((TEXT(MyGrid[Financial date],"MMM")=$P18)*(MyGrid[Warehouse]=$Q18)*(MyGrid[Issue]="Sold")*MyGrid[Quantity])</f>
        <v>0</v>
      </c>
      <c r="T18" s="8">
        <f t="shared" si="0"/>
        <v>110800</v>
      </c>
    </row>
    <row r="19" spans="1:20" x14ac:dyDescent="0.3">
      <c r="A19" s="1" t="s">
        <v>12</v>
      </c>
      <c r="B19" s="1" t="s">
        <v>13</v>
      </c>
      <c r="C19" s="1" t="s">
        <v>14</v>
      </c>
      <c r="D19" s="1" t="s">
        <v>15</v>
      </c>
      <c r="E19" s="1" t="s">
        <v>22</v>
      </c>
      <c r="F19" s="6">
        <v>45675</v>
      </c>
      <c r="G19" s="6">
        <v>45675</v>
      </c>
      <c r="H19" s="1" t="s">
        <v>17</v>
      </c>
      <c r="I19" s="1" t="s">
        <v>38</v>
      </c>
      <c r="K19" s="1" t="s">
        <v>21</v>
      </c>
      <c r="L19" s="3">
        <v>-4000</v>
      </c>
      <c r="N19" t="str">
        <v>Jan</v>
      </c>
      <c r="P19" s="7" t="str">
        <v>May</v>
      </c>
      <c r="Q19" s="7" t="str">
        <v>03-BB-WH07</v>
      </c>
      <c r="R19" s="7" cm="1">
        <f t="array" ref="R19">SUMPRODUCT((TEXT(MyGrid[Financial date],"MMM")=$P19)*(MyGrid[Warehouse]=Q19)*(MyGrid[Receipt]="Purchased")*MyGrid[Quantity])</f>
        <v>0</v>
      </c>
      <c r="S19" s="8" cm="1">
        <f t="array" ref="S19">SUMPRODUCT((TEXT(MyGrid[Financial date],"MMM")=$P19)*(MyGrid[Warehouse]=$Q19)*(MyGrid[Issue]="Sold")*MyGrid[Quantity])</f>
        <v>-13831</v>
      </c>
      <c r="T19" s="8">
        <f t="shared" si="0"/>
        <v>86169</v>
      </c>
    </row>
    <row r="20" spans="1:20" x14ac:dyDescent="0.3">
      <c r="A20" s="1" t="s">
        <v>12</v>
      </c>
      <c r="B20" s="1" t="s">
        <v>13</v>
      </c>
      <c r="C20" s="1" t="s">
        <v>14</v>
      </c>
      <c r="D20" s="1" t="s">
        <v>15</v>
      </c>
      <c r="E20" s="1" t="s">
        <v>16</v>
      </c>
      <c r="F20" s="6">
        <v>45676</v>
      </c>
      <c r="G20" s="6">
        <v>45676</v>
      </c>
      <c r="H20" s="1" t="s">
        <v>17</v>
      </c>
      <c r="I20" s="1" t="s">
        <v>39</v>
      </c>
      <c r="K20" s="1" t="s">
        <v>21</v>
      </c>
      <c r="L20" s="3">
        <v>-2140</v>
      </c>
      <c r="N20" t="str">
        <v>Jan</v>
      </c>
    </row>
    <row r="21" spans="1:20" x14ac:dyDescent="0.3">
      <c r="A21" s="1" t="s">
        <v>12</v>
      </c>
      <c r="B21" s="1" t="s">
        <v>13</v>
      </c>
      <c r="C21" s="1" t="s">
        <v>14</v>
      </c>
      <c r="D21" s="1" t="s">
        <v>15</v>
      </c>
      <c r="E21" s="1" t="s">
        <v>16</v>
      </c>
      <c r="F21" s="6">
        <v>45677</v>
      </c>
      <c r="G21" s="6">
        <v>45677</v>
      </c>
      <c r="H21" s="1" t="s">
        <v>19</v>
      </c>
      <c r="I21" s="1" t="s">
        <v>40</v>
      </c>
      <c r="J21" s="1" t="s">
        <v>20</v>
      </c>
      <c r="L21" s="3">
        <v>3600</v>
      </c>
      <c r="N21" t="str">
        <v>Jan</v>
      </c>
    </row>
    <row r="22" spans="1:20" x14ac:dyDescent="0.3">
      <c r="A22" s="1" t="s">
        <v>12</v>
      </c>
      <c r="B22" s="1" t="s">
        <v>13</v>
      </c>
      <c r="C22" s="1" t="s">
        <v>14</v>
      </c>
      <c r="D22" s="1" t="s">
        <v>15</v>
      </c>
      <c r="E22" s="1" t="s">
        <v>16</v>
      </c>
      <c r="F22" s="4">
        <v>45677</v>
      </c>
      <c r="G22" s="4">
        <v>45677</v>
      </c>
      <c r="H22" s="1" t="s">
        <v>19</v>
      </c>
      <c r="I22" s="1" t="s">
        <v>40</v>
      </c>
      <c r="J22" s="1" t="s">
        <v>20</v>
      </c>
      <c r="L22" s="3">
        <v>800</v>
      </c>
      <c r="N22" t="str">
        <v>Jan</v>
      </c>
    </row>
    <row r="23" spans="1:20" x14ac:dyDescent="0.3">
      <c r="A23" s="1" t="s">
        <v>12</v>
      </c>
      <c r="B23" s="1" t="s">
        <v>13</v>
      </c>
      <c r="C23" s="1" t="s">
        <v>14</v>
      </c>
      <c r="D23" s="1" t="s">
        <v>15</v>
      </c>
      <c r="E23" s="1" t="s">
        <v>16</v>
      </c>
      <c r="F23" s="4">
        <v>45678</v>
      </c>
      <c r="G23" s="4">
        <v>45678</v>
      </c>
      <c r="H23" s="1" t="s">
        <v>19</v>
      </c>
      <c r="I23" s="1" t="s">
        <v>41</v>
      </c>
      <c r="J23" s="1" t="s">
        <v>20</v>
      </c>
      <c r="L23" s="3">
        <v>880</v>
      </c>
      <c r="N23" t="str">
        <v>Jan</v>
      </c>
    </row>
    <row r="24" spans="1:20" x14ac:dyDescent="0.3">
      <c r="A24" s="1" t="s">
        <v>12</v>
      </c>
      <c r="B24" s="1" t="s">
        <v>13</v>
      </c>
      <c r="C24" s="1" t="s">
        <v>14</v>
      </c>
      <c r="D24" s="1" t="s">
        <v>15</v>
      </c>
      <c r="E24" s="1" t="s">
        <v>16</v>
      </c>
      <c r="F24" s="4">
        <v>45678</v>
      </c>
      <c r="G24" s="4">
        <v>45678</v>
      </c>
      <c r="H24" s="1" t="s">
        <v>19</v>
      </c>
      <c r="I24" s="1" t="s">
        <v>41</v>
      </c>
      <c r="J24" s="1" t="s">
        <v>20</v>
      </c>
      <c r="L24" s="3">
        <v>2800</v>
      </c>
      <c r="N24" t="str">
        <v>Jan</v>
      </c>
    </row>
    <row r="25" spans="1:20" x14ac:dyDescent="0.3">
      <c r="A25" s="1" t="s">
        <v>12</v>
      </c>
      <c r="B25" s="1" t="s">
        <v>13</v>
      </c>
      <c r="C25" s="1" t="s">
        <v>14</v>
      </c>
      <c r="D25" s="1" t="s">
        <v>15</v>
      </c>
      <c r="E25" s="1" t="s">
        <v>22</v>
      </c>
      <c r="F25" s="4">
        <v>45679</v>
      </c>
      <c r="G25" s="4">
        <v>45679</v>
      </c>
      <c r="H25" s="1" t="s">
        <v>17</v>
      </c>
      <c r="I25" s="1" t="s">
        <v>42</v>
      </c>
      <c r="K25" s="1" t="s">
        <v>21</v>
      </c>
      <c r="L25" s="3">
        <v>-2240</v>
      </c>
      <c r="N25" t="str">
        <v>Jan</v>
      </c>
    </row>
    <row r="26" spans="1:20" x14ac:dyDescent="0.3">
      <c r="A26" s="1" t="s">
        <v>12</v>
      </c>
      <c r="B26" s="1" t="s">
        <v>13</v>
      </c>
      <c r="C26" s="1" t="s">
        <v>14</v>
      </c>
      <c r="D26" s="1" t="s">
        <v>15</v>
      </c>
      <c r="E26" s="1" t="s">
        <v>16</v>
      </c>
      <c r="F26" s="4">
        <v>45679</v>
      </c>
      <c r="G26" s="4">
        <v>45679</v>
      </c>
      <c r="H26" s="1" t="s">
        <v>19</v>
      </c>
      <c r="I26" s="1" t="s">
        <v>43</v>
      </c>
      <c r="J26" s="1" t="s">
        <v>20</v>
      </c>
      <c r="L26" s="3">
        <v>1040</v>
      </c>
      <c r="N26" t="str">
        <v>Jan</v>
      </c>
    </row>
    <row r="27" spans="1:20" x14ac:dyDescent="0.3">
      <c r="A27" s="1" t="s">
        <v>12</v>
      </c>
      <c r="B27" s="1" t="s">
        <v>13</v>
      </c>
      <c r="C27" s="1" t="s">
        <v>14</v>
      </c>
      <c r="D27" s="1" t="s">
        <v>15</v>
      </c>
      <c r="E27" s="1" t="s">
        <v>22</v>
      </c>
      <c r="F27" s="4">
        <v>45680</v>
      </c>
      <c r="G27" s="4">
        <v>45680</v>
      </c>
      <c r="H27" s="1" t="s">
        <v>17</v>
      </c>
      <c r="I27" s="1" t="s">
        <v>44</v>
      </c>
      <c r="K27" s="1" t="s">
        <v>21</v>
      </c>
      <c r="L27" s="3">
        <v>-800</v>
      </c>
      <c r="N27" t="str">
        <v>Jan</v>
      </c>
    </row>
    <row r="28" spans="1:20" x14ac:dyDescent="0.3">
      <c r="A28" s="1" t="s">
        <v>12</v>
      </c>
      <c r="B28" s="1" t="s">
        <v>13</v>
      </c>
      <c r="C28" s="1" t="s">
        <v>14</v>
      </c>
      <c r="D28" s="1" t="s">
        <v>15</v>
      </c>
      <c r="E28" s="1" t="s">
        <v>16</v>
      </c>
      <c r="F28" s="4">
        <v>45680</v>
      </c>
      <c r="G28" s="4">
        <v>45680</v>
      </c>
      <c r="H28" s="1" t="s">
        <v>19</v>
      </c>
      <c r="I28" s="1" t="s">
        <v>45</v>
      </c>
      <c r="J28" s="1" t="s">
        <v>20</v>
      </c>
      <c r="L28" s="3">
        <v>6720</v>
      </c>
      <c r="N28" t="str">
        <v>Jan</v>
      </c>
    </row>
    <row r="29" spans="1:20" x14ac:dyDescent="0.3">
      <c r="A29" s="1" t="s">
        <v>12</v>
      </c>
      <c r="B29" s="1" t="s">
        <v>13</v>
      </c>
      <c r="C29" s="1" t="s">
        <v>14</v>
      </c>
      <c r="D29" s="1" t="s">
        <v>15</v>
      </c>
      <c r="E29" s="1" t="s">
        <v>16</v>
      </c>
      <c r="F29" s="4">
        <v>45682</v>
      </c>
      <c r="G29" s="4">
        <v>45682</v>
      </c>
      <c r="H29" s="1" t="s">
        <v>19</v>
      </c>
      <c r="I29" s="1" t="s">
        <v>46</v>
      </c>
      <c r="J29" s="1" t="s">
        <v>20</v>
      </c>
      <c r="L29" s="3">
        <v>1920</v>
      </c>
      <c r="N29" t="str">
        <v>Jan</v>
      </c>
    </row>
    <row r="30" spans="1:20" x14ac:dyDescent="0.3">
      <c r="A30" s="1" t="s">
        <v>12</v>
      </c>
      <c r="B30" s="1" t="s">
        <v>13</v>
      </c>
      <c r="C30" s="1" t="s">
        <v>14</v>
      </c>
      <c r="D30" s="1" t="s">
        <v>15</v>
      </c>
      <c r="E30" s="1" t="s">
        <v>22</v>
      </c>
      <c r="F30" s="4">
        <v>45682</v>
      </c>
      <c r="G30" s="4">
        <v>45682</v>
      </c>
      <c r="H30" s="1" t="s">
        <v>17</v>
      </c>
      <c r="I30" s="1" t="s">
        <v>47</v>
      </c>
      <c r="K30" s="1" t="s">
        <v>21</v>
      </c>
      <c r="L30" s="3">
        <v>-4000</v>
      </c>
      <c r="N30" t="str">
        <v>Jan</v>
      </c>
    </row>
    <row r="31" spans="1:20" x14ac:dyDescent="0.3">
      <c r="A31" s="1" t="s">
        <v>12</v>
      </c>
      <c r="B31" s="1" t="s">
        <v>13</v>
      </c>
      <c r="C31" s="1" t="s">
        <v>14</v>
      </c>
      <c r="D31" s="1" t="s">
        <v>15</v>
      </c>
      <c r="E31" s="1" t="s">
        <v>16</v>
      </c>
      <c r="F31" s="4">
        <v>45682</v>
      </c>
      <c r="G31" s="4">
        <v>45682</v>
      </c>
      <c r="H31" s="1" t="s">
        <v>19</v>
      </c>
      <c r="I31" s="1" t="s">
        <v>46</v>
      </c>
      <c r="J31" s="1" t="s">
        <v>20</v>
      </c>
      <c r="L31" s="3">
        <v>3280</v>
      </c>
      <c r="N31" t="str">
        <v>Jan</v>
      </c>
    </row>
    <row r="32" spans="1:20" x14ac:dyDescent="0.3">
      <c r="A32" s="1" t="s">
        <v>12</v>
      </c>
      <c r="B32" s="1" t="s">
        <v>13</v>
      </c>
      <c r="C32" s="1" t="s">
        <v>14</v>
      </c>
      <c r="D32" s="1" t="s">
        <v>15</v>
      </c>
      <c r="E32" s="1" t="s">
        <v>22</v>
      </c>
      <c r="F32" s="4">
        <v>45683</v>
      </c>
      <c r="G32" s="4">
        <v>45683</v>
      </c>
      <c r="H32" s="1" t="s">
        <v>17</v>
      </c>
      <c r="I32" s="1" t="s">
        <v>48</v>
      </c>
      <c r="K32" s="1" t="s">
        <v>21</v>
      </c>
      <c r="L32" s="3">
        <v>-4800</v>
      </c>
      <c r="N32" t="str">
        <v>Jan</v>
      </c>
    </row>
    <row r="33" spans="1:14" x14ac:dyDescent="0.3">
      <c r="A33" s="1" t="s">
        <v>12</v>
      </c>
      <c r="B33" s="1" t="s">
        <v>13</v>
      </c>
      <c r="C33" s="1" t="s">
        <v>14</v>
      </c>
      <c r="D33" s="1" t="s">
        <v>15</v>
      </c>
      <c r="E33" s="1" t="s">
        <v>22</v>
      </c>
      <c r="F33" s="4">
        <v>45683</v>
      </c>
      <c r="G33" s="4">
        <v>45683</v>
      </c>
      <c r="H33" s="1" t="s">
        <v>17</v>
      </c>
      <c r="I33" s="1" t="s">
        <v>48</v>
      </c>
      <c r="K33" s="1" t="s">
        <v>21</v>
      </c>
      <c r="L33" s="3">
        <v>-4000</v>
      </c>
      <c r="N33" t="str">
        <v>Jan</v>
      </c>
    </row>
    <row r="34" spans="1:14" x14ac:dyDescent="0.3">
      <c r="A34" s="1" t="s">
        <v>12</v>
      </c>
      <c r="B34" s="1" t="s">
        <v>13</v>
      </c>
      <c r="C34" s="1" t="s">
        <v>14</v>
      </c>
      <c r="D34" s="1" t="s">
        <v>15</v>
      </c>
      <c r="E34" s="1" t="s">
        <v>16</v>
      </c>
      <c r="F34" s="4">
        <v>45683</v>
      </c>
      <c r="G34" s="4">
        <v>45683</v>
      </c>
      <c r="H34" s="1" t="s">
        <v>19</v>
      </c>
      <c r="I34" s="1" t="s">
        <v>49</v>
      </c>
      <c r="J34" s="1" t="s">
        <v>20</v>
      </c>
      <c r="L34" s="3">
        <v>3200</v>
      </c>
      <c r="N34" t="str">
        <v>Jan</v>
      </c>
    </row>
    <row r="35" spans="1:14" x14ac:dyDescent="0.3">
      <c r="A35" s="1" t="s">
        <v>12</v>
      </c>
      <c r="B35" s="1" t="s">
        <v>13</v>
      </c>
      <c r="C35" s="1" t="s">
        <v>14</v>
      </c>
      <c r="D35" s="1" t="s">
        <v>15</v>
      </c>
      <c r="E35" s="1" t="s">
        <v>16</v>
      </c>
      <c r="F35" s="4">
        <v>45683</v>
      </c>
      <c r="G35" s="4">
        <v>45683</v>
      </c>
      <c r="H35" s="1" t="s">
        <v>19</v>
      </c>
      <c r="I35" s="1" t="s">
        <v>49</v>
      </c>
      <c r="J35" s="1" t="s">
        <v>20</v>
      </c>
      <c r="L35" s="3">
        <v>4560</v>
      </c>
      <c r="N35" t="str">
        <v>Jan</v>
      </c>
    </row>
    <row r="36" spans="1:14" x14ac:dyDescent="0.3">
      <c r="A36" s="1" t="s">
        <v>12</v>
      </c>
      <c r="B36" s="1" t="s">
        <v>13</v>
      </c>
      <c r="C36" s="1" t="s">
        <v>14</v>
      </c>
      <c r="D36" s="1" t="s">
        <v>15</v>
      </c>
      <c r="E36" s="1" t="s">
        <v>16</v>
      </c>
      <c r="F36" s="4">
        <v>45684</v>
      </c>
      <c r="G36" s="4">
        <v>45684</v>
      </c>
      <c r="H36" s="1" t="s">
        <v>19</v>
      </c>
      <c r="I36" s="1" t="s">
        <v>50</v>
      </c>
      <c r="J36" s="1" t="s">
        <v>20</v>
      </c>
      <c r="L36" s="3">
        <v>3360</v>
      </c>
      <c r="N36" t="str">
        <v>Jan</v>
      </c>
    </row>
    <row r="37" spans="1:14" x14ac:dyDescent="0.3">
      <c r="A37" s="1" t="s">
        <v>12</v>
      </c>
      <c r="B37" s="1" t="s">
        <v>13</v>
      </c>
      <c r="C37" s="1" t="s">
        <v>14</v>
      </c>
      <c r="D37" s="1" t="s">
        <v>15</v>
      </c>
      <c r="E37" s="1" t="s">
        <v>22</v>
      </c>
      <c r="F37" s="4">
        <v>45685</v>
      </c>
      <c r="G37" s="4">
        <v>45685</v>
      </c>
      <c r="H37" s="1" t="s">
        <v>17</v>
      </c>
      <c r="I37" s="1" t="s">
        <v>51</v>
      </c>
      <c r="J37" s="1" t="s">
        <v>20</v>
      </c>
      <c r="L37" s="3">
        <v>4000</v>
      </c>
      <c r="N37" t="str">
        <v>Jan</v>
      </c>
    </row>
    <row r="38" spans="1:14" x14ac:dyDescent="0.3">
      <c r="A38" s="1" t="s">
        <v>12</v>
      </c>
      <c r="B38" s="1" t="s">
        <v>13</v>
      </c>
      <c r="C38" s="1" t="s">
        <v>14</v>
      </c>
      <c r="D38" s="1" t="s">
        <v>15</v>
      </c>
      <c r="E38" s="1" t="s">
        <v>22</v>
      </c>
      <c r="F38" s="4">
        <v>45685</v>
      </c>
      <c r="G38" s="4">
        <v>45685</v>
      </c>
      <c r="H38" s="1" t="s">
        <v>17</v>
      </c>
      <c r="I38" s="1" t="s">
        <v>51</v>
      </c>
      <c r="K38" s="1" t="s">
        <v>21</v>
      </c>
      <c r="L38" s="3">
        <v>-4000</v>
      </c>
      <c r="N38" t="str">
        <v>Jan</v>
      </c>
    </row>
    <row r="39" spans="1:14" x14ac:dyDescent="0.3">
      <c r="A39" s="1" t="s">
        <v>12</v>
      </c>
      <c r="B39" s="1" t="s">
        <v>13</v>
      </c>
      <c r="C39" s="1" t="s">
        <v>14</v>
      </c>
      <c r="D39" s="1" t="s">
        <v>15</v>
      </c>
      <c r="E39" s="1" t="s">
        <v>16</v>
      </c>
      <c r="F39" s="4">
        <v>45685</v>
      </c>
      <c r="G39" s="4">
        <v>45685</v>
      </c>
      <c r="H39" s="1" t="s">
        <v>19</v>
      </c>
      <c r="I39" s="1" t="s">
        <v>52</v>
      </c>
      <c r="J39" s="1" t="s">
        <v>20</v>
      </c>
      <c r="L39" s="3">
        <v>4000</v>
      </c>
      <c r="N39" t="str">
        <v>Jan</v>
      </c>
    </row>
    <row r="40" spans="1:14" x14ac:dyDescent="0.3">
      <c r="A40" s="1" t="s">
        <v>12</v>
      </c>
      <c r="B40" s="1" t="s">
        <v>13</v>
      </c>
      <c r="C40" s="1" t="s">
        <v>14</v>
      </c>
      <c r="D40" s="1" t="s">
        <v>15</v>
      </c>
      <c r="E40" s="1" t="s">
        <v>22</v>
      </c>
      <c r="F40" s="4">
        <v>45686</v>
      </c>
      <c r="G40" s="4">
        <v>45686</v>
      </c>
      <c r="H40" s="1" t="s">
        <v>17</v>
      </c>
      <c r="I40" s="1" t="s">
        <v>53</v>
      </c>
      <c r="K40" s="1" t="s">
        <v>21</v>
      </c>
      <c r="L40" s="3">
        <v>-5040</v>
      </c>
      <c r="N40" t="str">
        <v>Jan</v>
      </c>
    </row>
    <row r="41" spans="1:14" x14ac:dyDescent="0.3">
      <c r="A41" s="1" t="s">
        <v>12</v>
      </c>
      <c r="B41" s="1" t="s">
        <v>13</v>
      </c>
      <c r="C41" s="1" t="s">
        <v>14</v>
      </c>
      <c r="D41" s="1" t="s">
        <v>15</v>
      </c>
      <c r="E41" s="1" t="s">
        <v>22</v>
      </c>
      <c r="F41" s="4">
        <v>45686</v>
      </c>
      <c r="G41" s="4">
        <v>45686</v>
      </c>
      <c r="H41" s="1" t="s">
        <v>17</v>
      </c>
      <c r="I41" s="1" t="s">
        <v>53</v>
      </c>
      <c r="K41" s="1" t="s">
        <v>21</v>
      </c>
      <c r="L41" s="3">
        <v>-4000</v>
      </c>
      <c r="N41" t="str">
        <v>Jan</v>
      </c>
    </row>
    <row r="42" spans="1:14" x14ac:dyDescent="0.3">
      <c r="A42" s="1" t="s">
        <v>12</v>
      </c>
      <c r="B42" s="1" t="s">
        <v>13</v>
      </c>
      <c r="C42" s="1" t="s">
        <v>14</v>
      </c>
      <c r="D42" s="1" t="s">
        <v>15</v>
      </c>
      <c r="E42" s="1" t="s">
        <v>16</v>
      </c>
      <c r="F42" s="4">
        <v>45686</v>
      </c>
      <c r="G42" s="4">
        <v>45686</v>
      </c>
      <c r="H42" s="1" t="s">
        <v>19</v>
      </c>
      <c r="I42" s="1" t="s">
        <v>54</v>
      </c>
      <c r="J42" s="1" t="s">
        <v>20</v>
      </c>
      <c r="L42" s="3">
        <v>2640</v>
      </c>
      <c r="N42" t="str">
        <v>Jan</v>
      </c>
    </row>
    <row r="43" spans="1:14" x14ac:dyDescent="0.3">
      <c r="A43" s="1" t="s">
        <v>12</v>
      </c>
      <c r="B43" s="1" t="s">
        <v>13</v>
      </c>
      <c r="C43" s="1" t="s">
        <v>14</v>
      </c>
      <c r="D43" s="1" t="s">
        <v>15</v>
      </c>
      <c r="E43" s="1" t="s">
        <v>16</v>
      </c>
      <c r="F43" s="4">
        <v>45686</v>
      </c>
      <c r="G43" s="4">
        <v>45686</v>
      </c>
      <c r="H43" s="1" t="s">
        <v>19</v>
      </c>
      <c r="I43" s="1" t="s">
        <v>54</v>
      </c>
      <c r="J43" s="1" t="s">
        <v>20</v>
      </c>
      <c r="L43" s="3">
        <v>5040</v>
      </c>
      <c r="N43" t="str">
        <v>Jan</v>
      </c>
    </row>
    <row r="44" spans="1:14" x14ac:dyDescent="0.3">
      <c r="A44" s="1" t="s">
        <v>12</v>
      </c>
      <c r="B44" s="1" t="s">
        <v>13</v>
      </c>
      <c r="C44" s="1" t="s">
        <v>14</v>
      </c>
      <c r="D44" s="1" t="s">
        <v>15</v>
      </c>
      <c r="E44" s="1" t="s">
        <v>16</v>
      </c>
      <c r="F44" s="4">
        <v>45687</v>
      </c>
      <c r="G44" s="4">
        <v>45687</v>
      </c>
      <c r="H44" s="1" t="s">
        <v>19</v>
      </c>
      <c r="I44" s="1" t="s">
        <v>55</v>
      </c>
      <c r="J44" s="1" t="s">
        <v>20</v>
      </c>
      <c r="L44" s="3">
        <v>4800</v>
      </c>
      <c r="N44" t="str">
        <v>Jan</v>
      </c>
    </row>
    <row r="45" spans="1:14" x14ac:dyDescent="0.3">
      <c r="A45" s="1" t="s">
        <v>12</v>
      </c>
      <c r="B45" s="1" t="s">
        <v>13</v>
      </c>
      <c r="C45" s="1" t="s">
        <v>14</v>
      </c>
      <c r="D45" s="1" t="s">
        <v>15</v>
      </c>
      <c r="E45" s="1" t="s">
        <v>22</v>
      </c>
      <c r="F45" s="4">
        <v>45687</v>
      </c>
      <c r="G45" s="4">
        <v>45687</v>
      </c>
      <c r="H45" s="1" t="s">
        <v>17</v>
      </c>
      <c r="I45" s="1" t="s">
        <v>56</v>
      </c>
      <c r="K45" s="1" t="s">
        <v>21</v>
      </c>
      <c r="L45" s="3">
        <v>-2800</v>
      </c>
      <c r="N45" t="str">
        <v>Jan</v>
      </c>
    </row>
    <row r="46" spans="1:14" x14ac:dyDescent="0.3">
      <c r="A46" s="1" t="s">
        <v>12</v>
      </c>
      <c r="B46" s="1" t="s">
        <v>13</v>
      </c>
      <c r="C46" s="1" t="s">
        <v>14</v>
      </c>
      <c r="D46" s="1" t="s">
        <v>15</v>
      </c>
      <c r="E46" s="1" t="s">
        <v>22</v>
      </c>
      <c r="F46" s="4">
        <v>45687</v>
      </c>
      <c r="G46" s="4">
        <v>45687</v>
      </c>
      <c r="H46" s="1" t="s">
        <v>17</v>
      </c>
      <c r="I46" s="1" t="s">
        <v>56</v>
      </c>
      <c r="K46" s="1" t="s">
        <v>21</v>
      </c>
      <c r="L46" s="3">
        <v>-1440</v>
      </c>
      <c r="N46" t="str">
        <v>Jan</v>
      </c>
    </row>
    <row r="47" spans="1:14" x14ac:dyDescent="0.3">
      <c r="A47" s="1" t="s">
        <v>12</v>
      </c>
      <c r="B47" s="1" t="s">
        <v>13</v>
      </c>
      <c r="C47" s="1" t="s">
        <v>14</v>
      </c>
      <c r="D47" s="1" t="s">
        <v>15</v>
      </c>
      <c r="E47" s="1" t="s">
        <v>22</v>
      </c>
      <c r="F47" s="4">
        <v>45687</v>
      </c>
      <c r="G47" s="4">
        <v>45687</v>
      </c>
      <c r="H47" s="1" t="s">
        <v>17</v>
      </c>
      <c r="I47" s="1" t="s">
        <v>56</v>
      </c>
      <c r="K47" s="1" t="s">
        <v>21</v>
      </c>
      <c r="L47" s="3">
        <v>-4400</v>
      </c>
      <c r="N47" t="str">
        <v>Jan</v>
      </c>
    </row>
    <row r="48" spans="1:14" x14ac:dyDescent="0.3">
      <c r="A48" s="1" t="s">
        <v>12</v>
      </c>
      <c r="B48" s="1" t="s">
        <v>13</v>
      </c>
      <c r="C48" s="1" t="s">
        <v>14</v>
      </c>
      <c r="D48" s="1" t="s">
        <v>15</v>
      </c>
      <c r="E48" s="1" t="s">
        <v>16</v>
      </c>
      <c r="F48" s="4">
        <v>45688</v>
      </c>
      <c r="G48" s="4">
        <v>45688</v>
      </c>
      <c r="H48" s="1" t="s">
        <v>17</v>
      </c>
      <c r="I48" s="1" t="s">
        <v>57</v>
      </c>
      <c r="K48" s="1" t="s">
        <v>21</v>
      </c>
      <c r="L48" s="3">
        <v>-5299</v>
      </c>
      <c r="N48" t="str">
        <v>Jan</v>
      </c>
    </row>
    <row r="49" spans="1:14" x14ac:dyDescent="0.3">
      <c r="A49" s="1" t="s">
        <v>12</v>
      </c>
      <c r="B49" s="1" t="s">
        <v>13</v>
      </c>
      <c r="C49" s="1" t="s">
        <v>14</v>
      </c>
      <c r="D49" s="1" t="s">
        <v>15</v>
      </c>
      <c r="E49" s="1" t="s">
        <v>22</v>
      </c>
      <c r="F49" s="4">
        <v>45688</v>
      </c>
      <c r="G49" s="4">
        <v>45688</v>
      </c>
      <c r="H49" s="1" t="s">
        <v>17</v>
      </c>
      <c r="I49" s="1" t="s">
        <v>58</v>
      </c>
      <c r="K49" s="1" t="s">
        <v>21</v>
      </c>
      <c r="L49" s="3">
        <v>-4400</v>
      </c>
      <c r="N49" t="str">
        <v>Jan</v>
      </c>
    </row>
    <row r="50" spans="1:14" x14ac:dyDescent="0.3">
      <c r="A50" s="1" t="s">
        <v>12</v>
      </c>
      <c r="B50" s="1" t="s">
        <v>13</v>
      </c>
      <c r="C50" s="1" t="s">
        <v>14</v>
      </c>
      <c r="D50" s="1" t="s">
        <v>15</v>
      </c>
      <c r="E50" s="1" t="s">
        <v>22</v>
      </c>
      <c r="F50" s="4">
        <v>45688</v>
      </c>
      <c r="G50" s="4">
        <v>45688</v>
      </c>
      <c r="H50" s="1" t="s">
        <v>17</v>
      </c>
      <c r="I50" s="1" t="s">
        <v>58</v>
      </c>
      <c r="K50" s="1" t="s">
        <v>21</v>
      </c>
      <c r="L50" s="3">
        <v>-5200</v>
      </c>
      <c r="N50" t="str">
        <v>Jan</v>
      </c>
    </row>
    <row r="51" spans="1:14" x14ac:dyDescent="0.3">
      <c r="A51" s="1" t="s">
        <v>12</v>
      </c>
      <c r="B51" s="1" t="s">
        <v>13</v>
      </c>
      <c r="C51" s="1" t="s">
        <v>14</v>
      </c>
      <c r="D51" s="1" t="s">
        <v>15</v>
      </c>
      <c r="E51" s="1" t="s">
        <v>16</v>
      </c>
      <c r="F51" s="4">
        <v>45688</v>
      </c>
      <c r="G51" s="4">
        <v>45688</v>
      </c>
      <c r="H51" s="1" t="s">
        <v>19</v>
      </c>
      <c r="I51" s="1" t="s">
        <v>59</v>
      </c>
      <c r="J51" s="1" t="s">
        <v>20</v>
      </c>
      <c r="L51" s="3">
        <v>8000</v>
      </c>
      <c r="N51" t="str">
        <v>Jan</v>
      </c>
    </row>
    <row r="52" spans="1:14" x14ac:dyDescent="0.3">
      <c r="A52" s="1" t="s">
        <v>12</v>
      </c>
      <c r="B52" s="1" t="s">
        <v>13</v>
      </c>
      <c r="C52" s="1" t="s">
        <v>14</v>
      </c>
      <c r="D52" s="1" t="s">
        <v>15</v>
      </c>
      <c r="E52" s="1" t="s">
        <v>16</v>
      </c>
      <c r="F52" s="4">
        <v>45688</v>
      </c>
      <c r="G52" s="4">
        <v>45688</v>
      </c>
      <c r="H52" s="1" t="s">
        <v>19</v>
      </c>
      <c r="I52" s="1" t="s">
        <v>59</v>
      </c>
      <c r="J52" s="1" t="s">
        <v>20</v>
      </c>
      <c r="L52" s="3">
        <v>3280</v>
      </c>
      <c r="N52" t="str">
        <v>Jan</v>
      </c>
    </row>
    <row r="53" spans="1:14" x14ac:dyDescent="0.3">
      <c r="A53" s="1" t="s">
        <v>12</v>
      </c>
      <c r="B53" s="1" t="s">
        <v>13</v>
      </c>
      <c r="C53" s="1" t="s">
        <v>14</v>
      </c>
      <c r="D53" s="1" t="s">
        <v>15</v>
      </c>
      <c r="E53" s="1" t="s">
        <v>16</v>
      </c>
      <c r="F53" s="4">
        <v>45688</v>
      </c>
      <c r="G53" s="4">
        <v>45688</v>
      </c>
      <c r="H53" s="1" t="s">
        <v>19</v>
      </c>
      <c r="I53" s="1" t="s">
        <v>59</v>
      </c>
      <c r="J53" s="1" t="s">
        <v>20</v>
      </c>
      <c r="L53" s="3">
        <v>2960</v>
      </c>
      <c r="N53" t="str">
        <v>Jan</v>
      </c>
    </row>
    <row r="54" spans="1:14" x14ac:dyDescent="0.3">
      <c r="A54" s="1" t="s">
        <v>12</v>
      </c>
      <c r="B54" s="1" t="s">
        <v>13</v>
      </c>
      <c r="C54" s="1" t="s">
        <v>14</v>
      </c>
      <c r="D54" s="1" t="s">
        <v>15</v>
      </c>
      <c r="E54" s="1" t="s">
        <v>23</v>
      </c>
      <c r="F54" s="4">
        <v>45688</v>
      </c>
      <c r="G54" s="4">
        <v>45688</v>
      </c>
      <c r="H54" s="1" t="s">
        <v>17</v>
      </c>
      <c r="I54" s="1" t="s">
        <v>60</v>
      </c>
      <c r="K54" s="1" t="s">
        <v>21</v>
      </c>
      <c r="L54" s="3">
        <v>-4000</v>
      </c>
      <c r="N54" t="str">
        <v>Jan</v>
      </c>
    </row>
    <row r="55" spans="1:14" x14ac:dyDescent="0.3">
      <c r="A55" s="1" t="s">
        <v>12</v>
      </c>
      <c r="B55" s="1" t="s">
        <v>13</v>
      </c>
      <c r="C55" s="1" t="s">
        <v>14</v>
      </c>
      <c r="D55" s="1" t="s">
        <v>15</v>
      </c>
      <c r="E55" s="1" t="s">
        <v>22</v>
      </c>
      <c r="F55" s="4">
        <v>45691</v>
      </c>
      <c r="G55" s="4">
        <v>45691</v>
      </c>
      <c r="H55" s="1" t="s">
        <v>17</v>
      </c>
      <c r="I55" s="1" t="s">
        <v>61</v>
      </c>
      <c r="J55" s="1" t="s">
        <v>20</v>
      </c>
      <c r="L55" s="3">
        <v>40</v>
      </c>
      <c r="N55" t="str">
        <v>Feb</v>
      </c>
    </row>
    <row r="56" spans="1:14" x14ac:dyDescent="0.3">
      <c r="A56" s="1" t="s">
        <v>12</v>
      </c>
      <c r="B56" s="1" t="s">
        <v>13</v>
      </c>
      <c r="C56" s="1" t="s">
        <v>14</v>
      </c>
      <c r="D56" s="1" t="s">
        <v>15</v>
      </c>
      <c r="E56" s="1" t="s">
        <v>22</v>
      </c>
      <c r="F56" s="4">
        <v>45691</v>
      </c>
      <c r="G56" s="4">
        <v>45691</v>
      </c>
      <c r="H56" s="1" t="s">
        <v>17</v>
      </c>
      <c r="I56" s="1" t="s">
        <v>61</v>
      </c>
      <c r="K56" s="1" t="s">
        <v>21</v>
      </c>
      <c r="L56" s="3">
        <v>-40</v>
      </c>
      <c r="N56" t="str">
        <v>Feb</v>
      </c>
    </row>
    <row r="57" spans="1:14" x14ac:dyDescent="0.3">
      <c r="A57" s="1" t="s">
        <v>12</v>
      </c>
      <c r="B57" s="1" t="s">
        <v>13</v>
      </c>
      <c r="C57" s="1" t="s">
        <v>14</v>
      </c>
      <c r="D57" s="1" t="s">
        <v>15</v>
      </c>
      <c r="E57" s="1" t="s">
        <v>22</v>
      </c>
      <c r="F57" s="4">
        <v>45691</v>
      </c>
      <c r="G57" s="4">
        <v>45691</v>
      </c>
      <c r="H57" s="1" t="s">
        <v>17</v>
      </c>
      <c r="I57" s="1" t="s">
        <v>61</v>
      </c>
      <c r="K57" s="1" t="s">
        <v>21</v>
      </c>
      <c r="L57" s="3">
        <v>-40</v>
      </c>
      <c r="N57" t="str">
        <v>Feb</v>
      </c>
    </row>
    <row r="58" spans="1:14" x14ac:dyDescent="0.3">
      <c r="A58" s="1" t="s">
        <v>12</v>
      </c>
      <c r="B58" s="1" t="s">
        <v>13</v>
      </c>
      <c r="C58" s="1" t="s">
        <v>14</v>
      </c>
      <c r="D58" s="1" t="s">
        <v>15</v>
      </c>
      <c r="E58" s="1" t="s">
        <v>22</v>
      </c>
      <c r="F58" s="4">
        <v>45691</v>
      </c>
      <c r="G58" s="4">
        <v>45691</v>
      </c>
      <c r="H58" s="1" t="s">
        <v>17</v>
      </c>
      <c r="I58" s="1" t="s">
        <v>61</v>
      </c>
      <c r="K58" s="1" t="s">
        <v>21</v>
      </c>
      <c r="L58" s="3">
        <v>-4760</v>
      </c>
      <c r="N58" t="str">
        <v>Feb</v>
      </c>
    </row>
    <row r="59" spans="1:14" x14ac:dyDescent="0.3">
      <c r="A59" s="1" t="s">
        <v>12</v>
      </c>
      <c r="B59" s="1" t="s">
        <v>13</v>
      </c>
      <c r="C59" s="1" t="s">
        <v>14</v>
      </c>
      <c r="D59" s="1" t="s">
        <v>15</v>
      </c>
      <c r="E59" s="1" t="s">
        <v>22</v>
      </c>
      <c r="F59" s="4">
        <v>45691</v>
      </c>
      <c r="G59" s="4">
        <v>45691</v>
      </c>
      <c r="H59" s="1" t="s">
        <v>17</v>
      </c>
      <c r="I59" s="1" t="s">
        <v>61</v>
      </c>
      <c r="K59" s="1" t="s">
        <v>21</v>
      </c>
      <c r="L59" s="3">
        <v>-400</v>
      </c>
      <c r="N59" t="str">
        <v>Feb</v>
      </c>
    </row>
    <row r="60" spans="1:14" x14ac:dyDescent="0.3">
      <c r="A60" s="1" t="s">
        <v>12</v>
      </c>
      <c r="B60" s="1" t="s">
        <v>13</v>
      </c>
      <c r="C60" s="1" t="s">
        <v>14</v>
      </c>
      <c r="D60" s="1" t="s">
        <v>15</v>
      </c>
      <c r="E60" s="1" t="s">
        <v>22</v>
      </c>
      <c r="F60" s="4">
        <v>45691</v>
      </c>
      <c r="G60" s="4">
        <v>45691</v>
      </c>
      <c r="H60" s="1" t="s">
        <v>17</v>
      </c>
      <c r="I60" s="1" t="s">
        <v>61</v>
      </c>
      <c r="K60" s="1" t="s">
        <v>21</v>
      </c>
      <c r="L60" s="3">
        <v>-5040</v>
      </c>
      <c r="N60" t="str">
        <v>Feb</v>
      </c>
    </row>
    <row r="61" spans="1:14" x14ac:dyDescent="0.3">
      <c r="A61" s="1" t="s">
        <v>12</v>
      </c>
      <c r="B61" s="1" t="s">
        <v>13</v>
      </c>
      <c r="C61" s="1" t="s">
        <v>14</v>
      </c>
      <c r="D61" s="1" t="s">
        <v>15</v>
      </c>
      <c r="E61" s="1" t="s">
        <v>16</v>
      </c>
      <c r="F61" s="4">
        <v>45691</v>
      </c>
      <c r="G61" s="4">
        <v>45691</v>
      </c>
      <c r="H61" s="1" t="s">
        <v>19</v>
      </c>
      <c r="I61" s="1" t="s">
        <v>62</v>
      </c>
      <c r="J61" s="1" t="s">
        <v>20</v>
      </c>
      <c r="L61" s="3">
        <v>1440</v>
      </c>
      <c r="N61" t="str">
        <v>Feb</v>
      </c>
    </row>
    <row r="62" spans="1:14" x14ac:dyDescent="0.3">
      <c r="A62" s="1" t="s">
        <v>12</v>
      </c>
      <c r="B62" s="1" t="s">
        <v>13</v>
      </c>
      <c r="C62" s="1" t="s">
        <v>14</v>
      </c>
      <c r="D62" s="1" t="s">
        <v>15</v>
      </c>
      <c r="E62" s="1" t="s">
        <v>16</v>
      </c>
      <c r="F62" s="4">
        <v>45693</v>
      </c>
      <c r="G62" s="4">
        <v>45693</v>
      </c>
      <c r="H62" s="1" t="s">
        <v>19</v>
      </c>
      <c r="I62" s="1" t="s">
        <v>63</v>
      </c>
      <c r="J62" s="1" t="s">
        <v>20</v>
      </c>
      <c r="L62" s="3">
        <v>1200</v>
      </c>
      <c r="N62" t="str">
        <v>Feb</v>
      </c>
    </row>
    <row r="63" spans="1:14" x14ac:dyDescent="0.3">
      <c r="A63" s="1" t="s">
        <v>12</v>
      </c>
      <c r="B63" s="1" t="s">
        <v>13</v>
      </c>
      <c r="C63" s="1" t="s">
        <v>14</v>
      </c>
      <c r="D63" s="1" t="s">
        <v>15</v>
      </c>
      <c r="E63" s="1" t="s">
        <v>22</v>
      </c>
      <c r="F63" s="4">
        <v>45694</v>
      </c>
      <c r="G63" s="4">
        <v>45694</v>
      </c>
      <c r="H63" s="1" t="s">
        <v>17</v>
      </c>
      <c r="I63" s="1" t="s">
        <v>64</v>
      </c>
      <c r="K63" s="1" t="s">
        <v>21</v>
      </c>
      <c r="L63" s="3">
        <v>-4430</v>
      </c>
      <c r="N63" t="str">
        <v>Feb</v>
      </c>
    </row>
    <row r="64" spans="1:14" x14ac:dyDescent="0.3">
      <c r="A64" s="1" t="s">
        <v>12</v>
      </c>
      <c r="B64" s="1" t="s">
        <v>13</v>
      </c>
      <c r="C64" s="1" t="s">
        <v>14</v>
      </c>
      <c r="D64" s="1" t="s">
        <v>15</v>
      </c>
      <c r="E64" s="1" t="s">
        <v>16</v>
      </c>
      <c r="F64" s="4">
        <v>45694</v>
      </c>
      <c r="G64" s="4">
        <v>45694</v>
      </c>
      <c r="H64" s="1" t="s">
        <v>19</v>
      </c>
      <c r="I64" s="1" t="s">
        <v>65</v>
      </c>
      <c r="J64" s="1" t="s">
        <v>20</v>
      </c>
      <c r="L64" s="3">
        <v>60</v>
      </c>
      <c r="N64" t="str">
        <v>Feb</v>
      </c>
    </row>
    <row r="65" spans="1:14" x14ac:dyDescent="0.3">
      <c r="A65" s="1" t="s">
        <v>12</v>
      </c>
      <c r="B65" s="1" t="s">
        <v>13</v>
      </c>
      <c r="C65" s="1" t="s">
        <v>14</v>
      </c>
      <c r="D65" s="1" t="s">
        <v>15</v>
      </c>
      <c r="E65" s="1" t="s">
        <v>16</v>
      </c>
      <c r="F65" s="4">
        <v>45694</v>
      </c>
      <c r="G65" s="4">
        <v>45694</v>
      </c>
      <c r="H65" s="1" t="s">
        <v>19</v>
      </c>
      <c r="I65" s="1" t="s">
        <v>66</v>
      </c>
      <c r="J65" s="1" t="s">
        <v>20</v>
      </c>
      <c r="L65" s="3">
        <v>2000</v>
      </c>
      <c r="N65" t="str">
        <v>Feb</v>
      </c>
    </row>
    <row r="66" spans="1:14" x14ac:dyDescent="0.3">
      <c r="A66" s="1" t="s">
        <v>12</v>
      </c>
      <c r="B66" s="1" t="s">
        <v>13</v>
      </c>
      <c r="C66" s="1" t="s">
        <v>14</v>
      </c>
      <c r="D66" s="1" t="s">
        <v>15</v>
      </c>
      <c r="E66" s="1" t="s">
        <v>16</v>
      </c>
      <c r="F66" s="4">
        <v>45694</v>
      </c>
      <c r="G66" s="4">
        <v>45694</v>
      </c>
      <c r="H66" s="1" t="s">
        <v>19</v>
      </c>
      <c r="I66" s="1" t="s">
        <v>66</v>
      </c>
      <c r="J66" s="1" t="s">
        <v>20</v>
      </c>
      <c r="L66" s="3">
        <v>2500</v>
      </c>
      <c r="N66" t="str">
        <v>Feb</v>
      </c>
    </row>
    <row r="67" spans="1:14" x14ac:dyDescent="0.3">
      <c r="A67" s="1" t="s">
        <v>12</v>
      </c>
      <c r="B67" s="1" t="s">
        <v>13</v>
      </c>
      <c r="C67" s="1" t="s">
        <v>14</v>
      </c>
      <c r="D67" s="1" t="s">
        <v>15</v>
      </c>
      <c r="E67" s="1" t="s">
        <v>16</v>
      </c>
      <c r="F67" s="4">
        <v>45696</v>
      </c>
      <c r="G67" s="4">
        <v>45696</v>
      </c>
      <c r="H67" s="1" t="s">
        <v>19</v>
      </c>
      <c r="I67" s="1" t="s">
        <v>67</v>
      </c>
      <c r="J67" s="1" t="s">
        <v>20</v>
      </c>
      <c r="L67" s="3">
        <v>1040</v>
      </c>
      <c r="N67" t="str">
        <v>Feb</v>
      </c>
    </row>
    <row r="68" spans="1:14" x14ac:dyDescent="0.3">
      <c r="A68" s="1" t="s">
        <v>12</v>
      </c>
      <c r="B68" s="1" t="s">
        <v>13</v>
      </c>
      <c r="C68" s="1" t="s">
        <v>14</v>
      </c>
      <c r="D68" s="1" t="s">
        <v>15</v>
      </c>
      <c r="E68" s="1" t="s">
        <v>16</v>
      </c>
      <c r="F68" s="4">
        <v>45697</v>
      </c>
      <c r="G68" s="4">
        <v>45697</v>
      </c>
      <c r="H68" s="1" t="s">
        <v>19</v>
      </c>
      <c r="I68" s="1" t="s">
        <v>68</v>
      </c>
      <c r="J68" s="1" t="s">
        <v>20</v>
      </c>
      <c r="L68" s="3">
        <v>1040</v>
      </c>
      <c r="N68" t="str">
        <v>Feb</v>
      </c>
    </row>
    <row r="69" spans="1:14" x14ac:dyDescent="0.3">
      <c r="A69" s="1" t="s">
        <v>12</v>
      </c>
      <c r="B69" s="1" t="s">
        <v>13</v>
      </c>
      <c r="C69" s="1" t="s">
        <v>14</v>
      </c>
      <c r="D69" s="1" t="s">
        <v>15</v>
      </c>
      <c r="E69" s="1" t="s">
        <v>22</v>
      </c>
      <c r="F69" s="4">
        <v>45697</v>
      </c>
      <c r="G69" s="4">
        <v>45697</v>
      </c>
      <c r="H69" s="1" t="s">
        <v>17</v>
      </c>
      <c r="I69" s="1" t="s">
        <v>69</v>
      </c>
      <c r="K69" s="1" t="s">
        <v>21</v>
      </c>
      <c r="L69" s="3">
        <v>-4400</v>
      </c>
      <c r="N69" t="str">
        <v>Feb</v>
      </c>
    </row>
    <row r="70" spans="1:14" x14ac:dyDescent="0.3">
      <c r="A70" s="1" t="s">
        <v>12</v>
      </c>
      <c r="B70" s="1" t="s">
        <v>13</v>
      </c>
      <c r="C70" s="1" t="s">
        <v>14</v>
      </c>
      <c r="D70" s="1" t="s">
        <v>15</v>
      </c>
      <c r="E70" s="1" t="s">
        <v>22</v>
      </c>
      <c r="F70" s="4">
        <v>45697</v>
      </c>
      <c r="G70" s="4">
        <v>45697</v>
      </c>
      <c r="H70" s="1" t="s">
        <v>17</v>
      </c>
      <c r="I70" s="1" t="s">
        <v>69</v>
      </c>
      <c r="K70" s="1" t="s">
        <v>21</v>
      </c>
      <c r="L70" s="3">
        <v>-1600</v>
      </c>
      <c r="N70" t="str">
        <v>Feb</v>
      </c>
    </row>
    <row r="71" spans="1:14" x14ac:dyDescent="0.3">
      <c r="A71" s="1" t="s">
        <v>12</v>
      </c>
      <c r="B71" s="1" t="s">
        <v>13</v>
      </c>
      <c r="C71" s="1" t="s">
        <v>14</v>
      </c>
      <c r="D71" s="1" t="s">
        <v>15</v>
      </c>
      <c r="E71" s="1" t="s">
        <v>22</v>
      </c>
      <c r="F71" s="4">
        <v>45698</v>
      </c>
      <c r="G71" s="4">
        <v>45698</v>
      </c>
      <c r="H71" s="1" t="s">
        <v>17</v>
      </c>
      <c r="I71" s="1" t="s">
        <v>70</v>
      </c>
      <c r="K71" s="1" t="s">
        <v>21</v>
      </c>
      <c r="L71" s="3">
        <v>-4640</v>
      </c>
      <c r="N71" t="str">
        <v>Feb</v>
      </c>
    </row>
    <row r="72" spans="1:14" x14ac:dyDescent="0.3">
      <c r="A72" s="1" t="s">
        <v>12</v>
      </c>
      <c r="B72" s="1" t="s">
        <v>13</v>
      </c>
      <c r="C72" s="1" t="s">
        <v>14</v>
      </c>
      <c r="D72" s="1" t="s">
        <v>15</v>
      </c>
      <c r="E72" s="1" t="s">
        <v>16</v>
      </c>
      <c r="F72" s="4">
        <v>45698</v>
      </c>
      <c r="G72" s="4">
        <v>45698</v>
      </c>
      <c r="H72" s="1" t="s">
        <v>19</v>
      </c>
      <c r="I72" s="1" t="s">
        <v>71</v>
      </c>
      <c r="J72" s="1" t="s">
        <v>20</v>
      </c>
      <c r="L72" s="3">
        <v>3520</v>
      </c>
      <c r="N72" t="str">
        <v>Feb</v>
      </c>
    </row>
    <row r="73" spans="1:14" x14ac:dyDescent="0.3">
      <c r="A73" s="1" t="s">
        <v>12</v>
      </c>
      <c r="B73" s="1" t="s">
        <v>13</v>
      </c>
      <c r="C73" s="1" t="s">
        <v>14</v>
      </c>
      <c r="D73" s="1" t="s">
        <v>15</v>
      </c>
      <c r="E73" s="1" t="s">
        <v>16</v>
      </c>
      <c r="F73" s="4">
        <v>45699</v>
      </c>
      <c r="G73" s="4">
        <v>45699</v>
      </c>
      <c r="H73" s="1" t="s">
        <v>19</v>
      </c>
      <c r="I73" s="1" t="s">
        <v>72</v>
      </c>
      <c r="J73" s="1" t="s">
        <v>20</v>
      </c>
      <c r="L73" s="3">
        <v>3520</v>
      </c>
      <c r="N73" t="str">
        <v>Feb</v>
      </c>
    </row>
    <row r="74" spans="1:14" x14ac:dyDescent="0.3">
      <c r="A74" s="1" t="s">
        <v>12</v>
      </c>
      <c r="B74" s="1" t="s">
        <v>13</v>
      </c>
      <c r="C74" s="1" t="s">
        <v>14</v>
      </c>
      <c r="D74" s="1" t="s">
        <v>15</v>
      </c>
      <c r="E74" s="1" t="s">
        <v>22</v>
      </c>
      <c r="F74" s="4">
        <v>45700</v>
      </c>
      <c r="G74" s="4">
        <v>45700</v>
      </c>
      <c r="H74" s="1" t="s">
        <v>17</v>
      </c>
      <c r="I74" s="1" t="s">
        <v>73</v>
      </c>
      <c r="K74" s="1" t="s">
        <v>21</v>
      </c>
      <c r="L74" s="3">
        <v>-4800</v>
      </c>
      <c r="N74" t="str">
        <v>Feb</v>
      </c>
    </row>
    <row r="75" spans="1:14" x14ac:dyDescent="0.3">
      <c r="A75" s="1" t="s">
        <v>12</v>
      </c>
      <c r="B75" s="1" t="s">
        <v>13</v>
      </c>
      <c r="C75" s="1" t="s">
        <v>14</v>
      </c>
      <c r="D75" s="1" t="s">
        <v>15</v>
      </c>
      <c r="E75" s="1" t="s">
        <v>16</v>
      </c>
      <c r="F75" s="4">
        <v>45700</v>
      </c>
      <c r="G75" s="4">
        <v>45700</v>
      </c>
      <c r="H75" s="1" t="s">
        <v>19</v>
      </c>
      <c r="I75" s="1" t="s">
        <v>74</v>
      </c>
      <c r="J75" s="1" t="s">
        <v>20</v>
      </c>
      <c r="L75" s="3">
        <v>2080</v>
      </c>
      <c r="N75" t="str">
        <v>Feb</v>
      </c>
    </row>
    <row r="76" spans="1:14" x14ac:dyDescent="0.3">
      <c r="A76" s="1" t="s">
        <v>12</v>
      </c>
      <c r="B76" s="1" t="s">
        <v>13</v>
      </c>
      <c r="C76" s="1" t="s">
        <v>14</v>
      </c>
      <c r="D76" s="1" t="s">
        <v>15</v>
      </c>
      <c r="E76" s="1" t="s">
        <v>16</v>
      </c>
      <c r="F76" s="4">
        <v>45701</v>
      </c>
      <c r="G76" s="4">
        <v>45701</v>
      </c>
      <c r="H76" s="1" t="s">
        <v>19</v>
      </c>
      <c r="I76" s="1" t="s">
        <v>75</v>
      </c>
      <c r="J76" s="1" t="s">
        <v>20</v>
      </c>
      <c r="L76" s="3">
        <v>800</v>
      </c>
      <c r="N76" t="str">
        <v>Feb</v>
      </c>
    </row>
    <row r="77" spans="1:14" x14ac:dyDescent="0.3">
      <c r="A77" s="1" t="s">
        <v>12</v>
      </c>
      <c r="B77" s="1" t="s">
        <v>13</v>
      </c>
      <c r="C77" s="1" t="s">
        <v>14</v>
      </c>
      <c r="D77" s="1" t="s">
        <v>15</v>
      </c>
      <c r="E77" s="1" t="s">
        <v>16</v>
      </c>
      <c r="F77" s="4">
        <v>45704</v>
      </c>
      <c r="G77" s="4">
        <v>45704</v>
      </c>
      <c r="H77" s="1" t="s">
        <v>19</v>
      </c>
      <c r="I77" s="1" t="s">
        <v>76</v>
      </c>
      <c r="J77" s="1" t="s">
        <v>20</v>
      </c>
      <c r="L77" s="3">
        <v>320</v>
      </c>
      <c r="N77" t="str">
        <v>Feb</v>
      </c>
    </row>
    <row r="78" spans="1:14" x14ac:dyDescent="0.3">
      <c r="A78" s="1" t="s">
        <v>12</v>
      </c>
      <c r="B78" s="1" t="s">
        <v>13</v>
      </c>
      <c r="C78" s="1" t="s">
        <v>14</v>
      </c>
      <c r="D78" s="1" t="s">
        <v>15</v>
      </c>
      <c r="E78" s="1" t="s">
        <v>16</v>
      </c>
      <c r="F78" s="4">
        <v>45706</v>
      </c>
      <c r="G78" s="4">
        <v>45706</v>
      </c>
      <c r="H78" s="1" t="s">
        <v>19</v>
      </c>
      <c r="I78" s="1" t="s">
        <v>77</v>
      </c>
      <c r="J78" s="1" t="s">
        <v>20</v>
      </c>
      <c r="L78" s="3">
        <v>4000</v>
      </c>
      <c r="N78" t="str">
        <v>Feb</v>
      </c>
    </row>
    <row r="79" spans="1:14" x14ac:dyDescent="0.3">
      <c r="A79" s="1" t="s">
        <v>12</v>
      </c>
      <c r="B79" s="1" t="s">
        <v>13</v>
      </c>
      <c r="C79" s="1" t="s">
        <v>14</v>
      </c>
      <c r="D79" s="1" t="s">
        <v>15</v>
      </c>
      <c r="E79" s="1" t="s">
        <v>16</v>
      </c>
      <c r="F79" s="4">
        <v>45708</v>
      </c>
      <c r="G79" s="4">
        <v>45708</v>
      </c>
      <c r="H79" s="1" t="s">
        <v>19</v>
      </c>
      <c r="I79" s="1" t="s">
        <v>78</v>
      </c>
      <c r="J79" s="1" t="s">
        <v>20</v>
      </c>
      <c r="L79" s="3">
        <v>1520</v>
      </c>
      <c r="N79" t="str">
        <v>Feb</v>
      </c>
    </row>
    <row r="80" spans="1:14" x14ac:dyDescent="0.3">
      <c r="A80" s="1" t="s">
        <v>12</v>
      </c>
      <c r="B80" s="1" t="s">
        <v>13</v>
      </c>
      <c r="C80" s="1" t="s">
        <v>14</v>
      </c>
      <c r="D80" s="1" t="s">
        <v>15</v>
      </c>
      <c r="E80" s="1" t="s">
        <v>16</v>
      </c>
      <c r="F80" s="4">
        <v>45711</v>
      </c>
      <c r="G80" s="4">
        <v>45711</v>
      </c>
      <c r="H80" s="1" t="s">
        <v>19</v>
      </c>
      <c r="I80" s="1" t="s">
        <v>79</v>
      </c>
      <c r="J80" s="1" t="s">
        <v>20</v>
      </c>
      <c r="L80" s="3">
        <v>2000</v>
      </c>
      <c r="N80" t="str">
        <v>Feb</v>
      </c>
    </row>
    <row r="81" spans="1:14" x14ac:dyDescent="0.3">
      <c r="A81" s="1" t="s">
        <v>12</v>
      </c>
      <c r="B81" s="1" t="s">
        <v>13</v>
      </c>
      <c r="C81" s="1" t="s">
        <v>14</v>
      </c>
      <c r="D81" s="1" t="s">
        <v>15</v>
      </c>
      <c r="E81" s="1" t="s">
        <v>22</v>
      </c>
      <c r="F81" s="4">
        <v>45713</v>
      </c>
      <c r="G81" s="4">
        <v>45713</v>
      </c>
      <c r="H81" s="1" t="s">
        <v>17</v>
      </c>
      <c r="I81" s="1" t="s">
        <v>80</v>
      </c>
      <c r="K81" s="1" t="s">
        <v>21</v>
      </c>
      <c r="L81" s="3">
        <v>-7960</v>
      </c>
      <c r="N81" t="str">
        <v>Feb</v>
      </c>
    </row>
    <row r="82" spans="1:14" x14ac:dyDescent="0.3">
      <c r="A82" s="1" t="s">
        <v>12</v>
      </c>
      <c r="B82" s="1" t="s">
        <v>13</v>
      </c>
      <c r="C82" s="1" t="s">
        <v>14</v>
      </c>
      <c r="D82" s="1" t="s">
        <v>15</v>
      </c>
      <c r="E82" s="1" t="s">
        <v>16</v>
      </c>
      <c r="F82" s="4">
        <v>45713</v>
      </c>
      <c r="G82" s="4">
        <v>45713</v>
      </c>
      <c r="H82" s="1" t="s">
        <v>19</v>
      </c>
      <c r="I82" s="1" t="s">
        <v>81</v>
      </c>
      <c r="J82" s="1" t="s">
        <v>20</v>
      </c>
      <c r="L82" s="3">
        <v>4000</v>
      </c>
      <c r="N82" t="str">
        <v>Feb</v>
      </c>
    </row>
    <row r="83" spans="1:14" x14ac:dyDescent="0.3">
      <c r="A83" s="1" t="s">
        <v>12</v>
      </c>
      <c r="B83" s="1" t="s">
        <v>13</v>
      </c>
      <c r="C83" s="1" t="s">
        <v>14</v>
      </c>
      <c r="D83" s="1" t="s">
        <v>15</v>
      </c>
      <c r="E83" s="1" t="s">
        <v>16</v>
      </c>
      <c r="F83" s="4">
        <v>45713</v>
      </c>
      <c r="G83" s="4">
        <v>45713</v>
      </c>
      <c r="H83" s="1" t="s">
        <v>19</v>
      </c>
      <c r="I83" s="1" t="s">
        <v>81</v>
      </c>
      <c r="J83" s="1" t="s">
        <v>20</v>
      </c>
      <c r="L83" s="3">
        <v>1440</v>
      </c>
      <c r="N83" t="str">
        <v>Feb</v>
      </c>
    </row>
    <row r="84" spans="1:14" x14ac:dyDescent="0.3">
      <c r="A84" s="1" t="s">
        <v>12</v>
      </c>
      <c r="B84" s="1" t="s">
        <v>13</v>
      </c>
      <c r="C84" s="1" t="s">
        <v>14</v>
      </c>
      <c r="D84" s="1" t="s">
        <v>15</v>
      </c>
      <c r="E84" s="1" t="s">
        <v>16</v>
      </c>
      <c r="F84" s="4">
        <v>45714</v>
      </c>
      <c r="G84" s="4">
        <v>45714</v>
      </c>
      <c r="H84" s="1" t="s">
        <v>19</v>
      </c>
      <c r="I84" s="1" t="s">
        <v>82</v>
      </c>
      <c r="J84" s="1" t="s">
        <v>20</v>
      </c>
      <c r="L84" s="3">
        <v>5280</v>
      </c>
      <c r="N84" t="str">
        <v>Feb</v>
      </c>
    </row>
    <row r="85" spans="1:14" x14ac:dyDescent="0.3">
      <c r="A85" s="1" t="s">
        <v>12</v>
      </c>
      <c r="B85" s="1" t="s">
        <v>13</v>
      </c>
      <c r="C85" s="1" t="s">
        <v>14</v>
      </c>
      <c r="D85" s="1" t="s">
        <v>15</v>
      </c>
      <c r="E85" s="1" t="s">
        <v>16</v>
      </c>
      <c r="F85" s="4">
        <v>45714</v>
      </c>
      <c r="G85" s="4">
        <v>45714</v>
      </c>
      <c r="H85" s="1" t="s">
        <v>19</v>
      </c>
      <c r="I85" s="1" t="s">
        <v>82</v>
      </c>
      <c r="J85" s="1" t="s">
        <v>20</v>
      </c>
      <c r="L85" s="3">
        <v>1200</v>
      </c>
      <c r="N85" t="str">
        <v>Feb</v>
      </c>
    </row>
    <row r="86" spans="1:14" x14ac:dyDescent="0.3">
      <c r="A86" s="1" t="s">
        <v>12</v>
      </c>
      <c r="B86" s="1" t="s">
        <v>13</v>
      </c>
      <c r="C86" s="1" t="s">
        <v>14</v>
      </c>
      <c r="D86" s="1" t="s">
        <v>15</v>
      </c>
      <c r="E86" s="1" t="s">
        <v>22</v>
      </c>
      <c r="F86" s="4">
        <v>45714</v>
      </c>
      <c r="G86" s="4">
        <v>45714</v>
      </c>
      <c r="H86" s="1" t="s">
        <v>17</v>
      </c>
      <c r="I86" s="1" t="s">
        <v>83</v>
      </c>
      <c r="K86" s="1" t="s">
        <v>21</v>
      </c>
      <c r="L86" s="3">
        <v>-5040</v>
      </c>
      <c r="N86" t="str">
        <v>Feb</v>
      </c>
    </row>
    <row r="87" spans="1:14" x14ac:dyDescent="0.3">
      <c r="A87" s="1" t="s">
        <v>12</v>
      </c>
      <c r="B87" s="1" t="s">
        <v>13</v>
      </c>
      <c r="C87" s="1" t="s">
        <v>14</v>
      </c>
      <c r="D87" s="1" t="s">
        <v>15</v>
      </c>
      <c r="E87" s="1" t="s">
        <v>22</v>
      </c>
      <c r="F87" s="4">
        <v>45714</v>
      </c>
      <c r="G87" s="4">
        <v>45714</v>
      </c>
      <c r="H87" s="1" t="s">
        <v>17</v>
      </c>
      <c r="I87" s="1" t="s">
        <v>83</v>
      </c>
      <c r="J87" s="1" t="s">
        <v>20</v>
      </c>
      <c r="L87" s="3">
        <v>5040</v>
      </c>
      <c r="N87" t="str">
        <v>Feb</v>
      </c>
    </row>
    <row r="88" spans="1:14" x14ac:dyDescent="0.3">
      <c r="A88" s="1" t="s">
        <v>12</v>
      </c>
      <c r="B88" s="1" t="s">
        <v>13</v>
      </c>
      <c r="C88" s="1" t="s">
        <v>14</v>
      </c>
      <c r="D88" s="1" t="s">
        <v>15</v>
      </c>
      <c r="E88" s="1" t="s">
        <v>22</v>
      </c>
      <c r="F88" s="4">
        <v>45714</v>
      </c>
      <c r="G88" s="4">
        <v>45714</v>
      </c>
      <c r="H88" s="1" t="s">
        <v>17</v>
      </c>
      <c r="I88" s="1" t="s">
        <v>84</v>
      </c>
      <c r="K88" s="1" t="s">
        <v>21</v>
      </c>
      <c r="L88" s="3">
        <v>-5040</v>
      </c>
      <c r="N88" t="str">
        <v>Feb</v>
      </c>
    </row>
    <row r="89" spans="1:14" x14ac:dyDescent="0.3">
      <c r="A89" s="1" t="s">
        <v>12</v>
      </c>
      <c r="B89" s="1" t="s">
        <v>13</v>
      </c>
      <c r="C89" s="1" t="s">
        <v>14</v>
      </c>
      <c r="D89" s="1" t="s">
        <v>15</v>
      </c>
      <c r="E89" s="1" t="s">
        <v>22</v>
      </c>
      <c r="F89" s="4">
        <v>45715</v>
      </c>
      <c r="G89" s="4">
        <v>45715</v>
      </c>
      <c r="H89" s="1" t="s">
        <v>17</v>
      </c>
      <c r="I89" s="1" t="s">
        <v>85</v>
      </c>
      <c r="K89" s="1" t="s">
        <v>21</v>
      </c>
      <c r="L89" s="3">
        <v>-4800</v>
      </c>
      <c r="N89" t="str">
        <v>Feb</v>
      </c>
    </row>
    <row r="90" spans="1:14" x14ac:dyDescent="0.3">
      <c r="A90" s="1" t="s">
        <v>12</v>
      </c>
      <c r="B90" s="1" t="s">
        <v>13</v>
      </c>
      <c r="C90" s="1" t="s">
        <v>14</v>
      </c>
      <c r="D90" s="1" t="s">
        <v>15</v>
      </c>
      <c r="E90" s="1" t="s">
        <v>16</v>
      </c>
      <c r="F90" s="4">
        <v>45715</v>
      </c>
      <c r="G90" s="4">
        <v>45715</v>
      </c>
      <c r="H90" s="1" t="s">
        <v>19</v>
      </c>
      <c r="I90" s="1" t="s">
        <v>86</v>
      </c>
      <c r="J90" s="1" t="s">
        <v>20</v>
      </c>
      <c r="L90" s="3">
        <v>4140</v>
      </c>
      <c r="N90" t="str">
        <v>Feb</v>
      </c>
    </row>
    <row r="91" spans="1:14" x14ac:dyDescent="0.3">
      <c r="A91" s="1" t="s">
        <v>12</v>
      </c>
      <c r="B91" s="1" t="s">
        <v>13</v>
      </c>
      <c r="C91" s="1" t="s">
        <v>14</v>
      </c>
      <c r="D91" s="1" t="s">
        <v>15</v>
      </c>
      <c r="E91" s="1" t="s">
        <v>16</v>
      </c>
      <c r="F91" s="4">
        <v>45718</v>
      </c>
      <c r="G91" s="4">
        <v>45718</v>
      </c>
      <c r="H91" s="1" t="s">
        <v>19</v>
      </c>
      <c r="I91" s="1" t="s">
        <v>87</v>
      </c>
      <c r="J91" s="1" t="s">
        <v>20</v>
      </c>
      <c r="L91" s="3">
        <v>320</v>
      </c>
      <c r="N91" t="str">
        <v>Mar</v>
      </c>
    </row>
    <row r="92" spans="1:14" x14ac:dyDescent="0.3">
      <c r="A92" s="1" t="s">
        <v>12</v>
      </c>
      <c r="B92" s="1" t="s">
        <v>13</v>
      </c>
      <c r="C92" s="1" t="s">
        <v>14</v>
      </c>
      <c r="D92" s="1" t="s">
        <v>15</v>
      </c>
      <c r="E92" s="1" t="s">
        <v>16</v>
      </c>
      <c r="F92" s="4">
        <v>45720</v>
      </c>
      <c r="G92" s="4">
        <v>45720</v>
      </c>
      <c r="H92" s="1" t="s">
        <v>19</v>
      </c>
      <c r="I92" s="1" t="s">
        <v>88</v>
      </c>
      <c r="J92" s="1" t="s">
        <v>20</v>
      </c>
      <c r="L92" s="3">
        <v>1440</v>
      </c>
      <c r="N92" t="str">
        <v>Mar</v>
      </c>
    </row>
    <row r="93" spans="1:14" x14ac:dyDescent="0.3">
      <c r="A93" s="1" t="s">
        <v>12</v>
      </c>
      <c r="B93" s="1" t="s">
        <v>13</v>
      </c>
      <c r="C93" s="1" t="s">
        <v>14</v>
      </c>
      <c r="D93" s="1" t="s">
        <v>15</v>
      </c>
      <c r="E93" s="1" t="s">
        <v>16</v>
      </c>
      <c r="F93" s="4">
        <v>45720</v>
      </c>
      <c r="G93" s="4">
        <v>45720</v>
      </c>
      <c r="H93" s="1" t="s">
        <v>19</v>
      </c>
      <c r="I93" s="1" t="s">
        <v>88</v>
      </c>
      <c r="J93" s="1" t="s">
        <v>20</v>
      </c>
      <c r="L93" s="3">
        <v>1840</v>
      </c>
      <c r="N93" t="str">
        <v>Mar</v>
      </c>
    </row>
    <row r="94" spans="1:14" x14ac:dyDescent="0.3">
      <c r="A94" s="1" t="s">
        <v>12</v>
      </c>
      <c r="B94" s="1" t="s">
        <v>13</v>
      </c>
      <c r="C94" s="1" t="s">
        <v>14</v>
      </c>
      <c r="D94" s="1" t="s">
        <v>15</v>
      </c>
      <c r="E94" s="1" t="s">
        <v>16</v>
      </c>
      <c r="F94" s="4">
        <v>45720</v>
      </c>
      <c r="G94" s="4">
        <v>45720</v>
      </c>
      <c r="H94" s="1" t="s">
        <v>19</v>
      </c>
      <c r="I94" s="1" t="s">
        <v>88</v>
      </c>
      <c r="J94" s="1" t="s">
        <v>20</v>
      </c>
      <c r="L94" s="3">
        <v>6400</v>
      </c>
      <c r="N94" t="str">
        <v>Mar</v>
      </c>
    </row>
    <row r="95" spans="1:14" x14ac:dyDescent="0.3">
      <c r="A95" s="1" t="s">
        <v>12</v>
      </c>
      <c r="B95" s="1" t="s">
        <v>13</v>
      </c>
      <c r="C95" s="1" t="s">
        <v>14</v>
      </c>
      <c r="D95" s="1" t="s">
        <v>15</v>
      </c>
      <c r="E95" s="1" t="s">
        <v>16</v>
      </c>
      <c r="F95" s="4">
        <v>45721</v>
      </c>
      <c r="G95" s="4">
        <v>45721</v>
      </c>
      <c r="H95" s="1" t="s">
        <v>19</v>
      </c>
      <c r="I95" s="1" t="s">
        <v>89</v>
      </c>
      <c r="J95" s="1" t="s">
        <v>20</v>
      </c>
      <c r="L95" s="3">
        <v>2080</v>
      </c>
      <c r="N95" t="str">
        <v>Mar</v>
      </c>
    </row>
    <row r="96" spans="1:14" x14ac:dyDescent="0.3">
      <c r="A96" s="1" t="s">
        <v>12</v>
      </c>
      <c r="B96" s="1" t="s">
        <v>13</v>
      </c>
      <c r="C96" s="1" t="s">
        <v>14</v>
      </c>
      <c r="D96" s="1" t="s">
        <v>15</v>
      </c>
      <c r="E96" s="1" t="s">
        <v>16</v>
      </c>
      <c r="F96" s="4">
        <v>45722</v>
      </c>
      <c r="G96" s="4">
        <v>45722</v>
      </c>
      <c r="H96" s="1" t="s">
        <v>19</v>
      </c>
      <c r="I96" s="1" t="s">
        <v>90</v>
      </c>
      <c r="J96" s="1" t="s">
        <v>20</v>
      </c>
      <c r="L96" s="3">
        <v>11040</v>
      </c>
      <c r="N96" t="str">
        <v>Mar</v>
      </c>
    </row>
    <row r="97" spans="1:14" x14ac:dyDescent="0.3">
      <c r="A97" s="1" t="s">
        <v>12</v>
      </c>
      <c r="B97" s="1" t="s">
        <v>13</v>
      </c>
      <c r="C97" s="1" t="s">
        <v>14</v>
      </c>
      <c r="D97" s="1" t="s">
        <v>15</v>
      </c>
      <c r="E97" s="1" t="s">
        <v>16</v>
      </c>
      <c r="F97" s="4">
        <v>45724</v>
      </c>
      <c r="G97" s="4">
        <v>45724</v>
      </c>
      <c r="H97" s="1" t="s">
        <v>19</v>
      </c>
      <c r="I97" s="1" t="s">
        <v>91</v>
      </c>
      <c r="J97" s="1" t="s">
        <v>20</v>
      </c>
      <c r="L97" s="3">
        <v>2880</v>
      </c>
      <c r="N97" t="str">
        <v>Mar</v>
      </c>
    </row>
    <row r="98" spans="1:14" x14ac:dyDescent="0.3">
      <c r="A98" s="1" t="s">
        <v>12</v>
      </c>
      <c r="B98" s="1" t="s">
        <v>13</v>
      </c>
      <c r="C98" s="1" t="s">
        <v>14</v>
      </c>
      <c r="D98" s="1" t="s">
        <v>15</v>
      </c>
      <c r="E98" s="1" t="s">
        <v>16</v>
      </c>
      <c r="F98" s="4">
        <v>45724</v>
      </c>
      <c r="G98" s="4">
        <v>45724</v>
      </c>
      <c r="H98" s="1" t="s">
        <v>19</v>
      </c>
      <c r="I98" s="1" t="s">
        <v>91</v>
      </c>
      <c r="J98" s="1" t="s">
        <v>20</v>
      </c>
      <c r="L98" s="3">
        <v>2860</v>
      </c>
      <c r="N98" t="str">
        <v>Mar</v>
      </c>
    </row>
    <row r="99" spans="1:14" x14ac:dyDescent="0.3">
      <c r="A99" s="1" t="s">
        <v>12</v>
      </c>
      <c r="B99" s="1" t="s">
        <v>13</v>
      </c>
      <c r="C99" s="1" t="s">
        <v>14</v>
      </c>
      <c r="D99" s="1" t="s">
        <v>15</v>
      </c>
      <c r="E99" s="1" t="s">
        <v>22</v>
      </c>
      <c r="F99" s="4">
        <v>45725</v>
      </c>
      <c r="G99" s="4">
        <v>45725</v>
      </c>
      <c r="H99" s="1" t="s">
        <v>17</v>
      </c>
      <c r="I99" s="1" t="s">
        <v>92</v>
      </c>
      <c r="K99" s="1" t="s">
        <v>21</v>
      </c>
      <c r="L99" s="3">
        <v>-4800</v>
      </c>
      <c r="N99" t="str">
        <v>Mar</v>
      </c>
    </row>
    <row r="100" spans="1:14" x14ac:dyDescent="0.3">
      <c r="A100" s="1" t="s">
        <v>12</v>
      </c>
      <c r="B100" s="1" t="s">
        <v>13</v>
      </c>
      <c r="C100" s="1" t="s">
        <v>14</v>
      </c>
      <c r="D100" s="1" t="s">
        <v>15</v>
      </c>
      <c r="E100" s="1" t="s">
        <v>16</v>
      </c>
      <c r="F100" s="4">
        <v>45725</v>
      </c>
      <c r="G100" s="4">
        <v>45725</v>
      </c>
      <c r="H100" s="1" t="s">
        <v>19</v>
      </c>
      <c r="I100" s="1" t="s">
        <v>93</v>
      </c>
      <c r="J100" s="1" t="s">
        <v>20</v>
      </c>
      <c r="L100" s="3">
        <v>2800</v>
      </c>
      <c r="N100" t="str">
        <v>Mar</v>
      </c>
    </row>
    <row r="101" spans="1:14" x14ac:dyDescent="0.3">
      <c r="A101" s="1" t="s">
        <v>12</v>
      </c>
      <c r="B101" s="1" t="s">
        <v>13</v>
      </c>
      <c r="C101" s="1" t="s">
        <v>14</v>
      </c>
      <c r="D101" s="1" t="s">
        <v>15</v>
      </c>
      <c r="E101" s="1" t="s">
        <v>16</v>
      </c>
      <c r="F101" s="4">
        <v>45726</v>
      </c>
      <c r="G101" s="4">
        <v>45726</v>
      </c>
      <c r="H101" s="1" t="s">
        <v>19</v>
      </c>
      <c r="I101" s="1" t="s">
        <v>94</v>
      </c>
      <c r="J101" s="1" t="s">
        <v>20</v>
      </c>
      <c r="L101" s="3">
        <v>6000</v>
      </c>
      <c r="N101" t="str">
        <v>Mar</v>
      </c>
    </row>
    <row r="102" spans="1:14" x14ac:dyDescent="0.3">
      <c r="A102" s="1" t="s">
        <v>12</v>
      </c>
      <c r="B102" s="1" t="s">
        <v>13</v>
      </c>
      <c r="C102" s="1" t="s">
        <v>14</v>
      </c>
      <c r="D102" s="1" t="s">
        <v>15</v>
      </c>
      <c r="E102" s="1" t="s">
        <v>23</v>
      </c>
      <c r="F102" s="4">
        <v>45727</v>
      </c>
      <c r="G102" s="4">
        <v>45727</v>
      </c>
      <c r="H102" s="1" t="s">
        <v>17</v>
      </c>
      <c r="I102" s="1" t="s">
        <v>95</v>
      </c>
      <c r="J102" s="1" t="s">
        <v>20</v>
      </c>
      <c r="L102" s="3">
        <v>2400</v>
      </c>
      <c r="N102" t="str">
        <v>Mar</v>
      </c>
    </row>
    <row r="103" spans="1:14" x14ac:dyDescent="0.3">
      <c r="A103" s="1" t="s">
        <v>12</v>
      </c>
      <c r="B103" s="1" t="s">
        <v>13</v>
      </c>
      <c r="C103" s="1" t="s">
        <v>14</v>
      </c>
      <c r="D103" s="1" t="s">
        <v>15</v>
      </c>
      <c r="E103" s="1" t="s">
        <v>23</v>
      </c>
      <c r="F103" s="4">
        <v>45727</v>
      </c>
      <c r="G103" s="4">
        <v>45727</v>
      </c>
      <c r="H103" s="1" t="s">
        <v>17</v>
      </c>
      <c r="I103" s="1" t="s">
        <v>95</v>
      </c>
      <c r="K103" s="1" t="s">
        <v>21</v>
      </c>
      <c r="L103" s="3">
        <v>-2400</v>
      </c>
      <c r="N103" t="str">
        <v>Mar</v>
      </c>
    </row>
    <row r="104" spans="1:14" x14ac:dyDescent="0.3">
      <c r="A104" s="1" t="s">
        <v>12</v>
      </c>
      <c r="B104" s="1" t="s">
        <v>13</v>
      </c>
      <c r="C104" s="1" t="s">
        <v>14</v>
      </c>
      <c r="D104" s="1" t="s">
        <v>15</v>
      </c>
      <c r="E104" s="1" t="s">
        <v>16</v>
      </c>
      <c r="F104" s="4">
        <v>45727</v>
      </c>
      <c r="G104" s="4">
        <v>45727</v>
      </c>
      <c r="H104" s="1" t="s">
        <v>19</v>
      </c>
      <c r="I104" s="1" t="s">
        <v>96</v>
      </c>
      <c r="J104" s="1" t="s">
        <v>20</v>
      </c>
      <c r="L104" s="3">
        <v>1600</v>
      </c>
      <c r="N104" t="str">
        <v>Mar</v>
      </c>
    </row>
    <row r="105" spans="1:14" x14ac:dyDescent="0.3">
      <c r="A105" s="1" t="s">
        <v>12</v>
      </c>
      <c r="B105" s="1" t="s">
        <v>13</v>
      </c>
      <c r="C105" s="1" t="s">
        <v>14</v>
      </c>
      <c r="D105" s="1" t="s">
        <v>15</v>
      </c>
      <c r="E105" s="1" t="s">
        <v>16</v>
      </c>
      <c r="F105" s="4">
        <v>45728</v>
      </c>
      <c r="G105" s="4">
        <v>45728</v>
      </c>
      <c r="H105" s="1" t="s">
        <v>19</v>
      </c>
      <c r="I105" s="1" t="s">
        <v>97</v>
      </c>
      <c r="J105" s="1" t="s">
        <v>20</v>
      </c>
      <c r="L105" s="3">
        <v>6400</v>
      </c>
      <c r="N105" t="str">
        <v>Mar</v>
      </c>
    </row>
    <row r="106" spans="1:14" x14ac:dyDescent="0.3">
      <c r="A106" s="1" t="s">
        <v>12</v>
      </c>
      <c r="B106" s="1" t="s">
        <v>13</v>
      </c>
      <c r="C106" s="1" t="s">
        <v>14</v>
      </c>
      <c r="D106" s="1" t="s">
        <v>15</v>
      </c>
      <c r="E106" s="1" t="s">
        <v>22</v>
      </c>
      <c r="F106" s="4">
        <v>45728</v>
      </c>
      <c r="G106" s="4">
        <v>45728</v>
      </c>
      <c r="H106" s="1" t="s">
        <v>17</v>
      </c>
      <c r="I106" s="1" t="s">
        <v>98</v>
      </c>
      <c r="K106" s="1" t="s">
        <v>21</v>
      </c>
      <c r="L106" s="3">
        <v>-5040</v>
      </c>
      <c r="N106" t="str">
        <v>Mar</v>
      </c>
    </row>
    <row r="107" spans="1:14" x14ac:dyDescent="0.3">
      <c r="A107" s="1" t="s">
        <v>12</v>
      </c>
      <c r="B107" s="1" t="s">
        <v>13</v>
      </c>
      <c r="C107" s="1" t="s">
        <v>14</v>
      </c>
      <c r="D107" s="1" t="s">
        <v>15</v>
      </c>
      <c r="E107" s="1" t="s">
        <v>22</v>
      </c>
      <c r="F107" s="4">
        <v>45728</v>
      </c>
      <c r="G107" s="4">
        <v>45728</v>
      </c>
      <c r="H107" s="1" t="s">
        <v>17</v>
      </c>
      <c r="I107" s="1" t="s">
        <v>98</v>
      </c>
      <c r="K107" s="1" t="s">
        <v>21</v>
      </c>
      <c r="L107" s="3">
        <v>-2240</v>
      </c>
      <c r="N107" t="str">
        <v>Mar</v>
      </c>
    </row>
    <row r="108" spans="1:14" x14ac:dyDescent="0.3">
      <c r="A108" s="1" t="s">
        <v>12</v>
      </c>
      <c r="B108" s="1" t="s">
        <v>13</v>
      </c>
      <c r="C108" s="1" t="s">
        <v>14</v>
      </c>
      <c r="D108" s="1" t="s">
        <v>15</v>
      </c>
      <c r="E108" s="1" t="s">
        <v>22</v>
      </c>
      <c r="F108" s="4">
        <v>45729</v>
      </c>
      <c r="G108" s="4">
        <v>45729</v>
      </c>
      <c r="H108" s="1" t="s">
        <v>17</v>
      </c>
      <c r="I108" s="1" t="s">
        <v>99</v>
      </c>
      <c r="K108" s="1" t="s">
        <v>21</v>
      </c>
      <c r="L108" s="3">
        <v>-4800</v>
      </c>
      <c r="N108" t="str">
        <v>Mar</v>
      </c>
    </row>
    <row r="109" spans="1:14" x14ac:dyDescent="0.3">
      <c r="A109" s="1" t="s">
        <v>12</v>
      </c>
      <c r="B109" s="1" t="s">
        <v>13</v>
      </c>
      <c r="C109" s="1" t="s">
        <v>14</v>
      </c>
      <c r="D109" s="1" t="s">
        <v>15</v>
      </c>
      <c r="E109" s="1" t="s">
        <v>22</v>
      </c>
      <c r="F109" s="4">
        <v>45729</v>
      </c>
      <c r="G109" s="4">
        <v>45729</v>
      </c>
      <c r="H109" s="1" t="s">
        <v>17</v>
      </c>
      <c r="I109" s="1" t="s">
        <v>99</v>
      </c>
      <c r="K109" s="1" t="s">
        <v>21</v>
      </c>
      <c r="L109" s="3">
        <v>-4800</v>
      </c>
      <c r="N109" t="str">
        <v>Mar</v>
      </c>
    </row>
    <row r="110" spans="1:14" x14ac:dyDescent="0.3">
      <c r="A110" s="1" t="s">
        <v>12</v>
      </c>
      <c r="B110" s="1" t="s">
        <v>13</v>
      </c>
      <c r="C110" s="1" t="s">
        <v>14</v>
      </c>
      <c r="D110" s="1" t="s">
        <v>15</v>
      </c>
      <c r="E110" s="1" t="s">
        <v>16</v>
      </c>
      <c r="F110" s="4">
        <v>45729</v>
      </c>
      <c r="G110" s="4">
        <v>45729</v>
      </c>
      <c r="H110" s="1" t="s">
        <v>19</v>
      </c>
      <c r="I110" s="1" t="s">
        <v>100</v>
      </c>
      <c r="J110" s="1" t="s">
        <v>20</v>
      </c>
      <c r="L110" s="3">
        <v>1280</v>
      </c>
      <c r="N110" t="str">
        <v>Mar</v>
      </c>
    </row>
    <row r="111" spans="1:14" x14ac:dyDescent="0.3">
      <c r="A111" s="1" t="s">
        <v>12</v>
      </c>
      <c r="B111" s="1" t="s">
        <v>13</v>
      </c>
      <c r="C111" s="1" t="s">
        <v>14</v>
      </c>
      <c r="D111" s="1" t="s">
        <v>15</v>
      </c>
      <c r="E111" s="1" t="s">
        <v>16</v>
      </c>
      <c r="F111" s="4">
        <v>45729</v>
      </c>
      <c r="G111" s="4">
        <v>45729</v>
      </c>
      <c r="H111" s="1" t="s">
        <v>19</v>
      </c>
      <c r="I111" s="1" t="s">
        <v>100</v>
      </c>
      <c r="J111" s="1" t="s">
        <v>20</v>
      </c>
      <c r="L111" s="3">
        <v>4640</v>
      </c>
      <c r="N111" t="str">
        <v>Mar</v>
      </c>
    </row>
    <row r="112" spans="1:14" x14ac:dyDescent="0.3">
      <c r="A112" s="1" t="s">
        <v>12</v>
      </c>
      <c r="B112" s="1" t="s">
        <v>13</v>
      </c>
      <c r="C112" s="1" t="s">
        <v>14</v>
      </c>
      <c r="D112" s="1" t="s">
        <v>15</v>
      </c>
      <c r="E112" s="1" t="s">
        <v>16</v>
      </c>
      <c r="F112" s="4">
        <v>45730</v>
      </c>
      <c r="G112" s="4">
        <v>45730</v>
      </c>
      <c r="H112" s="1" t="s">
        <v>19</v>
      </c>
      <c r="I112" s="1" t="s">
        <v>101</v>
      </c>
      <c r="J112" s="1" t="s">
        <v>20</v>
      </c>
      <c r="L112" s="3">
        <v>1200</v>
      </c>
      <c r="N112" t="str">
        <v>Mar</v>
      </c>
    </row>
    <row r="113" spans="1:14" x14ac:dyDescent="0.3">
      <c r="A113" s="1" t="s">
        <v>12</v>
      </c>
      <c r="B113" s="1" t="s">
        <v>13</v>
      </c>
      <c r="C113" s="1" t="s">
        <v>14</v>
      </c>
      <c r="D113" s="1" t="s">
        <v>15</v>
      </c>
      <c r="E113" s="1" t="s">
        <v>22</v>
      </c>
      <c r="F113" s="4">
        <v>45731</v>
      </c>
      <c r="G113" s="4">
        <v>45731</v>
      </c>
      <c r="H113" s="1" t="s">
        <v>17</v>
      </c>
      <c r="I113" s="1" t="s">
        <v>102</v>
      </c>
      <c r="K113" s="1" t="s">
        <v>21</v>
      </c>
      <c r="L113" s="3">
        <v>-4800</v>
      </c>
      <c r="N113" t="str">
        <v>Mar</v>
      </c>
    </row>
    <row r="114" spans="1:14" x14ac:dyDescent="0.3">
      <c r="A114" s="1" t="s">
        <v>12</v>
      </c>
      <c r="B114" s="1" t="s">
        <v>13</v>
      </c>
      <c r="C114" s="1" t="s">
        <v>14</v>
      </c>
      <c r="D114" s="1" t="s">
        <v>15</v>
      </c>
      <c r="E114" s="1" t="s">
        <v>16</v>
      </c>
      <c r="F114" s="4">
        <v>45732</v>
      </c>
      <c r="G114" s="4">
        <v>45732</v>
      </c>
      <c r="H114" s="1" t="s">
        <v>19</v>
      </c>
      <c r="I114" s="1" t="s">
        <v>103</v>
      </c>
      <c r="J114" s="1" t="s">
        <v>20</v>
      </c>
      <c r="L114" s="3">
        <v>1600</v>
      </c>
      <c r="N114" t="str">
        <v>Mar</v>
      </c>
    </row>
    <row r="115" spans="1:14" x14ac:dyDescent="0.3">
      <c r="A115" s="1" t="s">
        <v>12</v>
      </c>
      <c r="B115" s="1" t="s">
        <v>13</v>
      </c>
      <c r="C115" s="1" t="s">
        <v>14</v>
      </c>
      <c r="D115" s="1" t="s">
        <v>15</v>
      </c>
      <c r="E115" s="1" t="s">
        <v>16</v>
      </c>
      <c r="F115" s="4">
        <v>45732</v>
      </c>
      <c r="G115" s="4">
        <v>45732</v>
      </c>
      <c r="H115" s="1" t="s">
        <v>19</v>
      </c>
      <c r="I115" s="1" t="s">
        <v>103</v>
      </c>
      <c r="J115" s="1" t="s">
        <v>20</v>
      </c>
      <c r="L115" s="3">
        <v>2240</v>
      </c>
      <c r="N115" t="str">
        <v>Mar</v>
      </c>
    </row>
    <row r="116" spans="1:14" x14ac:dyDescent="0.3">
      <c r="A116" s="1" t="s">
        <v>12</v>
      </c>
      <c r="B116" s="1" t="s">
        <v>13</v>
      </c>
      <c r="C116" s="1" t="s">
        <v>14</v>
      </c>
      <c r="D116" s="1" t="s">
        <v>15</v>
      </c>
      <c r="E116" s="1" t="s">
        <v>22</v>
      </c>
      <c r="F116" s="4">
        <v>45732</v>
      </c>
      <c r="G116" s="4">
        <v>45732</v>
      </c>
      <c r="H116" s="1" t="s">
        <v>17</v>
      </c>
      <c r="I116" s="1" t="s">
        <v>104</v>
      </c>
      <c r="K116" s="1" t="s">
        <v>21</v>
      </c>
      <c r="L116" s="3">
        <v>-4800</v>
      </c>
      <c r="N116" t="str">
        <v>Mar</v>
      </c>
    </row>
    <row r="117" spans="1:14" x14ac:dyDescent="0.3">
      <c r="A117" s="1" t="s">
        <v>12</v>
      </c>
      <c r="B117" s="1" t="s">
        <v>13</v>
      </c>
      <c r="C117" s="1" t="s">
        <v>14</v>
      </c>
      <c r="D117" s="1" t="s">
        <v>15</v>
      </c>
      <c r="E117" s="1" t="s">
        <v>22</v>
      </c>
      <c r="F117" s="4">
        <v>45733</v>
      </c>
      <c r="G117" s="4">
        <v>45733</v>
      </c>
      <c r="H117" s="1" t="s">
        <v>17</v>
      </c>
      <c r="I117" s="1" t="s">
        <v>105</v>
      </c>
      <c r="K117" s="1" t="s">
        <v>21</v>
      </c>
      <c r="L117" s="3">
        <v>-4800</v>
      </c>
      <c r="N117" t="str">
        <v>Mar</v>
      </c>
    </row>
    <row r="118" spans="1:14" x14ac:dyDescent="0.3">
      <c r="A118" s="1" t="s">
        <v>12</v>
      </c>
      <c r="B118" s="1" t="s">
        <v>13</v>
      </c>
      <c r="C118" s="1" t="s">
        <v>14</v>
      </c>
      <c r="D118" s="1" t="s">
        <v>15</v>
      </c>
      <c r="E118" s="1" t="s">
        <v>16</v>
      </c>
      <c r="F118" s="4">
        <v>45734</v>
      </c>
      <c r="G118" s="4">
        <v>45734</v>
      </c>
      <c r="H118" s="1" t="s">
        <v>19</v>
      </c>
      <c r="I118" s="1" t="s">
        <v>106</v>
      </c>
      <c r="J118" s="1" t="s">
        <v>20</v>
      </c>
      <c r="L118" s="3">
        <v>1360</v>
      </c>
      <c r="N118" t="str">
        <v>Mar</v>
      </c>
    </row>
    <row r="119" spans="1:14" x14ac:dyDescent="0.3">
      <c r="A119" s="1" t="s">
        <v>12</v>
      </c>
      <c r="B119" s="1" t="s">
        <v>13</v>
      </c>
      <c r="C119" s="1" t="s">
        <v>14</v>
      </c>
      <c r="D119" s="1" t="s">
        <v>15</v>
      </c>
      <c r="E119" s="1" t="s">
        <v>16</v>
      </c>
      <c r="F119" s="4">
        <v>45734</v>
      </c>
      <c r="G119" s="4">
        <v>45734</v>
      </c>
      <c r="H119" s="1" t="s">
        <v>19</v>
      </c>
      <c r="I119" s="1" t="s">
        <v>106</v>
      </c>
      <c r="J119" s="1" t="s">
        <v>20</v>
      </c>
      <c r="L119" s="3">
        <v>5840</v>
      </c>
      <c r="N119" t="str">
        <v>Mar</v>
      </c>
    </row>
    <row r="120" spans="1:14" x14ac:dyDescent="0.3">
      <c r="A120" s="1" t="s">
        <v>12</v>
      </c>
      <c r="B120" s="1" t="s">
        <v>13</v>
      </c>
      <c r="C120" s="1" t="s">
        <v>14</v>
      </c>
      <c r="D120" s="1" t="s">
        <v>15</v>
      </c>
      <c r="E120" s="1" t="s">
        <v>22</v>
      </c>
      <c r="F120" s="4">
        <v>45738</v>
      </c>
      <c r="G120" s="4">
        <v>45738</v>
      </c>
      <c r="H120" s="1" t="s">
        <v>17</v>
      </c>
      <c r="I120" s="1" t="s">
        <v>107</v>
      </c>
      <c r="K120" s="1" t="s">
        <v>21</v>
      </c>
      <c r="L120" s="3">
        <v>-4400</v>
      </c>
      <c r="N120" t="str">
        <v>Mar</v>
      </c>
    </row>
    <row r="121" spans="1:14" x14ac:dyDescent="0.3">
      <c r="A121" s="1" t="s">
        <v>12</v>
      </c>
      <c r="B121" s="1" t="s">
        <v>13</v>
      </c>
      <c r="C121" s="1" t="s">
        <v>14</v>
      </c>
      <c r="D121" s="1" t="s">
        <v>15</v>
      </c>
      <c r="E121" s="1" t="s">
        <v>16</v>
      </c>
      <c r="F121" s="4">
        <v>45739</v>
      </c>
      <c r="G121" s="4">
        <v>45739</v>
      </c>
      <c r="H121" s="1" t="s">
        <v>17</v>
      </c>
      <c r="I121" s="1" t="s">
        <v>108</v>
      </c>
      <c r="K121" s="1" t="s">
        <v>21</v>
      </c>
      <c r="L121" s="3">
        <v>-7680</v>
      </c>
      <c r="N121" t="str">
        <v>Mar</v>
      </c>
    </row>
    <row r="122" spans="1:14" x14ac:dyDescent="0.3">
      <c r="A122" s="1" t="s">
        <v>12</v>
      </c>
      <c r="B122" s="1" t="s">
        <v>13</v>
      </c>
      <c r="C122" s="1" t="s">
        <v>14</v>
      </c>
      <c r="D122" s="1" t="s">
        <v>15</v>
      </c>
      <c r="E122" s="1" t="s">
        <v>16</v>
      </c>
      <c r="F122" s="4">
        <v>45739</v>
      </c>
      <c r="G122" s="4">
        <v>45739</v>
      </c>
      <c r="H122" s="1" t="s">
        <v>17</v>
      </c>
      <c r="I122" s="1" t="s">
        <v>108</v>
      </c>
      <c r="K122" s="1" t="s">
        <v>21</v>
      </c>
      <c r="L122" s="3">
        <v>-4160</v>
      </c>
      <c r="N122" t="str">
        <v>Mar</v>
      </c>
    </row>
    <row r="123" spans="1:14" x14ac:dyDescent="0.3">
      <c r="A123" s="1" t="s">
        <v>12</v>
      </c>
      <c r="B123" s="1" t="s">
        <v>13</v>
      </c>
      <c r="C123" s="1" t="s">
        <v>14</v>
      </c>
      <c r="D123" s="1" t="s">
        <v>15</v>
      </c>
      <c r="E123" s="1" t="s">
        <v>16</v>
      </c>
      <c r="F123" s="4">
        <v>45740</v>
      </c>
      <c r="G123" s="4">
        <v>45740</v>
      </c>
      <c r="H123" s="1" t="s">
        <v>19</v>
      </c>
      <c r="I123" s="1" t="s">
        <v>109</v>
      </c>
      <c r="J123" s="1" t="s">
        <v>20</v>
      </c>
      <c r="L123" s="3">
        <v>1200</v>
      </c>
      <c r="N123" t="str">
        <v>Mar</v>
      </c>
    </row>
    <row r="124" spans="1:14" x14ac:dyDescent="0.3">
      <c r="A124" s="1" t="s">
        <v>12</v>
      </c>
      <c r="B124" s="1" t="s">
        <v>13</v>
      </c>
      <c r="C124" s="1" t="s">
        <v>14</v>
      </c>
      <c r="D124" s="1" t="s">
        <v>15</v>
      </c>
      <c r="E124" s="1" t="s">
        <v>22</v>
      </c>
      <c r="F124" s="4">
        <v>45740</v>
      </c>
      <c r="G124" s="4">
        <v>45740</v>
      </c>
      <c r="H124" s="1" t="s">
        <v>17</v>
      </c>
      <c r="I124" s="1" t="s">
        <v>110</v>
      </c>
      <c r="K124" s="1" t="s">
        <v>21</v>
      </c>
      <c r="L124" s="3">
        <v>-4800</v>
      </c>
      <c r="N124" t="str">
        <v>Mar</v>
      </c>
    </row>
    <row r="125" spans="1:14" x14ac:dyDescent="0.3">
      <c r="A125" s="1" t="s">
        <v>12</v>
      </c>
      <c r="B125" s="1" t="s">
        <v>13</v>
      </c>
      <c r="C125" s="1" t="s">
        <v>14</v>
      </c>
      <c r="D125" s="1" t="s">
        <v>15</v>
      </c>
      <c r="E125" s="1" t="s">
        <v>22</v>
      </c>
      <c r="F125" s="4">
        <v>45741</v>
      </c>
      <c r="G125" s="4">
        <v>45741</v>
      </c>
      <c r="H125" s="1" t="s">
        <v>17</v>
      </c>
      <c r="I125" s="1" t="s">
        <v>111</v>
      </c>
      <c r="K125" s="1" t="s">
        <v>21</v>
      </c>
      <c r="L125" s="3">
        <v>-3360</v>
      </c>
      <c r="N125" t="str">
        <v>Mar</v>
      </c>
    </row>
    <row r="126" spans="1:14" x14ac:dyDescent="0.3">
      <c r="A126" s="1" t="s">
        <v>12</v>
      </c>
      <c r="B126" s="1" t="s">
        <v>13</v>
      </c>
      <c r="C126" s="1" t="s">
        <v>14</v>
      </c>
      <c r="D126" s="1" t="s">
        <v>15</v>
      </c>
      <c r="E126" s="1" t="s">
        <v>22</v>
      </c>
      <c r="F126" s="4">
        <v>45741</v>
      </c>
      <c r="G126" s="4">
        <v>45741</v>
      </c>
      <c r="H126" s="1" t="s">
        <v>17</v>
      </c>
      <c r="I126" s="1" t="s">
        <v>111</v>
      </c>
      <c r="K126" s="1" t="s">
        <v>21</v>
      </c>
      <c r="L126" s="3">
        <v>-8400</v>
      </c>
      <c r="N126" t="str">
        <v>Mar</v>
      </c>
    </row>
    <row r="127" spans="1:14" x14ac:dyDescent="0.3">
      <c r="A127" s="1" t="s">
        <v>12</v>
      </c>
      <c r="B127" s="1" t="s">
        <v>13</v>
      </c>
      <c r="C127" s="1" t="s">
        <v>14</v>
      </c>
      <c r="D127" s="1" t="s">
        <v>15</v>
      </c>
      <c r="E127" s="1" t="s">
        <v>16</v>
      </c>
      <c r="F127" s="4">
        <v>45741</v>
      </c>
      <c r="G127" s="4">
        <v>45741</v>
      </c>
      <c r="H127" s="1" t="s">
        <v>19</v>
      </c>
      <c r="I127" s="1" t="s">
        <v>112</v>
      </c>
      <c r="J127" s="1" t="s">
        <v>20</v>
      </c>
      <c r="L127" s="3">
        <v>2800</v>
      </c>
      <c r="N127" t="str">
        <v>Mar</v>
      </c>
    </row>
    <row r="128" spans="1:14" x14ac:dyDescent="0.3">
      <c r="A128" s="1" t="s">
        <v>12</v>
      </c>
      <c r="B128" s="1" t="s">
        <v>13</v>
      </c>
      <c r="C128" s="1" t="s">
        <v>14</v>
      </c>
      <c r="D128" s="1" t="s">
        <v>15</v>
      </c>
      <c r="E128" s="1" t="s">
        <v>16</v>
      </c>
      <c r="F128" s="4">
        <v>45741</v>
      </c>
      <c r="G128" s="4">
        <v>45741</v>
      </c>
      <c r="H128" s="1" t="s">
        <v>19</v>
      </c>
      <c r="I128" s="1" t="s">
        <v>112</v>
      </c>
      <c r="J128" s="1" t="s">
        <v>20</v>
      </c>
      <c r="L128" s="3">
        <v>4880</v>
      </c>
      <c r="N128" t="str">
        <v>Mar</v>
      </c>
    </row>
    <row r="129" spans="1:14" x14ac:dyDescent="0.3">
      <c r="A129" s="1" t="s">
        <v>12</v>
      </c>
      <c r="B129" s="1" t="s">
        <v>13</v>
      </c>
      <c r="C129" s="1" t="s">
        <v>14</v>
      </c>
      <c r="D129" s="1" t="s">
        <v>15</v>
      </c>
      <c r="E129" s="1" t="s">
        <v>16</v>
      </c>
      <c r="F129" s="4">
        <v>45752</v>
      </c>
      <c r="G129" s="4">
        <v>45752</v>
      </c>
      <c r="H129" s="1" t="s">
        <v>19</v>
      </c>
      <c r="I129" s="1" t="s">
        <v>113</v>
      </c>
      <c r="J129" s="1" t="s">
        <v>20</v>
      </c>
      <c r="L129" s="3">
        <v>240</v>
      </c>
      <c r="N129" t="str">
        <v>Apr</v>
      </c>
    </row>
    <row r="130" spans="1:14" x14ac:dyDescent="0.3">
      <c r="A130" s="1" t="s">
        <v>12</v>
      </c>
      <c r="B130" s="1" t="s">
        <v>13</v>
      </c>
      <c r="C130" s="1" t="s">
        <v>14</v>
      </c>
      <c r="D130" s="1" t="s">
        <v>15</v>
      </c>
      <c r="E130" s="1" t="s">
        <v>16</v>
      </c>
      <c r="F130" s="4">
        <v>45752</v>
      </c>
      <c r="G130" s="4">
        <v>45752</v>
      </c>
      <c r="H130" s="1" t="s">
        <v>19</v>
      </c>
      <c r="I130" s="1" t="s">
        <v>113</v>
      </c>
      <c r="J130" s="1" t="s">
        <v>20</v>
      </c>
      <c r="L130" s="3">
        <v>7040</v>
      </c>
      <c r="N130" t="str">
        <v>Apr</v>
      </c>
    </row>
    <row r="131" spans="1:14" x14ac:dyDescent="0.3">
      <c r="A131" s="1" t="s">
        <v>12</v>
      </c>
      <c r="B131" s="1" t="s">
        <v>13</v>
      </c>
      <c r="C131" s="1" t="s">
        <v>14</v>
      </c>
      <c r="D131" s="1" t="s">
        <v>15</v>
      </c>
      <c r="E131" s="1" t="s">
        <v>16</v>
      </c>
      <c r="F131" s="4">
        <v>45753</v>
      </c>
      <c r="G131" s="4">
        <v>45753</v>
      </c>
      <c r="H131" s="1" t="s">
        <v>17</v>
      </c>
      <c r="I131" s="1" t="s">
        <v>114</v>
      </c>
      <c r="K131" s="1" t="s">
        <v>21</v>
      </c>
      <c r="L131" s="3">
        <v>-3360</v>
      </c>
      <c r="N131" t="str">
        <v>Apr</v>
      </c>
    </row>
    <row r="132" spans="1:14" x14ac:dyDescent="0.3">
      <c r="A132" s="1" t="s">
        <v>12</v>
      </c>
      <c r="B132" s="1" t="s">
        <v>13</v>
      </c>
      <c r="C132" s="1" t="s">
        <v>14</v>
      </c>
      <c r="D132" s="1" t="s">
        <v>15</v>
      </c>
      <c r="E132" s="1" t="s">
        <v>16</v>
      </c>
      <c r="F132" s="4">
        <v>45753</v>
      </c>
      <c r="G132" s="4">
        <v>45753</v>
      </c>
      <c r="H132" s="1" t="s">
        <v>17</v>
      </c>
      <c r="I132" s="1" t="s">
        <v>114</v>
      </c>
      <c r="K132" s="1" t="s">
        <v>21</v>
      </c>
      <c r="L132" s="3">
        <v>-4800</v>
      </c>
      <c r="N132" t="str">
        <v>Apr</v>
      </c>
    </row>
    <row r="133" spans="1:14" x14ac:dyDescent="0.3">
      <c r="A133" s="1" t="s">
        <v>12</v>
      </c>
      <c r="B133" s="1" t="s">
        <v>13</v>
      </c>
      <c r="C133" s="1" t="s">
        <v>14</v>
      </c>
      <c r="D133" s="1" t="s">
        <v>15</v>
      </c>
      <c r="E133" s="1" t="s">
        <v>16</v>
      </c>
      <c r="F133" s="4">
        <v>45755</v>
      </c>
      <c r="G133" s="4">
        <v>45755</v>
      </c>
      <c r="H133" s="1" t="s">
        <v>19</v>
      </c>
      <c r="I133" s="1" t="s">
        <v>115</v>
      </c>
      <c r="J133" s="1" t="s">
        <v>20</v>
      </c>
      <c r="L133" s="3">
        <v>1040</v>
      </c>
      <c r="N133" t="str">
        <v>Apr</v>
      </c>
    </row>
    <row r="134" spans="1:14" x14ac:dyDescent="0.3">
      <c r="A134" s="1" t="s">
        <v>12</v>
      </c>
      <c r="B134" s="1" t="s">
        <v>13</v>
      </c>
      <c r="C134" s="1" t="s">
        <v>14</v>
      </c>
      <c r="D134" s="1" t="s">
        <v>15</v>
      </c>
      <c r="E134" s="1" t="s">
        <v>16</v>
      </c>
      <c r="F134" s="4">
        <v>45755</v>
      </c>
      <c r="G134" s="4">
        <v>45755</v>
      </c>
      <c r="H134" s="1" t="s">
        <v>19</v>
      </c>
      <c r="I134" s="1" t="s">
        <v>115</v>
      </c>
      <c r="J134" s="1" t="s">
        <v>20</v>
      </c>
      <c r="L134" s="3">
        <v>7040</v>
      </c>
      <c r="N134" t="str">
        <v>Apr</v>
      </c>
    </row>
    <row r="135" spans="1:14" x14ac:dyDescent="0.3">
      <c r="A135" s="1" t="s">
        <v>12</v>
      </c>
      <c r="B135" s="1" t="s">
        <v>13</v>
      </c>
      <c r="C135" s="1" t="s">
        <v>14</v>
      </c>
      <c r="D135" s="1" t="s">
        <v>15</v>
      </c>
      <c r="E135" s="1" t="s">
        <v>24</v>
      </c>
      <c r="F135" s="4">
        <v>45755</v>
      </c>
      <c r="G135" s="4">
        <v>45755</v>
      </c>
      <c r="H135" s="1" t="s">
        <v>17</v>
      </c>
      <c r="I135" s="1" t="s">
        <v>116</v>
      </c>
      <c r="K135" s="1" t="s">
        <v>21</v>
      </c>
      <c r="L135" s="3">
        <v>-4000</v>
      </c>
      <c r="N135" t="str">
        <v>Apr</v>
      </c>
    </row>
    <row r="136" spans="1:14" x14ac:dyDescent="0.3">
      <c r="A136" s="1" t="s">
        <v>12</v>
      </c>
      <c r="B136" s="1" t="s">
        <v>13</v>
      </c>
      <c r="C136" s="1" t="s">
        <v>14</v>
      </c>
      <c r="D136" s="1" t="s">
        <v>15</v>
      </c>
      <c r="E136" s="1" t="s">
        <v>22</v>
      </c>
      <c r="F136" s="4">
        <v>45757</v>
      </c>
      <c r="G136" s="4">
        <v>45757</v>
      </c>
      <c r="H136" s="1" t="s">
        <v>17</v>
      </c>
      <c r="I136" s="1" t="s">
        <v>117</v>
      </c>
      <c r="K136" s="1" t="s">
        <v>21</v>
      </c>
      <c r="L136" s="3">
        <v>-4000</v>
      </c>
      <c r="N136" t="str">
        <v>Apr</v>
      </c>
    </row>
    <row r="137" spans="1:14" x14ac:dyDescent="0.3">
      <c r="A137" s="1" t="s">
        <v>12</v>
      </c>
      <c r="B137" s="1" t="s">
        <v>13</v>
      </c>
      <c r="C137" s="1" t="s">
        <v>14</v>
      </c>
      <c r="D137" s="1" t="s">
        <v>15</v>
      </c>
      <c r="E137" s="1" t="s">
        <v>22</v>
      </c>
      <c r="F137" s="4">
        <v>45760</v>
      </c>
      <c r="G137" s="4">
        <v>45760</v>
      </c>
      <c r="H137" s="1" t="s">
        <v>17</v>
      </c>
      <c r="I137" s="1" t="s">
        <v>118</v>
      </c>
      <c r="K137" s="1" t="s">
        <v>21</v>
      </c>
      <c r="L137" s="3">
        <v>-749</v>
      </c>
      <c r="N137" t="str">
        <v>Apr</v>
      </c>
    </row>
    <row r="138" spans="1:14" x14ac:dyDescent="0.3">
      <c r="A138" s="1" t="s">
        <v>12</v>
      </c>
      <c r="B138" s="1" t="s">
        <v>13</v>
      </c>
      <c r="C138" s="1" t="s">
        <v>14</v>
      </c>
      <c r="D138" s="1" t="s">
        <v>15</v>
      </c>
      <c r="E138" s="1" t="s">
        <v>22</v>
      </c>
      <c r="F138" s="4">
        <v>45760</v>
      </c>
      <c r="G138" s="4">
        <v>45760</v>
      </c>
      <c r="H138" s="1" t="s">
        <v>17</v>
      </c>
      <c r="I138" s="1" t="s">
        <v>118</v>
      </c>
      <c r="K138" s="1" t="s">
        <v>21</v>
      </c>
      <c r="L138" s="3">
        <v>-1600</v>
      </c>
      <c r="N138" t="str">
        <v>Apr</v>
      </c>
    </row>
    <row r="139" spans="1:14" x14ac:dyDescent="0.3">
      <c r="A139" s="1" t="s">
        <v>12</v>
      </c>
      <c r="B139" s="1" t="s">
        <v>13</v>
      </c>
      <c r="C139" s="1" t="s">
        <v>14</v>
      </c>
      <c r="D139" s="1" t="s">
        <v>15</v>
      </c>
      <c r="E139" s="1" t="s">
        <v>22</v>
      </c>
      <c r="F139" s="4">
        <v>45762</v>
      </c>
      <c r="G139" s="4">
        <v>45762</v>
      </c>
      <c r="H139" s="1" t="s">
        <v>17</v>
      </c>
      <c r="I139" s="1" t="s">
        <v>119</v>
      </c>
      <c r="K139" s="1" t="s">
        <v>21</v>
      </c>
      <c r="L139" s="3">
        <v>-4960</v>
      </c>
      <c r="N139" t="str">
        <v>Apr</v>
      </c>
    </row>
    <row r="140" spans="1:14" x14ac:dyDescent="0.3">
      <c r="A140" s="1" t="s">
        <v>12</v>
      </c>
      <c r="B140" s="1" t="s">
        <v>13</v>
      </c>
      <c r="C140" s="1" t="s">
        <v>14</v>
      </c>
      <c r="D140" s="1" t="s">
        <v>15</v>
      </c>
      <c r="E140" s="1" t="s">
        <v>22</v>
      </c>
      <c r="F140" s="4">
        <v>45763</v>
      </c>
      <c r="G140" s="4">
        <v>45763</v>
      </c>
      <c r="H140" s="1" t="s">
        <v>17</v>
      </c>
      <c r="I140" s="1" t="s">
        <v>120</v>
      </c>
      <c r="K140" s="1" t="s">
        <v>21</v>
      </c>
      <c r="L140" s="3">
        <v>-4880</v>
      </c>
      <c r="N140" t="str">
        <v>Apr</v>
      </c>
    </row>
    <row r="141" spans="1:14" x14ac:dyDescent="0.3">
      <c r="A141" s="1" t="s">
        <v>12</v>
      </c>
      <c r="B141" s="1" t="s">
        <v>13</v>
      </c>
      <c r="C141" s="1" t="s">
        <v>14</v>
      </c>
      <c r="D141" s="1" t="s">
        <v>15</v>
      </c>
      <c r="E141" s="1" t="s">
        <v>16</v>
      </c>
      <c r="F141" s="4">
        <v>45763</v>
      </c>
      <c r="G141" s="4">
        <v>45763</v>
      </c>
      <c r="H141" s="1" t="s">
        <v>19</v>
      </c>
      <c r="I141" s="1" t="s">
        <v>121</v>
      </c>
      <c r="J141" s="1" t="s">
        <v>20</v>
      </c>
      <c r="L141" s="3">
        <v>4000</v>
      </c>
      <c r="N141" t="str">
        <v>Apr</v>
      </c>
    </row>
    <row r="142" spans="1:14" x14ac:dyDescent="0.3">
      <c r="A142" s="1" t="s">
        <v>12</v>
      </c>
      <c r="B142" s="1" t="s">
        <v>13</v>
      </c>
      <c r="C142" s="1" t="s">
        <v>14</v>
      </c>
      <c r="D142" s="1" t="s">
        <v>15</v>
      </c>
      <c r="E142" s="1" t="s">
        <v>16</v>
      </c>
      <c r="F142" s="4">
        <v>45766</v>
      </c>
      <c r="G142" s="4">
        <v>45766</v>
      </c>
      <c r="H142" s="1" t="s">
        <v>19</v>
      </c>
      <c r="I142" s="1" t="s">
        <v>122</v>
      </c>
      <c r="J142" s="1" t="s">
        <v>20</v>
      </c>
      <c r="L142" s="3">
        <v>2800</v>
      </c>
      <c r="N142" t="str">
        <v>Apr</v>
      </c>
    </row>
    <row r="143" spans="1:14" x14ac:dyDescent="0.3">
      <c r="A143" s="1" t="s">
        <v>12</v>
      </c>
      <c r="B143" s="1" t="s">
        <v>13</v>
      </c>
      <c r="C143" s="1" t="s">
        <v>14</v>
      </c>
      <c r="D143" s="1" t="s">
        <v>15</v>
      </c>
      <c r="E143" s="1" t="s">
        <v>22</v>
      </c>
      <c r="F143" s="4">
        <v>45768</v>
      </c>
      <c r="G143" s="4">
        <v>45768</v>
      </c>
      <c r="H143" s="1" t="s">
        <v>17</v>
      </c>
      <c r="I143" s="1" t="s">
        <v>123</v>
      </c>
      <c r="K143" s="1" t="s">
        <v>21</v>
      </c>
      <c r="L143" s="3">
        <v>-4000</v>
      </c>
      <c r="N143" t="str">
        <v>Apr</v>
      </c>
    </row>
    <row r="144" spans="1:14" x14ac:dyDescent="0.3">
      <c r="A144" s="1" t="s">
        <v>12</v>
      </c>
      <c r="B144" s="1" t="s">
        <v>13</v>
      </c>
      <c r="C144" s="1" t="s">
        <v>14</v>
      </c>
      <c r="D144" s="1" t="s">
        <v>15</v>
      </c>
      <c r="E144" s="1" t="s">
        <v>16</v>
      </c>
      <c r="F144" s="4">
        <v>45770</v>
      </c>
      <c r="G144" s="4">
        <v>45770</v>
      </c>
      <c r="H144" s="1" t="s">
        <v>19</v>
      </c>
      <c r="I144" s="1" t="s">
        <v>124</v>
      </c>
      <c r="J144" s="1" t="s">
        <v>20</v>
      </c>
      <c r="L144" s="3">
        <v>1280</v>
      </c>
      <c r="N144" t="str">
        <v>Apr</v>
      </c>
    </row>
    <row r="145" spans="1:14" x14ac:dyDescent="0.3">
      <c r="A145" s="1" t="s">
        <v>12</v>
      </c>
      <c r="B145" s="1" t="s">
        <v>13</v>
      </c>
      <c r="C145" s="1" t="s">
        <v>14</v>
      </c>
      <c r="D145" s="1" t="s">
        <v>15</v>
      </c>
      <c r="E145" s="1" t="s">
        <v>16</v>
      </c>
      <c r="F145" s="4">
        <v>45771</v>
      </c>
      <c r="G145" s="4">
        <v>45771</v>
      </c>
      <c r="H145" s="1" t="s">
        <v>19</v>
      </c>
      <c r="I145" s="1" t="s">
        <v>125</v>
      </c>
      <c r="J145" s="1" t="s">
        <v>20</v>
      </c>
      <c r="L145" s="3">
        <v>2400</v>
      </c>
      <c r="N145" t="str">
        <v>Apr</v>
      </c>
    </row>
    <row r="146" spans="1:14" x14ac:dyDescent="0.3">
      <c r="A146" s="1" t="s">
        <v>12</v>
      </c>
      <c r="B146" s="1" t="s">
        <v>13</v>
      </c>
      <c r="C146" s="1" t="s">
        <v>14</v>
      </c>
      <c r="D146" s="1" t="s">
        <v>15</v>
      </c>
      <c r="E146" s="1" t="s">
        <v>22</v>
      </c>
      <c r="F146" s="4">
        <v>45773</v>
      </c>
      <c r="G146" s="4">
        <v>45773</v>
      </c>
      <c r="H146" s="1" t="s">
        <v>17</v>
      </c>
      <c r="I146" s="1" t="s">
        <v>126</v>
      </c>
      <c r="K146" s="1" t="s">
        <v>21</v>
      </c>
      <c r="L146" s="3">
        <v>-5280</v>
      </c>
      <c r="N146" t="str">
        <v>Apr</v>
      </c>
    </row>
    <row r="147" spans="1:14" x14ac:dyDescent="0.3">
      <c r="A147" s="1" t="s">
        <v>12</v>
      </c>
      <c r="B147" s="1" t="s">
        <v>13</v>
      </c>
      <c r="C147" s="1" t="s">
        <v>14</v>
      </c>
      <c r="D147" s="1" t="s">
        <v>15</v>
      </c>
      <c r="E147" s="1" t="s">
        <v>16</v>
      </c>
      <c r="F147" s="4">
        <v>45777</v>
      </c>
      <c r="G147" s="4">
        <v>45777</v>
      </c>
      <c r="H147" s="1" t="s">
        <v>19</v>
      </c>
      <c r="I147" s="1" t="s">
        <v>127</v>
      </c>
      <c r="J147" s="1" t="s">
        <v>20</v>
      </c>
      <c r="L147" s="3">
        <v>2880</v>
      </c>
      <c r="N147" t="str">
        <v>Apr</v>
      </c>
    </row>
    <row r="148" spans="1:14" x14ac:dyDescent="0.3">
      <c r="A148" s="1" t="s">
        <v>12</v>
      </c>
      <c r="B148" s="1" t="s">
        <v>13</v>
      </c>
      <c r="C148" s="1" t="s">
        <v>14</v>
      </c>
      <c r="D148" s="1" t="s">
        <v>15</v>
      </c>
      <c r="E148" s="1" t="s">
        <v>16</v>
      </c>
      <c r="F148" s="4">
        <v>45782</v>
      </c>
      <c r="G148" s="4">
        <v>45782</v>
      </c>
      <c r="H148" s="1" t="s">
        <v>19</v>
      </c>
      <c r="I148" s="1" t="s">
        <v>128</v>
      </c>
      <c r="J148" s="1" t="s">
        <v>20</v>
      </c>
      <c r="L148" s="3">
        <v>4320</v>
      </c>
      <c r="N148" t="str">
        <v>May</v>
      </c>
    </row>
    <row r="149" spans="1:14" x14ac:dyDescent="0.3">
      <c r="A149" s="1" t="s">
        <v>12</v>
      </c>
      <c r="B149" s="1" t="s">
        <v>13</v>
      </c>
      <c r="C149" s="1" t="s">
        <v>14</v>
      </c>
      <c r="D149" s="1" t="s">
        <v>15</v>
      </c>
      <c r="E149" s="1" t="s">
        <v>16</v>
      </c>
      <c r="F149" s="4">
        <v>45783</v>
      </c>
      <c r="G149" s="4">
        <v>45783</v>
      </c>
      <c r="H149" s="1" t="s">
        <v>19</v>
      </c>
      <c r="I149" s="1" t="s">
        <v>129</v>
      </c>
      <c r="J149" s="1" t="s">
        <v>20</v>
      </c>
      <c r="L149" s="3">
        <v>2000</v>
      </c>
      <c r="N149" t="str">
        <v>May</v>
      </c>
    </row>
    <row r="150" spans="1:14" x14ac:dyDescent="0.3">
      <c r="A150" s="1" t="s">
        <v>12</v>
      </c>
      <c r="B150" s="1" t="s">
        <v>13</v>
      </c>
      <c r="C150" s="1" t="s">
        <v>14</v>
      </c>
      <c r="D150" s="1" t="s">
        <v>15</v>
      </c>
      <c r="E150" s="1" t="s">
        <v>22</v>
      </c>
      <c r="F150" s="4">
        <v>45783</v>
      </c>
      <c r="G150" s="4">
        <v>45783</v>
      </c>
      <c r="H150" s="1" t="s">
        <v>17</v>
      </c>
      <c r="I150" s="1" t="s">
        <v>130</v>
      </c>
      <c r="K150" s="1" t="s">
        <v>21</v>
      </c>
      <c r="L150" s="3">
        <v>-4000</v>
      </c>
      <c r="N150" t="str">
        <v>May</v>
      </c>
    </row>
    <row r="151" spans="1:14" x14ac:dyDescent="0.3">
      <c r="A151" s="1" t="s">
        <v>12</v>
      </c>
      <c r="B151" s="1" t="s">
        <v>13</v>
      </c>
      <c r="C151" s="1" t="s">
        <v>14</v>
      </c>
      <c r="D151" s="1" t="s">
        <v>15</v>
      </c>
      <c r="E151" s="1" t="s">
        <v>22</v>
      </c>
      <c r="F151" s="4">
        <v>45784</v>
      </c>
      <c r="G151" s="4">
        <v>45784</v>
      </c>
      <c r="H151" s="1" t="s">
        <v>17</v>
      </c>
      <c r="I151" s="1" t="s">
        <v>131</v>
      </c>
      <c r="K151" s="1" t="s">
        <v>21</v>
      </c>
      <c r="L151" s="3">
        <v>-4848</v>
      </c>
      <c r="N151" t="str">
        <v>May</v>
      </c>
    </row>
    <row r="152" spans="1:14" x14ac:dyDescent="0.3">
      <c r="A152" s="1" t="s">
        <v>12</v>
      </c>
      <c r="B152" s="1" t="s">
        <v>13</v>
      </c>
      <c r="C152" s="1" t="s">
        <v>14</v>
      </c>
      <c r="D152" s="1" t="s">
        <v>15</v>
      </c>
      <c r="E152" s="1" t="s">
        <v>22</v>
      </c>
      <c r="F152" s="4">
        <v>45788</v>
      </c>
      <c r="G152" s="4">
        <v>45788</v>
      </c>
      <c r="H152" s="1" t="s">
        <v>17</v>
      </c>
      <c r="I152" s="1" t="s">
        <v>132</v>
      </c>
      <c r="K152" s="1" t="s">
        <v>21</v>
      </c>
      <c r="L152" s="3">
        <v>-2400</v>
      </c>
      <c r="N152" t="str">
        <v>May</v>
      </c>
    </row>
    <row r="153" spans="1:14" x14ac:dyDescent="0.3">
      <c r="A153" s="1" t="s">
        <v>12</v>
      </c>
      <c r="B153" s="1" t="s">
        <v>13</v>
      </c>
      <c r="C153" s="1" t="s">
        <v>14</v>
      </c>
      <c r="D153" s="1" t="s">
        <v>15</v>
      </c>
      <c r="E153" s="1" t="s">
        <v>16</v>
      </c>
      <c r="F153" s="4">
        <v>45788</v>
      </c>
      <c r="G153" s="4">
        <v>45788</v>
      </c>
      <c r="H153" s="1" t="s">
        <v>19</v>
      </c>
      <c r="I153" s="1" t="s">
        <v>133</v>
      </c>
      <c r="J153" s="1" t="s">
        <v>20</v>
      </c>
      <c r="L153" s="3">
        <v>2480</v>
      </c>
      <c r="N153" t="str">
        <v>May</v>
      </c>
    </row>
    <row r="154" spans="1:14" x14ac:dyDescent="0.3">
      <c r="A154" s="1" t="s">
        <v>12</v>
      </c>
      <c r="B154" s="1" t="s">
        <v>13</v>
      </c>
      <c r="C154" s="1" t="s">
        <v>14</v>
      </c>
      <c r="D154" s="1" t="s">
        <v>15</v>
      </c>
      <c r="E154" s="1" t="s">
        <v>16</v>
      </c>
      <c r="F154" s="4">
        <v>45789</v>
      </c>
      <c r="G154" s="4">
        <v>45789</v>
      </c>
      <c r="H154" s="1" t="s">
        <v>19</v>
      </c>
      <c r="I154" s="1" t="s">
        <v>134</v>
      </c>
      <c r="J154" s="1" t="s">
        <v>20</v>
      </c>
      <c r="L154" s="3">
        <v>480</v>
      </c>
      <c r="N154" t="str">
        <v>May</v>
      </c>
    </row>
    <row r="155" spans="1:14" x14ac:dyDescent="0.3">
      <c r="A155" s="1" t="s">
        <v>12</v>
      </c>
      <c r="B155" s="1" t="s">
        <v>13</v>
      </c>
      <c r="C155" s="1" t="s">
        <v>14</v>
      </c>
      <c r="D155" s="1" t="s">
        <v>15</v>
      </c>
      <c r="E155" s="1" t="s">
        <v>22</v>
      </c>
      <c r="F155" s="4">
        <v>45796</v>
      </c>
      <c r="G155" s="4">
        <v>45796</v>
      </c>
      <c r="H155" s="1" t="s">
        <v>17</v>
      </c>
      <c r="I155" s="1" t="s">
        <v>135</v>
      </c>
      <c r="K155" s="1" t="s">
        <v>21</v>
      </c>
      <c r="L155" s="3">
        <v>-63</v>
      </c>
      <c r="N155" t="str">
        <v>May</v>
      </c>
    </row>
    <row r="156" spans="1:14" x14ac:dyDescent="0.3">
      <c r="A156" s="1" t="s">
        <v>12</v>
      </c>
      <c r="B156" s="1" t="s">
        <v>13</v>
      </c>
      <c r="C156" s="1" t="s">
        <v>14</v>
      </c>
      <c r="D156" s="1" t="s">
        <v>15</v>
      </c>
      <c r="E156" s="1" t="s">
        <v>22</v>
      </c>
      <c r="F156" s="4">
        <v>45796</v>
      </c>
      <c r="G156" s="4">
        <v>45796</v>
      </c>
      <c r="H156" s="1" t="s">
        <v>17</v>
      </c>
      <c r="I156" s="1" t="s">
        <v>135</v>
      </c>
      <c r="K156" s="1" t="s">
        <v>21</v>
      </c>
      <c r="L156" s="3">
        <v>-1000</v>
      </c>
      <c r="N156" t="str">
        <v>May</v>
      </c>
    </row>
    <row r="157" spans="1:14" x14ac:dyDescent="0.3">
      <c r="A157" s="1" t="s">
        <v>12</v>
      </c>
      <c r="B157" s="1" t="s">
        <v>13</v>
      </c>
      <c r="C157" s="1" t="s">
        <v>14</v>
      </c>
      <c r="D157" s="1" t="s">
        <v>15</v>
      </c>
      <c r="E157" s="1" t="s">
        <v>16</v>
      </c>
      <c r="F157" s="4">
        <v>45797</v>
      </c>
      <c r="G157" s="4">
        <v>45797</v>
      </c>
      <c r="H157" s="1" t="s">
        <v>19</v>
      </c>
      <c r="I157" s="1" t="s">
        <v>136</v>
      </c>
      <c r="J157" s="1" t="s">
        <v>20</v>
      </c>
      <c r="L157" s="3">
        <v>1520</v>
      </c>
      <c r="N157" t="str">
        <v>May</v>
      </c>
    </row>
    <row r="158" spans="1:14" x14ac:dyDescent="0.3">
      <c r="A158" s="1" t="s">
        <v>12</v>
      </c>
      <c r="B158" s="1" t="s">
        <v>13</v>
      </c>
      <c r="C158" s="1" t="s">
        <v>14</v>
      </c>
      <c r="D158" s="1" t="s">
        <v>15</v>
      </c>
      <c r="E158" s="1" t="s">
        <v>22</v>
      </c>
      <c r="F158" s="4">
        <v>45801</v>
      </c>
      <c r="G158" s="4">
        <v>45801</v>
      </c>
      <c r="H158" s="1" t="s">
        <v>17</v>
      </c>
      <c r="I158" s="1" t="s">
        <v>137</v>
      </c>
      <c r="K158" s="1" t="s">
        <v>21</v>
      </c>
      <c r="L158" s="3">
        <v>-1520</v>
      </c>
      <c r="N158" t="str">
        <v>May</v>
      </c>
    </row>
    <row r="159" spans="1:14" x14ac:dyDescent="0.3">
      <c r="A159" s="1" t="s">
        <v>138</v>
      </c>
      <c r="F159" s="6"/>
      <c r="G159" s="6"/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4CD74-6A14-4257-93D6-8F272886657A}">
  <dimension ref="D2:I22"/>
  <sheetViews>
    <sheetView workbookViewId="0">
      <selection activeCell="J8" sqref="J8"/>
    </sheetView>
  </sheetViews>
  <sheetFormatPr defaultRowHeight="14.4" x14ac:dyDescent="0.3"/>
  <cols>
    <col min="3" max="3" width="13" customWidth="1"/>
    <col min="4" max="4" width="17.21875" customWidth="1"/>
    <col min="5" max="5" width="20.77734375" customWidth="1"/>
    <col min="6" max="6" width="17.33203125" customWidth="1"/>
    <col min="7" max="7" width="21.21875" customWidth="1"/>
    <col min="8" max="8" width="19" bestFit="1" customWidth="1"/>
    <col min="9" max="9" width="11.109375" bestFit="1" customWidth="1"/>
  </cols>
  <sheetData>
    <row r="2" spans="4:8" ht="18" x14ac:dyDescent="0.35">
      <c r="E2" s="18" t="s">
        <v>147</v>
      </c>
      <c r="F2" s="18"/>
      <c r="G2" s="18"/>
    </row>
    <row r="4" spans="4:8" x14ac:dyDescent="0.3">
      <c r="D4" s="9" t="s">
        <v>4</v>
      </c>
      <c r="E4" s="9" t="s">
        <v>143</v>
      </c>
      <c r="F4" s="9" t="s">
        <v>144</v>
      </c>
      <c r="G4" s="9" t="s">
        <v>145</v>
      </c>
      <c r="H4" s="9" t="s">
        <v>146</v>
      </c>
    </row>
    <row r="5" spans="4:8" x14ac:dyDescent="0.3">
      <c r="D5" s="7" t="str" cm="1">
        <f t="array" ref="D5:D9">_xlfn.UNIQUE(MyGrid[Warehouse])</f>
        <v>03-BB-WH03</v>
      </c>
      <c r="E5" s="7">
        <v>100000</v>
      </c>
      <c r="F5" s="7">
        <f>SUMIFS(MyGrid[Quantity],MyGrid[Warehouse],D5,MyGrid[Receipt],"Purchased")</f>
        <v>246520</v>
      </c>
      <c r="G5" s="7">
        <f>SUMIFS(MyGrid[Quantity],MyGrid[Warehouse],$D5,MyGrid[Issue],"Sold")</f>
        <v>-33799</v>
      </c>
      <c r="H5" s="10">
        <f>E5+(F5+(G5))</f>
        <v>312721</v>
      </c>
    </row>
    <row r="6" spans="4:8" x14ac:dyDescent="0.3">
      <c r="D6" s="7" t="str">
        <v>03-BB-WH07</v>
      </c>
      <c r="E6" s="7">
        <v>100000</v>
      </c>
      <c r="F6" s="7">
        <f>SUMIFS(MyGrid[Quantity],MyGrid[Warehouse],D6,MyGrid[Receipt],"Purchased")</f>
        <v>9080</v>
      </c>
      <c r="G6" s="7">
        <f>SUMIFS(MyGrid[Quantity],MyGrid[Warehouse],$D6,MyGrid[Issue],"Sold")</f>
        <v>-236210</v>
      </c>
      <c r="H6" s="10">
        <f t="shared" ref="H6:H9" si="0">E6+(F6+(G6))</f>
        <v>-127130</v>
      </c>
    </row>
    <row r="7" spans="4:8" x14ac:dyDescent="0.3">
      <c r="D7" s="7" t="str">
        <v>03-BB-WH02</v>
      </c>
      <c r="E7" s="7">
        <v>100000</v>
      </c>
      <c r="F7" s="7">
        <f>SUMIFS(MyGrid[Quantity],MyGrid[Warehouse],D7,MyGrid[Receipt],"Purchased")</f>
        <v>0</v>
      </c>
      <c r="G7" s="7">
        <f>SUMIFS(MyGrid[Quantity],MyGrid[Warehouse],$D7,MyGrid[Issue],"Sold")</f>
        <v>-4000</v>
      </c>
      <c r="H7" s="10">
        <f t="shared" si="0"/>
        <v>96000</v>
      </c>
    </row>
    <row r="8" spans="4:8" x14ac:dyDescent="0.3">
      <c r="D8" s="7" t="str">
        <v>03-BB-WH06</v>
      </c>
      <c r="E8" s="7">
        <v>100000</v>
      </c>
      <c r="F8" s="7">
        <f>SUMIFS(MyGrid[Quantity],MyGrid[Warehouse],D8,MyGrid[Receipt],"Purchased")</f>
        <v>2400</v>
      </c>
      <c r="G8" s="7">
        <f>SUMIFS(MyGrid[Quantity],MyGrid[Warehouse],$D8,MyGrid[Issue],"Sold")</f>
        <v>-6400</v>
      </c>
      <c r="H8" s="10">
        <f t="shared" si="0"/>
        <v>96000</v>
      </c>
    </row>
    <row r="9" spans="4:8" x14ac:dyDescent="0.3">
      <c r="D9" s="7" t="str">
        <v>03-BB-WH08</v>
      </c>
      <c r="E9" s="7">
        <v>100000</v>
      </c>
      <c r="F9" s="7">
        <f>SUMIFS(MyGrid[Quantity],MyGrid[Warehouse],D9,MyGrid[Receipt],"Purchased")</f>
        <v>0</v>
      </c>
      <c r="G9" s="7">
        <f>SUMIFS(MyGrid[Quantity],MyGrid[Warehouse],$D9,MyGrid[Issue],"Sold")</f>
        <v>-4000</v>
      </c>
      <c r="H9" s="10">
        <f t="shared" si="0"/>
        <v>96000</v>
      </c>
    </row>
    <row r="13" spans="4:8" ht="18" x14ac:dyDescent="0.35">
      <c r="E13" s="19" t="s">
        <v>152</v>
      </c>
      <c r="F13" s="19"/>
      <c r="G13" s="19"/>
    </row>
    <row r="15" spans="4:8" ht="15.6" x14ac:dyDescent="0.3">
      <c r="D15" s="12" t="s">
        <v>140</v>
      </c>
      <c r="E15" s="13" t="s">
        <v>153</v>
      </c>
    </row>
    <row r="17" spans="4:9" x14ac:dyDescent="0.3">
      <c r="D17" s="14" t="s">
        <v>4</v>
      </c>
      <c r="E17" s="14" t="s">
        <v>148</v>
      </c>
      <c r="F17" s="14" t="s">
        <v>149</v>
      </c>
      <c r="G17" s="14" t="s">
        <v>150</v>
      </c>
      <c r="H17" s="14" t="s">
        <v>151</v>
      </c>
      <c r="I17" s="11"/>
    </row>
    <row r="18" spans="4:9" x14ac:dyDescent="0.3">
      <c r="D18" s="15" t="str" cm="1">
        <f t="array" ref="D18:D22">_xlfn.UNIQUE(MyGrid[Warehouse])</f>
        <v>03-BB-WH03</v>
      </c>
      <c r="E18" s="15" cm="1">
        <f t="array" ref="E18">SUMPRODUCT((TEXT(MyGrid[Financial date],"MMM")=$E$15)*(MyGrid[Warehouse]=D18)*(MyGrid[Receipt]="Purchased")*MyGrid[Quantity])</f>
        <v>88640</v>
      </c>
      <c r="F18" s="15" cm="1">
        <f t="array" ref="F18">SUMPRODUCT((TEXT(MyGrid[Financial date],"MMM")=$E$15)*(MyGrid[Warehouse]=D18)*(MyGrid[Issue]="Sold")*MyGrid[Quantity])</f>
        <v>-7439</v>
      </c>
      <c r="G18" s="15">
        <f>COUNTIFS(MyGrid[Warehouse],D18,_xlfn.ANCHORARRAY('warehouse stock'!$N$2),'Stock by Warehouse'!$E$15)</f>
        <v>26</v>
      </c>
      <c r="H18" s="15" cm="1">
        <f t="array" ref="H18">100000+SUMPRODUCT((TEXT(MyGrid[Financial date],"MMM")=$E$15)*(MyGrid[Warehouse]=D18)*(MyGrid[Receipt]="Purchased")*MyGrid[Quantity])+SUMPRODUCT((TEXT(MyGrid[Financial date],"MMM")=D18)*(MyGrid[Warehouse]=D18)*(MyGrid[Issue]="Sold")*MyGrid[Quantity])</f>
        <v>188640</v>
      </c>
    </row>
    <row r="19" spans="4:9" x14ac:dyDescent="0.3">
      <c r="D19" s="15" t="str">
        <v>03-BB-WH07</v>
      </c>
      <c r="E19" s="15" cm="1">
        <f t="array" ref="E19">SUMPRODUCT((TEXT(MyGrid[Financial date],"MMM")=$E$15)*(MyGrid[Warehouse]=D19)*(MyGrid[Receipt]="Purchased")*MyGrid[Quantity])</f>
        <v>4000</v>
      </c>
      <c r="F19" s="15" cm="1">
        <f t="array" ref="F19">SUMPRODUCT((TEXT(MyGrid[Financial date],"MMM")=$E$15)*(MyGrid[Warehouse]=D19)*(MyGrid[Issue]="Sold")*MyGrid[Quantity])</f>
        <v>-74880</v>
      </c>
      <c r="G19" s="15">
        <f>COUNTIFS(MyGrid[Warehouse],D19,_xlfn.ANCHORARRAY('warehouse stock'!$N$2),'Stock by Warehouse'!$E$15)</f>
        <v>21</v>
      </c>
      <c r="H19" s="15" cm="1">
        <f t="array" ref="H19">100000+SUMPRODUCT((TEXT(MyGrid[Financial date],"MMM")=$E$15)*(MyGrid[Warehouse]=D19)*(MyGrid[Receipt]="Purchased")*MyGrid[Quantity])+SUMPRODUCT((TEXT(MyGrid[Financial date],"MMM")=D19)*(MyGrid[Warehouse]=D19)*(MyGrid[Issue]="Sold")*MyGrid[Quantity])</f>
        <v>104000</v>
      </c>
    </row>
    <row r="20" spans="4:9" x14ac:dyDescent="0.3">
      <c r="D20" s="15" t="str">
        <v>03-BB-WH02</v>
      </c>
      <c r="E20" s="15" cm="1">
        <f t="array" ref="E20">SUMPRODUCT((TEXT(MyGrid[Financial date],"MMM")=$E$15)*(MyGrid[Warehouse]=D20)*(MyGrid[Receipt]="Purchased")*MyGrid[Quantity])</f>
        <v>0</v>
      </c>
      <c r="F20" s="15" cm="1">
        <f t="array" ref="F20">SUMPRODUCT((TEXT(MyGrid[Financial date],"MMM")=$E$15)*(MyGrid[Warehouse]=D20)*(MyGrid[Issue]="Sold")*MyGrid[Quantity])</f>
        <v>-4000</v>
      </c>
      <c r="G20" s="15">
        <f>COUNTIFS(MyGrid[Warehouse],D20,_xlfn.ANCHORARRAY('warehouse stock'!$N$2),'Stock by Warehouse'!$E$15)</f>
        <v>1</v>
      </c>
      <c r="H20" s="15" cm="1">
        <f t="array" ref="H20">100000+SUMPRODUCT((TEXT(MyGrid[Financial date],"MMM")=$E$15)*(MyGrid[Warehouse]=D20)*(MyGrid[Receipt]="Purchased")*MyGrid[Quantity])+SUMPRODUCT((TEXT(MyGrid[Financial date],"MMM")=D20)*(MyGrid[Warehouse]=D20)*(MyGrid[Issue]="Sold")*MyGrid[Quantity])</f>
        <v>100000</v>
      </c>
    </row>
    <row r="21" spans="4:9" x14ac:dyDescent="0.3">
      <c r="D21" s="15" t="str">
        <v>03-BB-WH06</v>
      </c>
      <c r="E21" s="15" cm="1">
        <f t="array" ref="E21">SUMPRODUCT((TEXT(MyGrid[Financial date],"MMM")=$E$15)*(MyGrid[Warehouse]=D21)*(MyGrid[Receipt]="Purchased")*MyGrid[Quantity])</f>
        <v>0</v>
      </c>
      <c r="F21" s="15" cm="1">
        <f t="array" ref="F21">SUMPRODUCT((TEXT(MyGrid[Financial date],"MMM")=$E$15)*(MyGrid[Warehouse]=D21)*(MyGrid[Issue]="Sold")*MyGrid[Quantity])</f>
        <v>-4000</v>
      </c>
      <c r="G21" s="15">
        <f>COUNTIFS(MyGrid[Warehouse],D21,_xlfn.ANCHORARRAY('warehouse stock'!$N$2),'Stock by Warehouse'!$E$15)</f>
        <v>1</v>
      </c>
      <c r="H21" s="15" cm="1">
        <f t="array" ref="H21">100000+SUMPRODUCT((TEXT(MyGrid[Financial date],"MMM")=$E$15)*(MyGrid[Warehouse]=D21)*(MyGrid[Receipt]="Purchased")*MyGrid[Quantity])+SUMPRODUCT((TEXT(MyGrid[Financial date],"MMM")=D21)*(MyGrid[Warehouse]=D21)*(MyGrid[Issue]="Sold")*MyGrid[Quantity])</f>
        <v>100000</v>
      </c>
    </row>
    <row r="22" spans="4:9" x14ac:dyDescent="0.3">
      <c r="D22" s="15" t="str">
        <v>03-BB-WH08</v>
      </c>
      <c r="E22" s="15" cm="1">
        <f t="array" ref="E22">SUMPRODUCT((TEXT(MyGrid[Financial date],"MMM")=$E$15)*(MyGrid[Warehouse]=D22)*(MyGrid[Receipt]="Purchased")*MyGrid[Quantity])</f>
        <v>0</v>
      </c>
      <c r="F22" s="15" cm="1">
        <f t="array" ref="F22">SUMPRODUCT((TEXT(MyGrid[Financial date],"MMM")=$E$15)*(MyGrid[Warehouse]=D22)*(MyGrid[Issue]="Sold")*MyGrid[Quantity])</f>
        <v>0</v>
      </c>
      <c r="G22" s="15">
        <f>COUNTIFS(MyGrid[Warehouse],D22,_xlfn.ANCHORARRAY('warehouse stock'!$N$2),'Stock by Warehouse'!$E$15)</f>
        <v>0</v>
      </c>
      <c r="H22" s="15" cm="1">
        <f t="array" ref="H22">100000+SUMPRODUCT((TEXT(MyGrid[Financial date],"MMM")=$E$15)*(MyGrid[Warehouse]=D22)*(MyGrid[Receipt]="Purchased")*MyGrid[Quantity])+SUMPRODUCT((TEXT(MyGrid[Financial date],"MMM")=D22)*(MyGrid[Warehouse]=D22)*(MyGrid[Issue]="Sold")*MyGrid[Quantity])</f>
        <v>100000</v>
      </c>
    </row>
  </sheetData>
  <mergeCells count="2">
    <mergeCell ref="E2:G2"/>
    <mergeCell ref="E13:G13"/>
  </mergeCells>
  <conditionalFormatting sqref="G5:G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443F9AF-EF43-47D8-AABD-E72D2E1DD29A}">
          <x14:formula1>
            <xm:f>'warehouse stock'!$P$4:$P$19</xm:f>
          </x14:formula1>
          <xm:sqref>E15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warehouse stock</vt:lpstr>
      <vt:lpstr>Stock by Warehouse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Shofiqul Islam</dc:creator>
  <cp:lastModifiedBy>tahid kazi</cp:lastModifiedBy>
  <dcterms:created xsi:type="dcterms:W3CDTF">2025-06-04T06:09:14Z</dcterms:created>
  <dcterms:modified xsi:type="dcterms:W3CDTF">2026-09-23T14:17:04Z</dcterms:modified>
</cp:coreProperties>
</file>